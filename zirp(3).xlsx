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All_ZIRP_Members" sheetId="2" state="visible" r:id="rId2"/>
    <sheet xmlns:r="http://schemas.openxmlformats.org/officeDocument/2006/relationships" name="Candidate_Patterns" sheetId="3" state="visible" r:id="rId3"/>
    <sheet xmlns:r="http://schemas.openxmlformats.org/officeDocument/2006/relationships" name="Member_Constraints" sheetId="4" state="visible" r:id="rId4"/>
    <sheet xmlns:r="http://schemas.openxmlformats.org/officeDocument/2006/relationships" name="Cluster_Constraints" sheetId="5" state="visible" r:id="rId5"/>
    <sheet xmlns:r="http://schemas.openxmlformats.org/officeDocument/2006/relationships" name="Static_Clusters" sheetId="6" state="visible" r:id="rId6"/>
    <sheet xmlns:r="http://schemas.openxmlformats.org/officeDocument/2006/relationships" name="Member_Cluster_Matrix" sheetId="7" state="visible" r:id="rId7"/>
    <sheet xmlns:r="http://schemas.openxmlformats.org/officeDocument/2006/relationships" name="Scoring_Rules" sheetId="8" state="visible" r:id="rId8"/>
    <sheet xmlns:r="http://schemas.openxmlformats.org/officeDocument/2006/relationships" name="Model_Readme" sheetId="9" state="visible" r:id="rId9"/>
    <sheet xmlns:r="http://schemas.openxmlformats.org/officeDocument/2006/relationships" name="InfoBox_Keyword_Radar" sheetId="10" state="visible" r:id="rId10"/>
    <sheet xmlns:r="http://schemas.openxmlformats.org/officeDocument/2006/relationships" name="Keyword_Summary" sheetId="11" state="visible" r:id="rId11"/>
    <sheet xmlns:r="http://schemas.openxmlformats.org/officeDocument/2006/relationships" name="Keyword_Dictionary" sheetId="12" state="visible" r:id="rId12"/>
    <sheet xmlns:r="http://schemas.openxmlformats.org/officeDocument/2006/relationships" name="SCIP_Role_Constraint_Readme" sheetId="13" state="visible" r:id="rId13"/>
    <sheet xmlns:r="http://schemas.openxmlformats.org/officeDocument/2006/relationships" name="Actor_Source_Profiles" sheetId="14" state="visible" r:id="rId14"/>
    <sheet xmlns:r="http://schemas.openxmlformats.org/officeDocument/2006/relationships" name="Crawler_Diagnosis" sheetId="15" state="visible" r:id="rId15"/>
    <sheet xmlns:r="http://schemas.openxmlformats.org/officeDocument/2006/relationships" name="Actor_Type_Source_Rules" sheetId="16" state="visible" r:id="rId16"/>
    <sheet xmlns:r="http://schemas.openxmlformats.org/officeDocument/2006/relationships" name="Crawler_Scoring_Config" sheetId="17" state="visible" r:id="rId17"/>
    <sheet xmlns:r="http://schemas.openxmlformats.org/officeDocument/2006/relationships" name="Source_Performance_Log" sheetId="18" state="visible" r:id="rId18"/>
    <sheet xmlns:r="http://schemas.openxmlformats.org/officeDocument/2006/relationships" name="Run_Evaluation" sheetId="19" state="visible" r:id="rId19"/>
    <sheet xmlns:r="http://schemas.openxmlformats.org/officeDocument/2006/relationships" name="Role_Weights" sheetId="20" state="visible" r:id="rId20"/>
    <sheet xmlns:r="http://schemas.openxmlformats.org/officeDocument/2006/relationships" name="Member_Role_Weights" sheetId="21" state="visible" r:id="rId21"/>
    <sheet xmlns:r="http://schemas.openxmlformats.org/officeDocument/2006/relationships" name="Subrole_Weights" sheetId="22" state="visible" r:id="rId22"/>
    <sheet xmlns:r="http://schemas.openxmlformats.org/officeDocument/2006/relationships" name="Member_Subrole_Weights" sheetId="23" state="visible" r:id="rId23"/>
    <sheet xmlns:r="http://schemas.openxmlformats.org/officeDocument/2006/relationships" name="Subrole_Assignment_Audit" sheetId="24" state="visible" r:id="rId24"/>
    <sheet xmlns:r="http://schemas.openxmlformats.org/officeDocument/2006/relationships" name="SCIP_Portfolio_Constraints" sheetId="25" state="visible" r:id="rId25"/>
    <sheet xmlns:r="http://schemas.openxmlformats.org/officeDocument/2006/relationships" name="Candidate_Role_Balance" sheetId="26" state="visible" r:id="rId26"/>
    <sheet xmlns:r="http://schemas.openxmlformats.org/officeDocument/2006/relationships" name="SCIP_Subrole_Constraint_Readme" sheetId="27" state="visible" r:id="rId27"/>
  </sheets>
  <definedNames/>
</workbook>
</file>

<file path=xl/styles.xml><?xml version="1.0" encoding="utf-8"?>
<styleSheet xmlns="http://schemas.openxmlformats.org/spreadsheetml/2006/main">
  <numFmts count="3">
    <numFmt numFmtId="164" formatCode="0.0%"/>
    <numFmt numFmtId="165" formatCode="0.000"/>
    <numFmt numFmtId="166" formatCode="0.0"/>
  </numFmts>
  <fonts count="5">
    <font>
      <name val="Calibri"/>
      <color theme="1"/>
      <sz val="11"/>
    </font>
    <font>
      <b val="1"/>
      <color rgb="00FFFFFF"/>
    </font>
    <font>
      <name val="Calibri"/>
      <b val="1"/>
      <color rgb="00FFFFFF"/>
      <sz val="11"/>
    </font>
    <font>
      <name val="Calibri"/>
      <b val="1"/>
      <color rgb="00FFFFFF"/>
      <sz val="14"/>
    </font>
    <font>
      <b val="1"/>
      <color rgb="00000000"/>
    </font>
  </fonts>
  <fills count="10">
    <fill>
      <patternFill/>
    </fill>
    <fill>
      <patternFill patternType="gray125"/>
    </fill>
    <fill>
      <patternFill patternType="solid">
        <fgColor rgb="001F4E79"/>
      </patternFill>
    </fill>
    <fill>
      <patternFill patternType="solid">
        <fgColor rgb="000F172A"/>
      </patternFill>
    </fill>
    <fill>
      <patternFill patternType="solid">
        <fgColor rgb="00334155"/>
      </patternFill>
    </fill>
    <fill>
      <patternFill patternType="solid">
        <fgColor rgb="00082F49"/>
      </patternFill>
    </fill>
    <fill>
      <patternFill patternType="solid">
        <fgColor rgb="000B1F33"/>
      </patternFill>
    </fill>
    <fill>
      <patternFill patternType="solid">
        <fgColor rgb="001F2937"/>
      </patternFill>
    </fill>
    <fill>
      <patternFill patternType="solid">
        <fgColor rgb="00111827"/>
      </patternFill>
    </fill>
    <fill>
      <patternFill patternType="solid">
        <fgColor rgb="000B1220"/>
      </patternFill>
    </fill>
  </fills>
  <borders count="3">
    <border/>
    <border>
      <left style="thin">
        <color rgb="00D9E2F3"/>
      </left>
      <right style="thin">
        <color rgb="00D9E2F3"/>
      </right>
      <top style="thin">
        <color rgb="00D9E2F3"/>
      </top>
      <bottom style="thin">
        <color rgb="00D9E2F3"/>
      </bottom>
    </border>
    <border/>
  </borders>
  <cellStyleXfs count="1">
    <xf numFmtId="0" fontId="0" fillId="0" borderId="2"/>
  </cellStyleXfs>
  <cellXfs count="6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0" borderId="2"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2" pivotButton="0" quotePrefix="0" xfId="0"/>
    <xf numFmtId="0" fontId="2" fillId="3" borderId="2" pivotButton="0" quotePrefix="0" xfId="0"/>
    <xf numFmtId="0" fontId="2" fillId="3" borderId="2" applyAlignment="1" pivotButton="0" quotePrefix="0" xfId="0">
      <alignment wrapText="1"/>
    </xf>
    <xf numFmtId="0" fontId="2" fillId="3" borderId="2" applyAlignment="1" pivotButton="0" quotePrefix="0" xfId="0">
      <alignment horizontal="center" wrapText="1"/>
    </xf>
    <xf numFmtId="0" fontId="2" fillId="3" borderId="2" applyAlignment="1" pivotButton="0" quotePrefix="0" xfId="0">
      <alignment horizontal="center" vertical="center" wrapText="1"/>
    </xf>
    <xf numFmtId="0" fontId="0" fillId="0" borderId="0" applyAlignment="1" pivotButton="0" quotePrefix="0" xfId="0">
      <alignment wrapText="1"/>
    </xf>
    <xf numFmtId="0" fontId="0" fillId="0" borderId="2" applyAlignment="1" pivotButton="0" quotePrefix="0" xfId="0">
      <alignment wrapText="1"/>
    </xf>
    <xf numFmtId="0" fontId="2" fillId="3" borderId="0" applyAlignment="1" pivotButton="0" quotePrefix="0" xfId="0">
      <alignment horizontal="center" vertical="top" wrapText="1"/>
    </xf>
    <xf numFmtId="0" fontId="0" fillId="0" borderId="0" applyAlignment="1" pivotButton="0" quotePrefix="0" xfId="0">
      <alignment vertical="top" wrapText="1"/>
    </xf>
    <xf numFmtId="0" fontId="2" fillId="3" borderId="2" applyAlignment="1" pivotButton="0" quotePrefix="0" xfId="0">
      <alignment horizontal="center" vertical="top" wrapText="1"/>
    </xf>
    <xf numFmtId="0" fontId="0" fillId="0" borderId="2" applyAlignment="1" pivotButton="0" quotePrefix="0" xfId="0">
      <alignment vertical="top" wrapText="1"/>
    </xf>
    <xf numFmtId="0" fontId="0" fillId="4" borderId="0" pivotButton="0" quotePrefix="0" xfId="0"/>
    <xf numFmtId="0" fontId="2" fillId="4" borderId="0" pivotButton="0" quotePrefix="0" xfId="0"/>
    <xf numFmtId="0" fontId="2" fillId="4" borderId="0" applyAlignment="1" pivotButton="0" quotePrefix="0" xfId="0">
      <alignment wrapText="1"/>
    </xf>
    <xf numFmtId="0" fontId="2" fillId="4" borderId="0" applyAlignment="1" pivotButton="0" quotePrefix="0" xfId="0">
      <alignment horizontal="center" wrapText="1"/>
    </xf>
    <xf numFmtId="0" fontId="2" fillId="4" borderId="0" applyAlignment="1" pivotButton="0" quotePrefix="0" xfId="0">
      <alignment horizontal="center" vertical="center" wrapText="1"/>
    </xf>
    <xf numFmtId="0" fontId="0" fillId="4" borderId="2" pivotButton="0" quotePrefix="0" xfId="0"/>
    <xf numFmtId="0" fontId="2" fillId="4" borderId="2" pivotButton="0" quotePrefix="0" xfId="0"/>
    <xf numFmtId="0" fontId="2" fillId="4" borderId="2" applyAlignment="1" pivotButton="0" quotePrefix="0" xfId="0">
      <alignment wrapText="1"/>
    </xf>
    <xf numFmtId="0" fontId="2" fillId="4" borderId="2" applyAlignment="1" pivotButton="0" quotePrefix="0" xfId="0">
      <alignment horizontal="center" wrapText="1"/>
    </xf>
    <xf numFmtId="0" fontId="2" fillId="4" borderId="2" applyAlignment="1" pivotButton="0" quotePrefix="0" xfId="0">
      <alignment horizontal="center" vertical="center" wrapText="1"/>
    </xf>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horizontal="left"/>
    </xf>
    <xf numFmtId="0" fontId="3" fillId="5" borderId="0" applyAlignment="1" pivotButton="0" quotePrefix="0" xfId="0">
      <alignment horizontal="left" vertical="center"/>
    </xf>
    <xf numFmtId="0" fontId="0" fillId="6" borderId="0" pivotButton="0" quotePrefix="0" xfId="0"/>
    <xf numFmtId="0" fontId="2" fillId="6" borderId="0" pivotButton="0" quotePrefix="0" xfId="0"/>
    <xf numFmtId="0" fontId="2" fillId="6" borderId="0" applyAlignment="1" pivotButton="0" quotePrefix="0" xfId="0">
      <alignment horizontal="center"/>
    </xf>
    <xf numFmtId="0" fontId="2" fillId="6" borderId="0" applyAlignment="1" pivotButton="0" quotePrefix="0" xfId="0">
      <alignment horizontal="center" vertical="center"/>
    </xf>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0" fillId="0" borderId="0" pivotButton="0" quotePrefix="0" xfId="0"/>
    <xf numFmtId="0" fontId="0" fillId="0" borderId="0" pivotButton="0" quotePrefix="0" xfId="0"/>
    <xf numFmtId="0" fontId="2" fillId="6" borderId="0" applyAlignment="1" pivotButton="0" quotePrefix="0" xfId="0">
      <alignment horizontal="center" vertical="center" wrapText="1"/>
    </xf>
    <xf numFmtId="0" fontId="1" fillId="3" borderId="1" applyAlignment="1" pivotButton="0" quotePrefix="0" xfId="0">
      <alignment vertical="top" wrapText="1"/>
    </xf>
    <xf numFmtId="0" fontId="1" fillId="3" borderId="0" applyAlignment="1" pivotButton="0" quotePrefix="0" xfId="0">
      <alignment horizontal="center" vertical="top" wrapText="1"/>
    </xf>
    <xf numFmtId="0" fontId="1" fillId="3" borderId="2" applyAlignment="1" pivotButton="0" quotePrefix="0" xfId="0">
      <alignment horizontal="left" vertical="center"/>
    </xf>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 fillId="3" borderId="0" applyAlignment="1" pivotButton="0" quotePrefix="0" xfId="0">
      <alignment horizontal="center" vertical="center"/>
    </xf>
    <xf numFmtId="0" fontId="1" fillId="3" borderId="0" applyAlignment="1" pivotButton="0" quotePrefix="0" xfId="0">
      <alignment horizontal="center" vertical="center" wrapText="1"/>
    </xf>
    <xf numFmtId="0" fontId="1" fillId="3" borderId="2" applyAlignment="1" pivotButton="0" quotePrefix="0" xfId="0">
      <alignment horizontal="center" vertical="top" wrapText="1"/>
    </xf>
    <xf numFmtId="0" fontId="1" fillId="3" borderId="0" pivotButton="0" quotePrefix="0" xfId="0"/>
    <xf numFmtId="0" fontId="1" fillId="0" borderId="0" pivotButton="0" quotePrefix="0" xfId="0"/>
    <xf numFmtId="0" fontId="4" fillId="0" borderId="0" pivotButton="0" quotePrefix="0" xfId="0"/>
    <xf numFmtId="0" fontId="1" fillId="3" borderId="0" applyAlignment="1" pivotButton="0" quotePrefix="0" xfId="0">
      <alignment vertical="top" wrapText="1"/>
    </xf>
    <xf numFmtId="0" fontId="1" fillId="9" borderId="0" applyAlignment="1" pivotButton="0" quotePrefix="0" xfId="0">
      <alignment horizont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ables/table1.xml><?xml version="1.0" encoding="utf-8"?>
<table xmlns="http://schemas.openxmlformats.org/spreadsheetml/2006/main" id="1" name="InfoBoxKeywordRadar" displayName="InfoBoxKeywordRadar" ref="A1:M104" headerRowCount="1">
  <tableColumns count="13">
    <tableColumn id="1" name="member_id"/>
    <tableColumn id="2" name="member_name"/>
    <tableColumn id="3" name="homepage"/>
    <tableColumn id="4" name="actor_role"/>
    <tableColumn id="5" name="searchable_profile_text"/>
    <tableColumn id="6" name="keyword_families_hit"/>
    <tableColumn id="7" name="keywords_hit"/>
    <tableColumn id="8" name="keyword_hit_count"/>
    <tableColumn id="9" name="strongest_static_signal"/>
    <tableColumn id="10" name="SOR_interpretation"/>
    <tableColumn id="11" name="suggested_use"/>
    <tableColumn id="12" name="source_url"/>
    <tableColumn id="13" name="extraction_note"/>
  </tableColumns>
  <tableStyleInfo name="TableStyleMedium2" showRowStripes="1"/>
</table>
</file>

<file path=xl/tables/table2.xml><?xml version="1.0" encoding="utf-8"?>
<table xmlns="http://schemas.openxmlformats.org/spreadsheetml/2006/main" id="2" name="KeywordSummary" displayName="KeywordSummary" ref="A1:D11" headerRowCount="1">
  <tableColumns count="4">
    <tableColumn id="1" name="keyword_family"/>
    <tableColumn id="2" name="member_count"/>
    <tableColumn id="3" name="example_members"/>
    <tableColumn id="4" name="all_members"/>
  </tableColumns>
  <tableStyleInfo name="TableStyleMedium2" showRowStripes="1"/>
</table>
</file>

<file path=xl/tables/table3.xml><?xml version="1.0" encoding="utf-8"?>
<table xmlns="http://schemas.openxmlformats.org/spreadsheetml/2006/main" id="3" name="KeywordDictionary" displayName="KeywordDictionary" ref="A1:B11" headerRowCount="1">
  <tableColumns count="2">
    <tableColumn id="1" name="keyword_family"/>
    <tableColumn id="2" name="keywords"/>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22"/>
  <sheetViews>
    <sheetView showGridLines="1" workbookViewId="0">
      <selection activeCell="A1" sqref="A1"/>
    </sheetView>
  </sheetViews>
  <sheetFormatPr baseColWidth="8" defaultRowHeight="15"/>
  <cols>
    <col width="32" customWidth="1" style="46" min="1" max="1"/>
    <col width="80" customWidth="1" style="46" min="2" max="2"/>
  </cols>
  <sheetData>
    <row r="1" ht="28" customHeight="1" s="46">
      <c r="A1" s="48" t="inlineStr">
        <is>
          <t>SOR/SCIP Static Dataset Update</t>
        </is>
      </c>
      <c r="B1" s="4" t="inlineStr"/>
    </row>
    <row r="2" ht="30" customHeight="1" s="46">
      <c r="A2" s="5" t="inlineStr">
        <is>
          <t>Updated on</t>
        </is>
      </c>
      <c r="B2" s="5" t="inlineStr">
        <is>
          <t>2026-06-09 16:45</t>
        </is>
      </c>
    </row>
    <row r="3" ht="30" customHeight="1" s="46">
      <c r="A3" s="5" t="inlineStr">
        <is>
          <t>Change made</t>
        </is>
      </c>
      <c r="B3" s="5" t="inlineStr">
        <is>
          <t>Deleted Alexianer GmbH; inserted Hochschule für Musik Mainz and Hochschule für Gesellschaftsgestaltung (HfGG).</t>
        </is>
      </c>
    </row>
    <row r="4" ht="30" customHeight="1" s="46">
      <c r="A4" s="5" t="inlineStr">
        <is>
          <t>Members in universe M</t>
        </is>
      </c>
      <c r="B4" s="5" t="n">
        <v>102</v>
      </c>
    </row>
    <row r="5" ht="30" customHeight="1" s="46">
      <c r="A5" s="5" t="inlineStr">
        <is>
          <t>Concrete clusters K</t>
        </is>
      </c>
      <c r="B5" s="5" t="n">
        <v>24</v>
      </c>
    </row>
    <row r="6" ht="30" customHeight="1" s="46">
      <c r="A6" s="5" t="inlineStr">
        <is>
          <t>Candidate cards P</t>
        </is>
      </c>
      <c r="B6" s="5" t="n">
        <v>694</v>
      </c>
    </row>
    <row r="7" ht="30" customHeight="1" s="46">
      <c r="A7" s="5" t="inlineStr">
        <is>
          <t>SCIP model</t>
        </is>
      </c>
      <c r="B7" s="5" t="inlineStr">
        <is>
          <t>Binary weighted set-packing over Excel-defined candidate universe P.</t>
        </is>
      </c>
    </row>
    <row r="8" ht="30" customHeight="1" s="46">
      <c r="A8" s="5" t="inlineStr">
        <is>
          <t>Objective</t>
        </is>
      </c>
      <c r="B8" s="5" t="inlineStr">
        <is>
          <t>maximize SUM(final_support_score_p * selected_x_p)</t>
        </is>
      </c>
    </row>
    <row r="9" ht="30" customHeight="1" s="46">
      <c r="A9" s="5" t="inlineStr">
        <is>
          <t>Candidate generation</t>
        </is>
      </c>
      <c r="B9" s="5" t="inlineStr">
        <is>
          <t>For each cluster, pair members with relevance &gt;=3; score and rank; keep top 30 per cluster.</t>
        </is>
      </c>
    </row>
    <row r="10" ht="30" customHeight="1" s="46">
      <c r="A10" s="5" t="inlineStr">
        <is>
          <t>Scoring</t>
        </is>
      </c>
      <c r="B10" s="5" t="inlineStr">
        <is>
          <t>Static score = positive support components minus penalties. Live crawler/feedback can later add dynamic boosts.</t>
        </is>
      </c>
    </row>
    <row r="12" ht="24" customHeight="1" s="46">
      <c r="A12" s="26" t="inlineStr">
        <is>
          <t>Update</t>
        </is>
      </c>
      <c r="B12" s="16" t="inlineStr">
        <is>
          <t>Static ZIRP info-box keyword radar added</t>
        </is>
      </c>
    </row>
    <row r="13" ht="24" customHeight="1" s="46">
      <c r="A13" s="26" t="inlineStr">
        <is>
          <t>New sheet</t>
        </is>
      </c>
      <c r="B13" s="16" t="inlineStr">
        <is>
          <t>InfoBox_Keyword_Radar</t>
        </is>
      </c>
    </row>
    <row r="14" ht="24" customHeight="1" s="46">
      <c r="A14" s="26" t="inlineStr">
        <is>
          <t>Members covered</t>
        </is>
      </c>
      <c r="B14" s="16" t="n">
        <v>103</v>
      </c>
    </row>
    <row r="15" ht="24" customHeight="1" s="46">
      <c r="A15" s="26" t="inlineStr">
        <is>
          <t>Dictionary</t>
        </is>
      </c>
      <c r="B15" s="16" t="inlineStr">
        <is>
          <t>Keyword_Dictionary</t>
        </is>
      </c>
    </row>
    <row r="16" ht="24" customHeight="1" s="46">
      <c r="A16" s="26" t="inlineStr">
        <is>
          <t>Summary</t>
        </is>
      </c>
      <c r="B16" s="16" t="inlineStr">
        <is>
          <t>Keyword_Summary</t>
        </is>
      </c>
    </row>
    <row r="18">
      <c r="A18" t="inlineStr">
        <is>
          <t>Update</t>
        </is>
      </c>
      <c r="B18" t="inlineStr">
        <is>
          <t>Role-weighted SCIP constraint layer added</t>
        </is>
      </c>
    </row>
    <row r="19">
      <c r="A19" t="inlineStr">
        <is>
          <t>New sheets</t>
        </is>
      </c>
      <c r="B19" t="inlineStr">
        <is>
          <t>Role_Weights; Member_Role_Weights; Candidate_Role_Balance; SCIP_Role_Constraint_Readme</t>
        </is>
      </c>
    </row>
    <row r="20">
      <c r="A20" t="inlineStr">
        <is>
          <t>Logic</t>
        </is>
      </c>
      <c r="B20" t="inlineStr">
        <is>
          <t>Each role gets total mass 1 via 1 / count(role). Candidate pair mass = weight(role_a)+weight(role_b).</t>
        </is>
      </c>
    </row>
    <row r="21">
      <c r="A21" t="inlineStr">
        <is>
          <t>Use</t>
        </is>
      </c>
      <c r="B21" t="inlineStr">
        <is>
          <t>Use role_balanced_score as objective input and role exposure as SCIP audit/constraint.</t>
        </is>
      </c>
    </row>
    <row r="22">
      <c r="A22" t="inlineStr">
        <is>
          <t>Created</t>
        </is>
      </c>
      <c r="B22" t="inlineStr">
        <is>
          <t>2026-06-13</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04"/>
  <sheetViews>
    <sheetView showGridLines="1" workbookViewId="0">
      <pane ySplit="1" topLeftCell="A2" activePane="bottomLeft" state="frozen"/>
      <selection pane="bottomLeft" activeCell="A1" sqref="A1"/>
    </sheetView>
  </sheetViews>
  <sheetFormatPr baseColWidth="8" defaultRowHeight="15"/>
  <cols>
    <col width="12" customWidth="1" style="46" min="1" max="1"/>
    <col width="70" customWidth="1" style="46" min="2" max="2"/>
    <col width="44" customWidth="1" style="46" min="3" max="3"/>
    <col width="23" customWidth="1" style="46" min="4" max="4"/>
    <col width="33" customWidth="1" style="46" min="5" max="5"/>
    <col width="15" customWidth="1" style="46" min="6" max="6"/>
    <col width="23" customWidth="1" style="46" min="7" max="7"/>
    <col width="51" customWidth="1" style="46" min="8" max="8"/>
    <col width="70" customWidth="1" style="46" min="9" max="9"/>
  </cols>
  <sheetData>
    <row r="1" ht="28" customHeight="1" s="46">
      <c r="A1" s="48" t="inlineStr">
        <is>
          <t>member_id</t>
        </is>
      </c>
      <c r="B1" s="48" t="inlineStr">
        <is>
          <t>member_name</t>
        </is>
      </c>
      <c r="C1" s="48" t="inlineStr">
        <is>
          <t>homepage</t>
        </is>
      </c>
      <c r="D1" s="48" t="inlineStr">
        <is>
          <t>actor_role</t>
        </is>
      </c>
      <c r="E1" s="61" t="inlineStr">
        <is>
          <t>actor_subrole</t>
        </is>
      </c>
      <c r="F1" s="48" t="inlineStr">
        <is>
          <t>cluster_count</t>
        </is>
      </c>
      <c r="G1" s="48" t="inlineStr">
        <is>
          <t>max_cluster_relevance</t>
        </is>
      </c>
      <c r="H1" s="48" t="inlineStr">
        <is>
          <t>broad_zirp_fields</t>
        </is>
      </c>
      <c r="I1" s="48" t="inlineStr">
        <is>
          <t>top_static_clusters</t>
        </is>
      </c>
    </row>
    <row r="2" ht="30" customHeight="1" s="46">
      <c r="A2" s="5" t="n">
        <v>1</v>
      </c>
      <c r="B2" s="5" t="inlineStr">
        <is>
          <t>1. FSV Mainz 05 e.V.</t>
        </is>
      </c>
      <c r="C2" s="5" t="inlineStr">
        <is>
          <t>https://www.mainz05.de</t>
        </is>
      </c>
      <c r="D2" s="5" t="inlineStr">
        <is>
          <t>context_actor</t>
        </is>
      </c>
      <c r="E2" t="inlineStr">
        <is>
          <t>sports_regional_identity_anchor</t>
        </is>
      </c>
      <c r="F2" s="5" t="n">
        <v>4</v>
      </c>
      <c r="G2" s="5" t="n">
        <v>5</v>
      </c>
      <c r="H2" s="5" t="inlineStr">
        <is>
          <t>gesellschaft, kultur</t>
        </is>
      </c>
      <c r="I2" s="5" t="inlineStr">
        <is>
          <t>Sport, Region und gesellschaftliche Identifikation (5); Kultur, Standortidentität und regionale Attraktivität (4); Demokratie, Medien und gesellschaftlicher Zusammenhalt (3); Kreativwirtschaft, Medien und digitale Öffentlichkeit (3)</t>
        </is>
      </c>
    </row>
    <row r="3" ht="30" customHeight="1" s="46">
      <c r="A3" s="5" t="n">
        <v>2</v>
      </c>
      <c r="B3" s="5" t="inlineStr">
        <is>
          <t>AOK Rheinland-Pfalz/Saarland</t>
        </is>
      </c>
      <c r="C3" s="5" t="inlineStr">
        <is>
          <t>https://www.aok.de/rheinland-pfalz</t>
        </is>
      </c>
      <c r="D3" s="5" t="inlineStr">
        <is>
          <t>context_actor</t>
        </is>
      </c>
      <c r="E3" t="inlineStr">
        <is>
          <t>health_social_anchor</t>
        </is>
      </c>
      <c r="F3" s="5" t="n">
        <v>3</v>
      </c>
      <c r="G3" s="5" t="n">
        <v>5</v>
      </c>
      <c r="H3" s="5" t="inlineStr">
        <is>
          <t>gesellschaft</t>
        </is>
      </c>
      <c r="I3" s="5" t="inlineStr">
        <is>
          <t>Gesundheitsversorgung und Prävention (5); Pflege, Fachkräfte und Sozialwirtschaft (4); Sport, Region und gesellschaftliche Identifikation (4)</t>
        </is>
      </c>
    </row>
    <row r="4" ht="30" customHeight="1" s="46">
      <c r="A4" s="5" t="n">
        <v>3</v>
      </c>
      <c r="B4" s="5" t="inlineStr">
        <is>
          <t>Architektenkammer Rheinland-Pfalz</t>
        </is>
      </c>
      <c r="C4" s="5" t="inlineStr">
        <is>
          <t>https://www.diearchitekten.org</t>
        </is>
      </c>
      <c r="D4" s="5" t="inlineStr">
        <is>
          <t>implementation_anchor</t>
        </is>
      </c>
      <c r="E4" t="inlineStr">
        <is>
          <t>construction_planning_anchor</t>
        </is>
      </c>
      <c r="F4" s="5" t="n">
        <v>3</v>
      </c>
      <c r="G4" s="5" t="n">
        <v>5</v>
      </c>
      <c r="H4" s="5" t="inlineStr">
        <is>
          <t>nachhaltigkeit, technologie</t>
        </is>
      </c>
      <c r="I4" s="5" t="inlineStr">
        <is>
          <t>Digitale Bau-, Planungs- und Genehmigungsprozesse (5); Klimaanpassung in Stadt und Land (4); Kreislaufwirtschaft, Bau und Ersatzbaustoffverordnung (4)</t>
        </is>
      </c>
    </row>
    <row r="5" ht="30" customHeight="1" s="46">
      <c r="A5" s="5" t="n">
        <v>4</v>
      </c>
      <c r="B5" s="5" t="inlineStr">
        <is>
          <t>Aturas GmbH</t>
        </is>
      </c>
      <c r="C5" s="5" t="inlineStr">
        <is>
          <t>https://aturas.com</t>
        </is>
      </c>
      <c r="D5" s="5" t="inlineStr">
        <is>
          <t>profit_anchor</t>
        </is>
      </c>
      <c r="E5" t="inlineStr">
        <is>
          <t>technology_digital_anchor</t>
        </is>
      </c>
      <c r="F5" s="5" t="n">
        <v>4</v>
      </c>
      <c r="G5" s="5" t="n">
        <v>4</v>
      </c>
      <c r="H5" s="5" t="inlineStr">
        <is>
          <t>technologie, wirtschaft, wissen</t>
        </is>
      </c>
      <c r="I5" s="5" t="inlineStr">
        <is>
          <t>Digitale Bau-, Planungs- und Genehmigungsprozesse (4); KI, Daten und Verwaltungs-/Wirtschaftsanwendungen (4); Mittelstand, Digitalisierung und Produktivität (4); Verwaltungswissen und digitale Umsetzung (4)</t>
        </is>
      </c>
    </row>
    <row r="6" ht="30" customHeight="1" s="46">
      <c r="A6" s="5" t="n">
        <v>5</v>
      </c>
      <c r="B6" s="5" t="inlineStr">
        <is>
          <t>Barmherzige Brüder Trier gGmbH</t>
        </is>
      </c>
      <c r="C6" s="5" t="inlineStr">
        <is>
          <t>https://www.bbtgruppe.de</t>
        </is>
      </c>
      <c r="D6" s="5" t="inlineStr">
        <is>
          <t>context_actor</t>
        </is>
      </c>
      <c r="E6" t="inlineStr">
        <is>
          <t>health_social_anchor</t>
        </is>
      </c>
      <c r="F6" s="5" t="n">
        <v>5</v>
      </c>
      <c r="G6" s="5" t="n">
        <v>5</v>
      </c>
      <c r="H6" s="5" t="inlineStr">
        <is>
          <t>gesellschaft, wirtschaft, wissen</t>
        </is>
      </c>
      <c r="I6" s="5" t="inlineStr">
        <is>
          <t>Pflege, Fachkräfte und Sozialwirtschaft (5); Arbeitsmarkt, Fachkräfte und Qualifizierung (4); Gesundheitsversorgung und Prävention (4); Teilhabe, Inklusion und Arbeitsmarkt (4); Weiterbildung und lebenslanges Lernen (4)</t>
        </is>
      </c>
    </row>
    <row r="7" ht="30" customHeight="1" s="46">
      <c r="A7" s="5" t="n">
        <v>6</v>
      </c>
      <c r="B7" s="5" t="inlineStr">
        <is>
          <t>BASF SE</t>
        </is>
      </c>
      <c r="C7" s="5" t="inlineStr">
        <is>
          <t>https://www.basf.com</t>
        </is>
      </c>
      <c r="D7" s="5" t="inlineStr">
        <is>
          <t>profit_anchor</t>
        </is>
      </c>
      <c r="E7" t="inlineStr">
        <is>
          <t>industry_anchor</t>
        </is>
      </c>
      <c r="F7" s="5" t="n">
        <v>5</v>
      </c>
      <c r="G7" s="5" t="n">
        <v>5</v>
      </c>
      <c r="H7" s="5" t="inlineStr">
        <is>
          <t>nachhaltigkeit, technologie, wirtschaft, wissen</t>
        </is>
      </c>
      <c r="I7" s="5" t="inlineStr">
        <is>
          <t>Standort, Investition und industrielle Transformation (5); Energie, Netze und Versorgungssicherheit (4); Hochschule-Wirtschaft-Transfer (4); Industrie 4.0, Automatisierung und Produktion (4); Arbeitsmarkt, Fachkräfte und Qualifizierung (3)</t>
        </is>
      </c>
    </row>
    <row r="8" ht="30" customHeight="1" s="46">
      <c r="A8" s="5" t="n">
        <v>7</v>
      </c>
      <c r="B8" s="5" t="inlineStr">
        <is>
          <t>Bauern- und Winzerverband Rheinland-Pfalz Süd e.V.</t>
        </is>
      </c>
      <c r="C8" s="5" t="inlineStr">
        <is>
          <t>https://www.bwv-rlp.de</t>
        </is>
      </c>
      <c r="D8" s="5" t="inlineStr">
        <is>
          <t>implementation_anchor</t>
        </is>
      </c>
      <c r="E8" t="inlineStr">
        <is>
          <t>agriculture_wine_anchor</t>
        </is>
      </c>
      <c r="F8" s="5" t="n">
        <v>1</v>
      </c>
      <c r="G8" s="5" t="n">
        <v>5</v>
      </c>
      <c r="H8" s="5" t="inlineStr">
        <is>
          <t>nachhaltigkeit</t>
        </is>
      </c>
      <c r="I8" s="5" t="inlineStr">
        <is>
          <t>Klimaanpassung in Stadt und Land (5)</t>
        </is>
      </c>
    </row>
    <row r="9" ht="30" customHeight="1" s="46">
      <c r="A9" s="5" t="n">
        <v>8</v>
      </c>
      <c r="B9" s="5" t="inlineStr">
        <is>
          <t>Bauwirtschaft Rheinland-Pfalz e.V.</t>
        </is>
      </c>
      <c r="C9" s="5" t="inlineStr">
        <is>
          <t>https://www.bauwirtschaft-rlp.de</t>
        </is>
      </c>
      <c r="D9" s="5" t="inlineStr">
        <is>
          <t>context_actor</t>
        </is>
      </c>
      <c r="E9" t="inlineStr">
        <is>
          <t>construction_planning_anchor</t>
        </is>
      </c>
      <c r="F9" s="5" t="n">
        <v>3</v>
      </c>
      <c r="G9" s="5" t="n">
        <v>5</v>
      </c>
      <c r="H9" s="5" t="inlineStr">
        <is>
          <t>nachhaltigkeit, technologie</t>
        </is>
      </c>
      <c r="I9" s="5" t="inlineStr">
        <is>
          <t>Digitale Bau-, Planungs- und Genehmigungsprozesse (5); Kreislaufwirtschaft, Bau und Ersatzbaustoffverordnung (5); Klimaanpassung in Stadt und Land (4)</t>
        </is>
      </c>
    </row>
    <row r="10" ht="30" customHeight="1" s="46">
      <c r="A10" s="5" t="n">
        <v>9</v>
      </c>
      <c r="B10" s="5" t="inlineStr">
        <is>
          <t>Bernd Hummel Holding GmbH</t>
        </is>
      </c>
      <c r="C10" s="5" t="inlineStr">
        <is>
          <t>https://www.bernd-hummel.de</t>
        </is>
      </c>
      <c r="D10" s="5" t="inlineStr">
        <is>
          <t>profit_anchor</t>
        </is>
      </c>
      <c r="E10" t="inlineStr">
        <is>
          <t>industry_anchor</t>
        </is>
      </c>
      <c r="F10" s="5" t="n">
        <v>0</v>
      </c>
      <c r="G10" s="5" t="n">
        <v>0</v>
      </c>
      <c r="H10" s="5" t="n"/>
      <c r="I10" s="5" t="n"/>
    </row>
    <row r="11" ht="30" customHeight="1" s="46">
      <c r="A11" s="5" t="n">
        <v>10</v>
      </c>
      <c r="B11" s="5" t="inlineStr">
        <is>
          <t>Bitburger Braugruppe GmbH</t>
        </is>
      </c>
      <c r="C11" s="5" t="inlineStr">
        <is>
          <t>https://www.bitburger-braugruppe.de</t>
        </is>
      </c>
      <c r="D11" s="5" t="inlineStr">
        <is>
          <t>profit_anchor</t>
        </is>
      </c>
      <c r="E11" t="inlineStr">
        <is>
          <t>food_beverage_consumer_anchor</t>
        </is>
      </c>
      <c r="F11" s="5" t="n">
        <v>1</v>
      </c>
      <c r="G11" s="5" t="n">
        <v>4</v>
      </c>
      <c r="H11" s="5" t="inlineStr">
        <is>
          <t>wirtschaft</t>
        </is>
      </c>
      <c r="I11" s="5" t="inlineStr">
        <is>
          <t>Standort, Investition und industrielle Transformation (4)</t>
        </is>
      </c>
    </row>
    <row r="12" ht="30" customHeight="1" s="46">
      <c r="A12" s="5" t="n">
        <v>11</v>
      </c>
      <c r="B12" s="5" t="inlineStr">
        <is>
          <t>Boehringer Ingelheim Pharma GmbH &amp; Co. KG</t>
        </is>
      </c>
      <c r="C12" s="5" t="inlineStr">
        <is>
          <t>https://www.boehringer-ingelheim.com/de</t>
        </is>
      </c>
      <c r="D12" s="5" t="inlineStr">
        <is>
          <t>profit_anchor</t>
        </is>
      </c>
      <c r="E12" t="inlineStr">
        <is>
          <t>health_social_anchor</t>
        </is>
      </c>
      <c r="F12" s="5" t="n">
        <v>5</v>
      </c>
      <c r="G12" s="5" t="n">
        <v>5</v>
      </c>
      <c r="H12" s="5" t="inlineStr">
        <is>
          <t>gesellschaft, wirtschaft, wissen</t>
        </is>
      </c>
      <c r="I12" s="5" t="inlineStr">
        <is>
          <t>Standort, Investition und industrielle Transformation (5); Gesundheitsversorgung und Prävention (4); Hochschule-Wirtschaft-Transfer (4); Arbeitsmarkt, Fachkräfte und Qualifizierung (3); Finanzierung und Förderung von Transformation (3)</t>
        </is>
      </c>
    </row>
    <row r="13" ht="30" customHeight="1" s="46">
      <c r="A13" s="5" t="n">
        <v>12</v>
      </c>
      <c r="B13" s="5" t="inlineStr">
        <is>
          <t>BRICKMAKERS AG</t>
        </is>
      </c>
      <c r="C13" s="5" t="inlineStr">
        <is>
          <t>http://www.brickmakers.de</t>
        </is>
      </c>
      <c r="D13" s="5" t="inlineStr">
        <is>
          <t>profit_anchor</t>
        </is>
      </c>
      <c r="E13" t="inlineStr">
        <is>
          <t>technology_digital_anchor</t>
        </is>
      </c>
      <c r="F13" s="5" t="n">
        <v>5</v>
      </c>
      <c r="G13" s="5" t="n">
        <v>5</v>
      </c>
      <c r="H13" s="5" t="inlineStr">
        <is>
          <t>technologie, wirtschaft, wissen</t>
        </is>
      </c>
      <c r="I13" s="5" t="inlineStr">
        <is>
          <t>KI, Daten und Verwaltungs-/Wirtschaftsanwendungen (5); Mittelstand, Digitalisierung und Produktivität (5); Cyberresilienz und kritische Infrastruktur (4); Digitale Bau-, Planungs- und Genehmigungsprozesse (4); Hochschule-Wirtschaft-Transfer (4)</t>
        </is>
      </c>
    </row>
    <row r="14" ht="30" customHeight="1" s="46">
      <c r="A14" s="5" t="n">
        <v>13</v>
      </c>
      <c r="B14" s="5" t="inlineStr">
        <is>
          <t>Bundesagentur für Arbeit, Regionaldirektion Rheinland-Pfalz-Saarland</t>
        </is>
      </c>
      <c r="C14" s="5" t="inlineStr">
        <is>
          <t>https://www.arbeitsagentur.de</t>
        </is>
      </c>
      <c r="D14" s="5" t="inlineStr">
        <is>
          <t>implementation_anchor</t>
        </is>
      </c>
      <c r="E14" t="inlineStr">
        <is>
          <t>public_policy_anchor</t>
        </is>
      </c>
      <c r="F14" s="5" t="n">
        <v>4</v>
      </c>
      <c r="G14" s="5" t="n">
        <v>5</v>
      </c>
      <c r="H14" s="5" t="inlineStr">
        <is>
          <t>gesellschaft, wirtschaft, wissen</t>
        </is>
      </c>
      <c r="I14" s="5" t="inlineStr">
        <is>
          <t>Arbeitsmarkt, Fachkräfte und Qualifizierung (5); Pflege, Fachkräfte und Sozialwirtschaft (5); Teilhabe, Inklusion und Arbeitsmarkt (5); Weiterbildung und lebenslanges Lernen (5)</t>
        </is>
      </c>
    </row>
    <row r="15" ht="30" customHeight="1" s="46">
      <c r="A15" s="5" t="n">
        <v>14</v>
      </c>
      <c r="B15" s="5" t="inlineStr">
        <is>
          <t>Caritasverband für die Diözese Speyer e.V.</t>
        </is>
      </c>
      <c r="C15" s="5" t="inlineStr">
        <is>
          <t>https://www.caritas-speyer.de</t>
        </is>
      </c>
      <c r="D15" s="5" t="inlineStr">
        <is>
          <t>implementation_anchor</t>
        </is>
      </c>
      <c r="E15" t="inlineStr">
        <is>
          <t>health_social_anchor</t>
        </is>
      </c>
      <c r="F15" s="5" t="n">
        <v>5</v>
      </c>
      <c r="G15" s="5" t="n">
        <v>5</v>
      </c>
      <c r="H15" s="5" t="inlineStr">
        <is>
          <t>gesellschaft, wirtschaft</t>
        </is>
      </c>
      <c r="I15" s="5" t="inlineStr">
        <is>
          <t>Pflege, Fachkräfte und Sozialwirtschaft (5); Teilhabe, Inklusion und Arbeitsmarkt (5); Arbeitsmarkt, Fachkräfte und Qualifizierung (4); Demokratie, Medien und gesellschaftlicher Zusammenhalt (4); Gesundheitsversorgung und Prävention (4)</t>
        </is>
      </c>
    </row>
    <row r="16" ht="30" customHeight="1" s="46">
      <c r="A16" s="5" t="n">
        <v>15</v>
      </c>
      <c r="B16" s="5" t="inlineStr">
        <is>
          <t>Continental Automotive Technologies GmbH, Safety and Motion (SAM), Standort Rheinböllen</t>
        </is>
      </c>
      <c r="C16" s="5" t="inlineStr">
        <is>
          <t>https://www.continental-corporation.de</t>
        </is>
      </c>
      <c r="D16" s="5" t="inlineStr">
        <is>
          <t>profit_anchor</t>
        </is>
      </c>
      <c r="E16" t="inlineStr">
        <is>
          <t>industry_anchor</t>
        </is>
      </c>
      <c r="F16" s="5" t="n">
        <v>2</v>
      </c>
      <c r="G16" s="5" t="n">
        <v>5</v>
      </c>
      <c r="H16" s="5" t="inlineStr">
        <is>
          <t>technologie, wirtschaft</t>
        </is>
      </c>
      <c r="I16" s="5" t="inlineStr">
        <is>
          <t>Industrie 4.0, Automatisierung und Produktion (5); Standort, Investition und industrielle Transformation (4)</t>
        </is>
      </c>
    </row>
    <row r="17" ht="30" customHeight="1" s="46">
      <c r="A17" s="5" t="n">
        <v>16</v>
      </c>
      <c r="B17" s="5" t="inlineStr">
        <is>
          <t>Debeka Versicherungsgruppe</t>
        </is>
      </c>
      <c r="C17" s="5" t="inlineStr">
        <is>
          <t>https://www.debeka.de</t>
        </is>
      </c>
      <c r="D17" s="5" t="inlineStr">
        <is>
          <t>profit_anchor</t>
        </is>
      </c>
      <c r="E17" t="inlineStr">
        <is>
          <t>bank_finance_anchor</t>
        </is>
      </c>
      <c r="F17" s="5" t="n">
        <v>3</v>
      </c>
      <c r="G17" s="5" t="n">
        <v>4</v>
      </c>
      <c r="H17" s="5" t="inlineStr">
        <is>
          <t>technologie, wirtschaft</t>
        </is>
      </c>
      <c r="I17" s="5" t="inlineStr">
        <is>
          <t>Cyberresilienz und kritische Infrastruktur (4); Finanzierung und Förderung von Transformation (4); Standort, Investition und industrielle Transformation (4)</t>
        </is>
      </c>
    </row>
    <row r="18" ht="30" customHeight="1" s="46">
      <c r="A18" s="5" t="n">
        <v>17</v>
      </c>
      <c r="B18" s="5" t="inlineStr">
        <is>
          <t>Deutsche Bundesbank, Hauptverwaltung in Rheinland-Pfalz und dem Saarland</t>
        </is>
      </c>
      <c r="C18" s="5" t="inlineStr">
        <is>
          <t>https://www.bundesbank.de</t>
        </is>
      </c>
      <c r="D18" s="5" t="inlineStr">
        <is>
          <t>context_actor</t>
        </is>
      </c>
      <c r="E18" t="inlineStr">
        <is>
          <t>bank_finance_anchor</t>
        </is>
      </c>
      <c r="F18" s="5" t="n">
        <v>1</v>
      </c>
      <c r="G18" s="5" t="n">
        <v>4</v>
      </c>
      <c r="H18" s="5" t="inlineStr">
        <is>
          <t>technologie</t>
        </is>
      </c>
      <c r="I18" s="5" t="inlineStr">
        <is>
          <t>Cyberresilienz und kritische Infrastruktur (4)</t>
        </is>
      </c>
    </row>
    <row r="19" ht="30" customHeight="1" s="46">
      <c r="A19" s="5" t="n">
        <v>18</v>
      </c>
      <c r="B19" s="5" t="inlineStr">
        <is>
          <t>Deutsche Telekom AG</t>
        </is>
      </c>
      <c r="C19" s="5" t="inlineStr">
        <is>
          <t>https://www.telekom.de</t>
        </is>
      </c>
      <c r="D19" s="5" t="inlineStr">
        <is>
          <t>profit_anchor</t>
        </is>
      </c>
      <c r="E19" t="inlineStr">
        <is>
          <t>technology_digital_anchor</t>
        </is>
      </c>
      <c r="F19" s="5" t="n">
        <v>5</v>
      </c>
      <c r="G19" s="5" t="n">
        <v>5</v>
      </c>
      <c r="H19" s="5" t="inlineStr">
        <is>
          <t>kultur, technologie, wirtschaft</t>
        </is>
      </c>
      <c r="I19" s="5" t="inlineStr">
        <is>
          <t>Cyberresilienz und kritische Infrastruktur (5); KI, Daten und Verwaltungs-/Wirtschaftsanwendungen (5); Mittelstand, Digitalisierung und Produktivität (5); Industrie 4.0, Automatisierung und Produktion (4); Kreativwirtschaft, Medien und digitale Öffentlichkeit (4)</t>
        </is>
      </c>
    </row>
    <row r="20" ht="30" customHeight="1" s="46">
      <c r="A20" s="5" t="n">
        <v>19</v>
      </c>
      <c r="B20" s="5" t="inlineStr">
        <is>
          <t>Deutsche Universität für Verwaltungswissenschaften Speyer</t>
        </is>
      </c>
      <c r="C20" s="5" t="inlineStr">
        <is>
          <t>https://www.uni-speyer.de</t>
        </is>
      </c>
      <c r="D20" s="5" t="inlineStr">
        <is>
          <t>academic_support</t>
        </is>
      </c>
      <c r="E20" t="inlineStr">
        <is>
          <t>university_research</t>
        </is>
      </c>
      <c r="F20" s="5" t="n">
        <v>5</v>
      </c>
      <c r="G20" s="5" t="n">
        <v>5</v>
      </c>
      <c r="H20" s="5" t="inlineStr">
        <is>
          <t>gesellschaft, technologie, wissen</t>
        </is>
      </c>
      <c r="I20" s="5" t="inlineStr">
        <is>
          <t>Demokratie, Medien und gesellschaftlicher Zusammenhalt (5); KI, Daten und Verwaltungs-/Wirtschaftsanwendungen (5); Verwaltungswissen und digitale Umsetzung (5); Wissenschaft, Demokratie und gesellschaftlicher Zusammenhalt (5); Digitale Bau-, Planungs- und Genehmigungsprozesse (4)</t>
        </is>
      </c>
    </row>
    <row r="21" ht="30" customHeight="1" s="46">
      <c r="A21" s="5" t="n">
        <v>20</v>
      </c>
      <c r="B21" s="5" t="inlineStr">
        <is>
          <t>Deutscher Gewerkschaftsbund (DGB) Rheinland-Pfalz/Saarland</t>
        </is>
      </c>
      <c r="C21" s="5" t="inlineStr">
        <is>
          <t>https://rlp-saarland.dgb.de</t>
        </is>
      </c>
      <c r="D21" s="5" t="inlineStr">
        <is>
          <t>context_actor</t>
        </is>
      </c>
      <c r="E21" t="inlineStr">
        <is>
          <t>chamber_association_anchor</t>
        </is>
      </c>
      <c r="F21" s="5" t="n">
        <v>4</v>
      </c>
      <c r="G21" s="5" t="n">
        <v>5</v>
      </c>
      <c r="H21" s="5" t="inlineStr">
        <is>
          <t>gesellschaft, wirtschaft, wissen</t>
        </is>
      </c>
      <c r="I21" s="5" t="inlineStr">
        <is>
          <t>Arbeitsmarkt, Fachkräfte und Qualifizierung (5); Pflege, Fachkräfte und Sozialwirtschaft (4); Teilhabe, Inklusion und Arbeitsmarkt (4); Weiterbildung und lebenslanges Lernen (4)</t>
        </is>
      </c>
    </row>
    <row r="22" ht="30" customHeight="1" s="46">
      <c r="A22" s="5" t="n">
        <v>21</v>
      </c>
      <c r="B22" s="5" t="inlineStr">
        <is>
          <t>Duale Hochschule Rheinland-Pfalz</t>
        </is>
      </c>
      <c r="C22" s="5" t="inlineStr">
        <is>
          <t>https://www.dh-rlp.de</t>
        </is>
      </c>
      <c r="D22" s="5" t="inlineStr">
        <is>
          <t>academic_support</t>
        </is>
      </c>
      <c r="E22" t="inlineStr">
        <is>
          <t>university_applied_sciences</t>
        </is>
      </c>
      <c r="F22" s="5" t="n">
        <v>4</v>
      </c>
      <c r="G22" s="5" t="n">
        <v>5</v>
      </c>
      <c r="H22" s="5" t="inlineStr">
        <is>
          <t>gesellschaft, wirtschaft, wissen</t>
        </is>
      </c>
      <c r="I22" s="5" t="inlineStr">
        <is>
          <t>Arbeitsmarkt, Fachkräfte und Qualifizierung (5); Weiterbildung und lebenslanges Lernen (5); Hochschule-Wirtschaft-Transfer (4); Pflege, Fachkräfte und Sozialwirtschaft (4)</t>
        </is>
      </c>
    </row>
    <row r="23" ht="30" customHeight="1" s="46">
      <c r="A23" s="5" t="n">
        <v>22</v>
      </c>
      <c r="B23" s="5" t="inlineStr">
        <is>
          <t>Eckes-Granini Deutschland GmbH</t>
        </is>
      </c>
      <c r="C23" s="5" t="inlineStr">
        <is>
          <t>https://www.eckes-granini.de</t>
        </is>
      </c>
      <c r="D23" s="5" t="inlineStr">
        <is>
          <t>profit_anchor</t>
        </is>
      </c>
      <c r="E23" t="inlineStr">
        <is>
          <t>food_beverage_consumer_anchor</t>
        </is>
      </c>
      <c r="F23" s="5" t="n">
        <v>1</v>
      </c>
      <c r="G23" s="5" t="n">
        <v>4</v>
      </c>
      <c r="H23" s="5" t="inlineStr">
        <is>
          <t>wirtschaft</t>
        </is>
      </c>
      <c r="I23" s="5" t="inlineStr">
        <is>
          <t>Standort, Investition und industrielle Transformation (4)</t>
        </is>
      </c>
    </row>
    <row r="24" ht="30" customHeight="1" s="46">
      <c r="A24" s="5" t="n">
        <v>23</v>
      </c>
      <c r="B24" s="5" t="inlineStr">
        <is>
          <t>Empolis Information Management GmbH</t>
        </is>
      </c>
      <c r="C24" s="5" t="inlineStr">
        <is>
          <t>https://www.empolis.com</t>
        </is>
      </c>
      <c r="D24" s="5" t="inlineStr">
        <is>
          <t>profit_anchor</t>
        </is>
      </c>
      <c r="E24" t="inlineStr">
        <is>
          <t>technology_digital_anchor</t>
        </is>
      </c>
      <c r="F24" s="5" t="n">
        <v>5</v>
      </c>
      <c r="G24" s="5" t="n">
        <v>5</v>
      </c>
      <c r="H24" s="5" t="inlineStr">
        <is>
          <t>technologie, wirtschaft, wissen</t>
        </is>
      </c>
      <c r="I24" s="5" t="inlineStr">
        <is>
          <t>KI, Daten und Verwaltungs-/Wirtschaftsanwendungen (5); Mittelstand, Digitalisierung und Produktivität (5); Verwaltungswissen und digitale Umsetzung (5); Cyberresilienz und kritische Infrastruktur (4); Digitale Bau-, Planungs- und Genehmigungsprozesse (4)</t>
        </is>
      </c>
    </row>
    <row r="25" ht="30" customHeight="1" s="46">
      <c r="A25" s="5" t="n">
        <v>24</v>
      </c>
      <c r="B25" s="5" t="inlineStr">
        <is>
          <t>ENTEGA Plus GmbH</t>
        </is>
      </c>
      <c r="C25" s="5" t="inlineStr">
        <is>
          <t>https://www.entega.de</t>
        </is>
      </c>
      <c r="D25" s="5" t="inlineStr">
        <is>
          <t>profit_anchor</t>
        </is>
      </c>
      <c r="E25" t="inlineStr">
        <is>
          <t>energy_infrastructure_anchor</t>
        </is>
      </c>
      <c r="F25" s="5" t="n">
        <v>3</v>
      </c>
      <c r="G25" s="5" t="n">
        <v>5</v>
      </c>
      <c r="H25" s="5" t="inlineStr">
        <is>
          <t>nachhaltigkeit, technologie</t>
        </is>
      </c>
      <c r="I25" s="5" t="inlineStr">
        <is>
          <t>Cyberresilienz und kritische Infrastruktur (5); Energie, Netze und Versorgungssicherheit (5); Wasser, Umwelttechnik und kommunale Resilienz (3)</t>
        </is>
      </c>
    </row>
    <row r="26" ht="30" customHeight="1" s="46">
      <c r="A26" s="5" t="n">
        <v>25</v>
      </c>
      <c r="B26" s="5" t="inlineStr">
        <is>
          <t>Entwicklungsagentur Rheinland-Pfalz e.V.</t>
        </is>
      </c>
      <c r="C26" s="5" t="inlineStr">
        <is>
          <t>https://www.ea-rlp.de</t>
        </is>
      </c>
      <c r="D26" s="5" t="inlineStr">
        <is>
          <t>implementation_anchor</t>
        </is>
      </c>
      <c r="E26" t="inlineStr">
        <is>
          <t>public_policy_anchor</t>
        </is>
      </c>
      <c r="F26" s="5" t="n">
        <v>5</v>
      </c>
      <c r="G26" s="5" t="n">
        <v>5</v>
      </c>
      <c r="H26" s="5" t="inlineStr">
        <is>
          <t>gesellschaft, kultur, nachhaltigkeit, technologie</t>
        </is>
      </c>
      <c r="I26" s="5" t="inlineStr">
        <is>
          <t>Klimaanpassung in Stadt und Land (5); Kultur, Standortidentität und regionale Attraktivität (5); Demokratie, Medien und gesellschaftlicher Zusammenhalt (3); Digitale Bau-, Planungs- und Genehmigungsprozesse (3); Kreativwirtschaft, Medien und digitale Öffentlichkeit (3)</t>
        </is>
      </c>
    </row>
    <row r="27" ht="30" customHeight="1" s="46">
      <c r="A27" s="5" t="n">
        <v>26</v>
      </c>
      <c r="B27" s="5" t="inlineStr">
        <is>
          <t>Ernst &amp; Young GmbH</t>
        </is>
      </c>
      <c r="C27" s="5" t="inlineStr">
        <is>
          <t>https://www.ey.com</t>
        </is>
      </c>
      <c r="D27" s="5" t="inlineStr">
        <is>
          <t>profit_anchor</t>
        </is>
      </c>
      <c r="E27" t="inlineStr">
        <is>
          <t>professional_services_anchor</t>
        </is>
      </c>
      <c r="F27" s="5" t="n">
        <v>2</v>
      </c>
      <c r="G27" s="5" t="n">
        <v>4</v>
      </c>
      <c r="H27" s="5" t="inlineStr">
        <is>
          <t>wirtschaft</t>
        </is>
      </c>
      <c r="I27" s="5" t="inlineStr">
        <is>
          <t>Finanzierung und Förderung von Transformation (4); Standort, Investition und industrielle Transformation (4)</t>
        </is>
      </c>
    </row>
    <row r="28" ht="30" customHeight="1" s="46">
      <c r="A28" s="5" t="n">
        <v>27</v>
      </c>
      <c r="B28" s="5" t="inlineStr">
        <is>
          <t>Erster FC Kaiserslautern GmbH &amp; Co. KGaA</t>
        </is>
      </c>
      <c r="C28" s="5" t="inlineStr">
        <is>
          <t>https://fck.de</t>
        </is>
      </c>
      <c r="D28" s="5" t="inlineStr">
        <is>
          <t>profit_anchor</t>
        </is>
      </c>
      <c r="E28" t="inlineStr">
        <is>
          <t>sports_regional_identity_anchor</t>
        </is>
      </c>
      <c r="F28" s="5" t="n">
        <v>4</v>
      </c>
      <c r="G28" s="5" t="n">
        <v>5</v>
      </c>
      <c r="H28" s="5" t="inlineStr">
        <is>
          <t>gesellschaft, kultur</t>
        </is>
      </c>
      <c r="I28" s="5" t="inlineStr">
        <is>
          <t>Sport, Region und gesellschaftliche Identifikation (5); Kultur, Standortidentität und regionale Attraktivität (4); Demokratie, Medien und gesellschaftlicher Zusammenhalt (3); Kreativwirtschaft, Medien und digitale Öffentlichkeit (3)</t>
        </is>
      </c>
    </row>
    <row r="29" ht="30" customHeight="1" s="46">
      <c r="A29" s="5" t="n">
        <v>28</v>
      </c>
      <c r="B29" s="5" t="inlineStr">
        <is>
          <t>Evangelische Kirche der Pfalz</t>
        </is>
      </c>
      <c r="C29" s="5" t="inlineStr">
        <is>
          <t>https://www.evkirchepfalz.de</t>
        </is>
      </c>
      <c r="D29" s="5" t="inlineStr">
        <is>
          <t>context_actor</t>
        </is>
      </c>
      <c r="E29" t="inlineStr">
        <is>
          <t>culture_foundation_anchor</t>
        </is>
      </c>
      <c r="F29" s="5" t="n">
        <v>5</v>
      </c>
      <c r="G29" s="5" t="n">
        <v>5</v>
      </c>
      <c r="H29" s="5" t="inlineStr">
        <is>
          <t>gesellschaft, kultur, wissen</t>
        </is>
      </c>
      <c r="I29" s="5" t="inlineStr">
        <is>
          <t>Demokratie, Medien und gesellschaftlicher Zusammenhalt (5); Wissenschaft, Demokratie und gesellschaftlicher Zusammenhalt (5); Kultur, Standortidentität und regionale Attraktivität (4); Teilhabe, Inklusion und Arbeitsmarkt (4); Talentförderung, Musik und Nachwuchs (3)</t>
        </is>
      </c>
    </row>
    <row r="30" ht="30" customHeight="1" s="46">
      <c r="A30" s="5" t="n">
        <v>29</v>
      </c>
      <c r="B30" s="5" t="inlineStr">
        <is>
          <t>Fachingen Heil- und Mineralbrunnen GmbH</t>
        </is>
      </c>
      <c r="C30" s="5" t="inlineStr">
        <is>
          <t>https://www.fachingen.de</t>
        </is>
      </c>
      <c r="D30" s="5" t="inlineStr">
        <is>
          <t>profit_anchor</t>
        </is>
      </c>
      <c r="E30" t="inlineStr">
        <is>
          <t>food_beverage_consumer_anchor</t>
        </is>
      </c>
      <c r="F30" s="5" t="n">
        <v>0</v>
      </c>
      <c r="G30" s="5" t="n">
        <v>0</v>
      </c>
      <c r="H30" s="5" t="n"/>
      <c r="I30" s="5" t="n"/>
    </row>
    <row r="31" ht="30" customHeight="1" s="46">
      <c r="A31" s="5" t="n">
        <v>30</v>
      </c>
      <c r="B31" s="5" t="inlineStr">
        <is>
          <t>Gerolsteiner Brunnen GmbH &amp; Co. KG</t>
        </is>
      </c>
      <c r="C31" s="5" t="inlineStr">
        <is>
          <t>https://www.gerolsteiner.de</t>
        </is>
      </c>
      <c r="D31" s="5" t="inlineStr">
        <is>
          <t>profit_anchor</t>
        </is>
      </c>
      <c r="E31" t="inlineStr">
        <is>
          <t>food_beverage_consumer_anchor</t>
        </is>
      </c>
      <c r="F31" s="5" t="n">
        <v>0</v>
      </c>
      <c r="G31" s="5" t="n">
        <v>0</v>
      </c>
      <c r="H31" s="5" t="n"/>
      <c r="I31" s="5" t="n"/>
    </row>
    <row r="32" ht="30" customHeight="1" s="46">
      <c r="A32" s="5" t="n">
        <v>31</v>
      </c>
      <c r="B32" s="5" t="inlineStr">
        <is>
          <t>GLOBUS Markthallen Holding GmbH &amp; Co. KG</t>
        </is>
      </c>
      <c r="C32" s="5" t="inlineStr">
        <is>
          <t>https://www.globus.de</t>
        </is>
      </c>
      <c r="D32" s="5" t="inlineStr">
        <is>
          <t>profit_anchor</t>
        </is>
      </c>
      <c r="E32" t="inlineStr">
        <is>
          <t>food_beverage_consumer_anchor</t>
        </is>
      </c>
      <c r="F32" s="5" t="n">
        <v>5</v>
      </c>
      <c r="G32" s="5" t="n">
        <v>4</v>
      </c>
      <c r="H32" s="5" t="inlineStr">
        <is>
          <t>gesellschaft, wirtschaft, wissen</t>
        </is>
      </c>
      <c r="I32" s="5" t="inlineStr">
        <is>
          <t>Standort, Investition und industrielle Transformation (4); Arbeitsmarkt, Fachkräfte und Qualifizierung (3); Sport, Region und gesellschaftliche Identifikation (3); Teilhabe, Inklusion und Arbeitsmarkt (3); Weiterbildung und lebenslanges Lernen (3)</t>
        </is>
      </c>
    </row>
    <row r="33" ht="30" customHeight="1" s="46">
      <c r="A33" s="5" t="n">
        <v>32</v>
      </c>
      <c r="B33" s="5" t="inlineStr">
        <is>
          <t>Handwerkskammern Rheinland-Pfalz</t>
        </is>
      </c>
      <c r="C33" s="5" t="inlineStr">
        <is>
          <t>https://handwerk-rlp.de</t>
        </is>
      </c>
      <c r="D33" s="5" t="inlineStr">
        <is>
          <t>implementation_anchor</t>
        </is>
      </c>
      <c r="E33" t="inlineStr">
        <is>
          <t>chamber_association_anchor</t>
        </is>
      </c>
      <c r="F33" s="5" t="n">
        <v>5</v>
      </c>
      <c r="G33" s="5" t="n">
        <v>5</v>
      </c>
      <c r="H33" s="5" t="inlineStr">
        <is>
          <t>wirtschaft, wissen</t>
        </is>
      </c>
      <c r="I33" s="5" t="inlineStr">
        <is>
          <t>Arbeitsmarkt, Fachkräfte und Qualifizierung (5); Weiterbildung und lebenslanges Lernen (5); Hochschule-Wirtschaft-Transfer (4); Mittelstand, Digitalisierung und Produktivität (4); Finanzierung und Förderung von Transformation (3)</t>
        </is>
      </c>
    </row>
    <row r="34" ht="30" customHeight="1" s="46">
      <c r="A34" s="5" t="n">
        <v>33</v>
      </c>
      <c r="B34" s="5" t="inlineStr">
        <is>
          <t>Heberger Gruppe</t>
        </is>
      </c>
      <c r="C34" s="5" t="inlineStr">
        <is>
          <t>https://www.heberger.de</t>
        </is>
      </c>
      <c r="D34" s="5" t="inlineStr">
        <is>
          <t>context_actor</t>
        </is>
      </c>
      <c r="E34" t="inlineStr">
        <is>
          <t>construction_planning_anchor</t>
        </is>
      </c>
      <c r="F34" s="5" t="n">
        <v>2</v>
      </c>
      <c r="G34" s="5" t="n">
        <v>4</v>
      </c>
      <c r="H34" s="5" t="inlineStr">
        <is>
          <t>nachhaltigkeit, technologie</t>
        </is>
      </c>
      <c r="I34" s="5" t="inlineStr">
        <is>
          <t>Kreislaufwirtschaft, Bau und Ersatzbaustoffverordnung (4); Digitale Bau-, Planungs- und Genehmigungsprozesse (3)</t>
        </is>
      </c>
    </row>
    <row r="35" ht="30" customHeight="1" s="46">
      <c r="A35" s="5" t="n">
        <v>34</v>
      </c>
      <c r="B35" s="5" t="inlineStr">
        <is>
          <t>Hochschule für Gesellschaftsgestaltung (HfGG)</t>
        </is>
      </c>
      <c r="C35" s="5" t="inlineStr">
        <is>
          <t>https://www.hfgg.de/</t>
        </is>
      </c>
      <c r="D35" s="5" t="inlineStr">
        <is>
          <t>academic_support</t>
        </is>
      </c>
      <c r="E35" t="inlineStr">
        <is>
          <t>university_applied_sciences</t>
        </is>
      </c>
      <c r="F35" s="5" t="n">
        <v>6</v>
      </c>
      <c r="G35" s="5" t="n">
        <v>5</v>
      </c>
      <c r="H35" s="5" t="inlineStr">
        <is>
          <t>gesellschaft, nachhaltigkeit, wissen</t>
        </is>
      </c>
      <c r="I35" s="5" t="inlineStr">
        <is>
          <t>Wissenschaft, Demokratie und gesellschaftlicher Zusammenhalt (5); Demokratie, Medien und gesellschaftlicher Zusammenhalt (4); Teilhabe, Inklusion und Arbeitsmarkt (4); Klimaanpassung in Stadt und Land (4); Hochschule-Wirtschaft-Transfer (3); Weiterbildung und lebenslanges Lernen (3)</t>
        </is>
      </c>
    </row>
    <row r="36" ht="30" customHeight="1" s="46">
      <c r="A36" s="5" t="n">
        <v>35</v>
      </c>
      <c r="B36" s="5" t="inlineStr">
        <is>
          <t>Hochschule für Musik Mainz</t>
        </is>
      </c>
      <c r="C36" s="5" t="inlineStr">
        <is>
          <t>https://www.musik.uni-mainz.de/</t>
        </is>
      </c>
      <c r="D36" s="5" t="inlineStr">
        <is>
          <t>academic_support</t>
        </is>
      </c>
      <c r="E36" t="inlineStr">
        <is>
          <t>university_applied_sciences</t>
        </is>
      </c>
      <c r="F36" s="5" t="n">
        <v>5</v>
      </c>
      <c r="G36" s="5" t="n">
        <v>5</v>
      </c>
      <c r="H36" s="5" t="inlineStr">
        <is>
          <t>kultur, wissen</t>
        </is>
      </c>
      <c r="I36" s="5" t="inlineStr">
        <is>
          <t>Talentförderung, Musik und Nachwuchs (5); Kultur, Standortidentität und regionale Attraktivität (4); Kreativwirtschaft, Medien und digitale Öffentlichkeit (3); Wissenschaft, Demokratie und gesellschaftlicher Zusammenhalt (3); Weiterbildung und lebenslanges Lernen (3)</t>
        </is>
      </c>
    </row>
    <row r="37" ht="30" customHeight="1" s="46">
      <c r="A37" s="5" t="n">
        <v>36</v>
      </c>
      <c r="B37" s="5" t="inlineStr">
        <is>
          <t>Hochschule für Wirtschaft und Gesellschaft Ludwigshafen</t>
        </is>
      </c>
      <c r="C37" s="5" t="inlineStr">
        <is>
          <t>https://www.hwg-lu.de</t>
        </is>
      </c>
      <c r="D37" s="5" t="inlineStr">
        <is>
          <t>academic_support</t>
        </is>
      </c>
      <c r="E37" t="inlineStr">
        <is>
          <t>university_applied_sciences</t>
        </is>
      </c>
      <c r="F37" s="5" t="n">
        <v>4</v>
      </c>
      <c r="G37" s="5" t="n">
        <v>4</v>
      </c>
      <c r="H37" s="5" t="inlineStr">
        <is>
          <t>gesellschaft, wirtschaft, wissen</t>
        </is>
      </c>
      <c r="I37" s="5" t="inlineStr">
        <is>
          <t>Arbeitsmarkt, Fachkräfte und Qualifizierung (4); Hochschule-Wirtschaft-Transfer (4); Weiterbildung und lebenslanges Lernen (4); Gesundheitsversorgung und Prävention (3)</t>
        </is>
      </c>
    </row>
    <row r="38" ht="30" customHeight="1" s="46">
      <c r="A38" s="5" t="n">
        <v>37</v>
      </c>
      <c r="B38" s="5" t="inlineStr">
        <is>
          <t>Hochschule Kaiserslautern</t>
        </is>
      </c>
      <c r="C38" s="5" t="inlineStr">
        <is>
          <t>https://www.hs-kl.de</t>
        </is>
      </c>
      <c r="D38" s="5" t="inlineStr">
        <is>
          <t>academic_support</t>
        </is>
      </c>
      <c r="E38" t="inlineStr">
        <is>
          <t>university_applied_sciences</t>
        </is>
      </c>
      <c r="F38" s="5" t="n">
        <v>5</v>
      </c>
      <c r="G38" s="5" t="n">
        <v>4</v>
      </c>
      <c r="H38" s="5" t="inlineStr">
        <is>
          <t>technologie, wirtschaft, wissen</t>
        </is>
      </c>
      <c r="I38" s="5" t="inlineStr">
        <is>
          <t>Arbeitsmarkt, Fachkräfte und Qualifizierung (4); Hochschule-Wirtschaft-Transfer (4); Industrie 4.0, Automatisierung und Produktion (4); KI, Daten und Verwaltungs-/Wirtschaftsanwendungen (4); Mittelstand, Digitalisierung und Produktivität (4)</t>
        </is>
      </c>
    </row>
    <row r="39" ht="30" customHeight="1" s="46">
      <c r="A39" s="5" t="n">
        <v>38</v>
      </c>
      <c r="B39" s="5" t="inlineStr">
        <is>
          <t>Hochschule Koblenz</t>
        </is>
      </c>
      <c r="C39" s="5" t="inlineStr">
        <is>
          <t>https://www.hs-koblenz.de</t>
        </is>
      </c>
      <c r="D39" s="5" t="inlineStr">
        <is>
          <t>academic_support</t>
        </is>
      </c>
      <c r="E39" t="inlineStr">
        <is>
          <t>university_applied_sciences</t>
        </is>
      </c>
      <c r="F39" s="5" t="n">
        <v>5</v>
      </c>
      <c r="G39" s="5" t="n">
        <v>4</v>
      </c>
      <c r="H39" s="5" t="inlineStr">
        <is>
          <t>technologie, wirtschaft, wissen</t>
        </is>
      </c>
      <c r="I39" s="5" t="inlineStr">
        <is>
          <t>Arbeitsmarkt, Fachkräfte und Qualifizierung (4); Hochschule-Wirtschaft-Transfer (4); Weiterbildung und lebenslanges Lernen (4); KI, Daten und Verwaltungs-/Wirtschaftsanwendungen (3); Mittelstand, Digitalisierung und Produktivität (3)</t>
        </is>
      </c>
    </row>
    <row r="40" ht="30" customHeight="1" s="46">
      <c r="A40" s="5" t="n">
        <v>39</v>
      </c>
      <c r="B40" s="5" t="inlineStr">
        <is>
          <t>Hochschule Mainz</t>
        </is>
      </c>
      <c r="C40" s="5" t="inlineStr">
        <is>
          <t>https://www.hs-mainz.de</t>
        </is>
      </c>
      <c r="D40" s="5" t="inlineStr">
        <is>
          <t>academic_support</t>
        </is>
      </c>
      <c r="E40" t="inlineStr">
        <is>
          <t>university_applied_sciences</t>
        </is>
      </c>
      <c r="F40" s="5" t="n">
        <v>5</v>
      </c>
      <c r="G40" s="5" t="n">
        <v>5</v>
      </c>
      <c r="H40" s="5" t="inlineStr">
        <is>
          <t>kultur, technologie, wirtschaft, wissen</t>
        </is>
      </c>
      <c r="I40" s="5" t="inlineStr">
        <is>
          <t>Digitale Bau-, Planungs- und Genehmigungsprozesse (5); Kreativwirtschaft, Medien und digitale Öffentlichkeit (5); Arbeitsmarkt, Fachkräfte und Qualifizierung (4); Hochschule-Wirtschaft-Transfer (4); KI, Daten und Verwaltungs-/Wirtschaftsanwendungen (4)</t>
        </is>
      </c>
    </row>
    <row r="41" ht="30" customHeight="1" s="46">
      <c r="A41" s="5" t="n">
        <v>40</v>
      </c>
      <c r="B41" s="5" t="inlineStr">
        <is>
          <t>Hochschule Trier</t>
        </is>
      </c>
      <c r="C41" s="5" t="inlineStr">
        <is>
          <t>https://www.hochschule-trier.de</t>
        </is>
      </c>
      <c r="D41" s="5" t="inlineStr">
        <is>
          <t>academic_support</t>
        </is>
      </c>
      <c r="E41" t="inlineStr">
        <is>
          <t>university_applied_sciences</t>
        </is>
      </c>
      <c r="F41" s="5" t="n">
        <v>5</v>
      </c>
      <c r="G41" s="5" t="n">
        <v>4</v>
      </c>
      <c r="H41" s="5" t="inlineStr">
        <is>
          <t>nachhaltigkeit, technologie, wirtschaft, wissen</t>
        </is>
      </c>
      <c r="I41" s="5" t="inlineStr">
        <is>
          <t>Arbeitsmarkt, Fachkräfte und Qualifizierung (4); Hochschule-Wirtschaft-Transfer (4); Wasser, Umwelttechnik und kommunale Resilienz (4); Weiterbildung und lebenslanges Lernen (4); Industrie 4.0, Automatisierung und Produktion (3)</t>
        </is>
      </c>
    </row>
    <row r="42" ht="30" customHeight="1" s="46">
      <c r="A42" s="5" t="n">
        <v>41</v>
      </c>
      <c r="B42" s="5" t="inlineStr">
        <is>
          <t>Hochschule Worms</t>
        </is>
      </c>
      <c r="C42" s="5" t="inlineStr">
        <is>
          <t>https://www.hs-worms.de</t>
        </is>
      </c>
      <c r="D42" s="5" t="inlineStr">
        <is>
          <t>academic_support</t>
        </is>
      </c>
      <c r="E42" t="inlineStr">
        <is>
          <t>university_applied_sciences</t>
        </is>
      </c>
      <c r="F42" s="5" t="n">
        <v>3</v>
      </c>
      <c r="G42" s="5" t="n">
        <v>4</v>
      </c>
      <c r="H42" s="5" t="inlineStr">
        <is>
          <t>wirtschaft, wissen</t>
        </is>
      </c>
      <c r="I42" s="5" t="inlineStr">
        <is>
          <t>Arbeitsmarkt, Fachkräfte und Qualifizierung (4); Hochschule-Wirtschaft-Transfer (4); Weiterbildung und lebenslanges Lernen (4)</t>
        </is>
      </c>
    </row>
    <row r="43" ht="30" customHeight="1" s="46">
      <c r="A43" s="5" t="n">
        <v>42</v>
      </c>
      <c r="B43" s="5" t="inlineStr">
        <is>
          <t>IKK Südwest</t>
        </is>
      </c>
      <c r="C43" s="5" t="inlineStr">
        <is>
          <t>https://www.ikk-suedwest.de</t>
        </is>
      </c>
      <c r="D43" s="5" t="inlineStr">
        <is>
          <t>context_actor</t>
        </is>
      </c>
      <c r="E43" t="inlineStr">
        <is>
          <t>health_social_anchor</t>
        </is>
      </c>
      <c r="F43" s="5" t="n">
        <v>3</v>
      </c>
      <c r="G43" s="5" t="n">
        <v>5</v>
      </c>
      <c r="H43" s="5" t="inlineStr">
        <is>
          <t>gesellschaft</t>
        </is>
      </c>
      <c r="I43" s="5" t="inlineStr">
        <is>
          <t>Gesundheitsversorgung und Prävention (5); Pflege, Fachkräfte und Sozialwirtschaft (4); Sport, Region und gesellschaftliche Identifikation (4)</t>
        </is>
      </c>
    </row>
    <row r="44" ht="30" customHeight="1" s="46">
      <c r="A44" s="5" t="n">
        <v>43</v>
      </c>
      <c r="B44" s="5" t="inlineStr">
        <is>
          <t>in.betrieb gGmbH</t>
        </is>
      </c>
      <c r="C44" s="5" t="inlineStr">
        <is>
          <t>https://inbetrieb-mainz.de/de/</t>
        </is>
      </c>
      <c r="D44" s="5" t="inlineStr">
        <is>
          <t>context_actor</t>
        </is>
      </c>
      <c r="E44" t="inlineStr">
        <is>
          <t>health_social_anchor</t>
        </is>
      </c>
      <c r="F44" s="5" t="n">
        <v>3</v>
      </c>
      <c r="G44" s="5" t="n">
        <v>5</v>
      </c>
      <c r="H44" s="5" t="inlineStr">
        <is>
          <t>gesellschaft, wirtschaft</t>
        </is>
      </c>
      <c r="I44" s="5" t="inlineStr">
        <is>
          <t>Pflege, Fachkräfte und Sozialwirtschaft (5); Teilhabe, Inklusion und Arbeitsmarkt (5); Arbeitsmarkt, Fachkräfte und Qualifizierung (4)</t>
        </is>
      </c>
    </row>
    <row r="45" ht="30" customHeight="1" s="46">
      <c r="A45" s="5" t="n">
        <v>44</v>
      </c>
      <c r="B45" s="5" t="inlineStr">
        <is>
          <t>Ingenieurkammer Rheinland-Pfalz</t>
        </is>
      </c>
      <c r="C45" s="5" t="inlineStr">
        <is>
          <t>https://www.ing-rlp.de</t>
        </is>
      </c>
      <c r="D45" s="5" t="inlineStr">
        <is>
          <t>implementation_anchor</t>
        </is>
      </c>
      <c r="E45" t="inlineStr">
        <is>
          <t>construction_planning_anchor</t>
        </is>
      </c>
      <c r="F45" s="5" t="n">
        <v>3</v>
      </c>
      <c r="G45" s="5" t="n">
        <v>5</v>
      </c>
      <c r="H45" s="5" t="inlineStr">
        <is>
          <t>nachhaltigkeit, technologie</t>
        </is>
      </c>
      <c r="I45" s="5" t="inlineStr">
        <is>
          <t>Digitale Bau-, Planungs- und Genehmigungsprozesse (5); Klimaanpassung in Stadt und Land (4); Kreislaufwirtschaft, Bau und Ersatzbaustoffverordnung (4)</t>
        </is>
      </c>
    </row>
    <row r="46" ht="30" customHeight="1" s="46">
      <c r="A46" s="5" t="n">
        <v>45</v>
      </c>
      <c r="B46" s="5" t="inlineStr">
        <is>
          <t>Investitions- und Strukturbank Rheinland-Pfalz (ISB)</t>
        </is>
      </c>
      <c r="C46" s="5" t="inlineStr">
        <is>
          <t>https://www.isb.rlp.de</t>
        </is>
      </c>
      <c r="D46" s="5" t="inlineStr">
        <is>
          <t>context_actor</t>
        </is>
      </c>
      <c r="E46" t="inlineStr">
        <is>
          <t>bank_finance_anchor</t>
        </is>
      </c>
      <c r="F46" s="5" t="n">
        <v>5</v>
      </c>
      <c r="G46" s="5" t="n">
        <v>5</v>
      </c>
      <c r="H46" s="5" t="inlineStr">
        <is>
          <t>nachhaltigkeit, wirtschaft, wissen</t>
        </is>
      </c>
      <c r="I46" s="5" t="inlineStr">
        <is>
          <t>Finanzierung und Förderung von Transformation (5); Standort, Investition und industrielle Transformation (5); Energie, Netze und Versorgungssicherheit (3); Hochschule-Wirtschaft-Transfer (3); Kreislaufwirtschaft, Bau und Ersatzbaustoffverordnung (3)</t>
        </is>
      </c>
    </row>
    <row r="47" ht="30" customHeight="1" s="46">
      <c r="A47" s="5" t="n">
        <v>46</v>
      </c>
      <c r="B47" s="5" t="inlineStr">
        <is>
          <t>IQIB - Institut für qualifizierende Innovationsforschung und -beratung GmbH</t>
        </is>
      </c>
      <c r="C47" s="5" t="inlineStr">
        <is>
          <t>https://www.iqib.de</t>
        </is>
      </c>
      <c r="D47" s="5" t="inlineStr">
        <is>
          <t>profit_anchor</t>
        </is>
      </c>
      <c r="E47" t="inlineStr">
        <is>
          <t>technology_digital_anchor</t>
        </is>
      </c>
      <c r="F47" s="5" t="n">
        <v>2</v>
      </c>
      <c r="G47" s="5" t="n">
        <v>4</v>
      </c>
      <c r="H47" s="5" t="inlineStr">
        <is>
          <t>technologie, wirtschaft</t>
        </is>
      </c>
      <c r="I47" s="5" t="inlineStr">
        <is>
          <t>KI, Daten und Verwaltungs-/Wirtschaftsanwendungen (4); Mittelstand, Digitalisierung und Produktivität (4)</t>
        </is>
      </c>
    </row>
    <row r="48" ht="30" customHeight="1" s="46">
      <c r="A48" s="5" t="n">
        <v>47</v>
      </c>
      <c r="B48" s="5" t="inlineStr">
        <is>
          <t>ITK Engineering GmbH</t>
        </is>
      </c>
      <c r="C48" s="5" t="inlineStr">
        <is>
          <t>https://www.itk-engineering.de</t>
        </is>
      </c>
      <c r="D48" s="5" t="inlineStr">
        <is>
          <t>profit_anchor</t>
        </is>
      </c>
      <c r="E48" t="inlineStr">
        <is>
          <t>technology_digital_anchor</t>
        </is>
      </c>
      <c r="F48" s="5" t="n">
        <v>4</v>
      </c>
      <c r="G48" s="5" t="n">
        <v>5</v>
      </c>
      <c r="H48" s="5" t="inlineStr">
        <is>
          <t>technologie, wirtschaft, wissen</t>
        </is>
      </c>
      <c r="I48" s="5" t="inlineStr">
        <is>
          <t>Industrie 4.0, Automatisierung und Produktion (5); Mittelstand, Digitalisierung und Produktivität (5); Hochschule-Wirtschaft-Transfer (4); KI, Daten und Verwaltungs-/Wirtschaftsanwendungen (4)</t>
        </is>
      </c>
    </row>
    <row r="49" ht="30" customHeight="1" s="46">
      <c r="A49" s="5" t="n">
        <v>48</v>
      </c>
      <c r="B49" s="5" t="inlineStr">
        <is>
          <t>JOBS FOR MOMS UG</t>
        </is>
      </c>
      <c r="C49" s="5" t="inlineStr">
        <is>
          <t>https://jobsformoms.de/de-de/home</t>
        </is>
      </c>
      <c r="D49" s="5" t="inlineStr">
        <is>
          <t>context_actor</t>
        </is>
      </c>
      <c r="E49" t="inlineStr">
        <is>
          <t>professional_services_anchor</t>
        </is>
      </c>
      <c r="F49" s="5" t="n">
        <v>4</v>
      </c>
      <c r="G49" s="5" t="n">
        <v>5</v>
      </c>
      <c r="H49" s="5" t="inlineStr">
        <is>
          <t>gesellschaft, wirtschaft, wissen</t>
        </is>
      </c>
      <c r="I49" s="5" t="inlineStr">
        <is>
          <t>Teilhabe, Inklusion und Arbeitsmarkt (5); Arbeitsmarkt, Fachkräfte und Qualifizierung (4); Weiterbildung und lebenslanges Lernen (4); Pflege, Fachkräfte und Sozialwirtschaft (3)</t>
        </is>
      </c>
    </row>
    <row r="50" ht="30" customHeight="1" s="46">
      <c r="A50" s="5" t="n">
        <v>49</v>
      </c>
      <c r="B50" s="5" t="inlineStr">
        <is>
          <t>Johannes Gutenberg-Universität Mainz</t>
        </is>
      </c>
      <c r="C50" s="5" t="inlineStr">
        <is>
          <t>https://www.uni-mainz.de</t>
        </is>
      </c>
      <c r="D50" s="5" t="inlineStr">
        <is>
          <t>academic_support</t>
        </is>
      </c>
      <c r="E50" t="inlineStr">
        <is>
          <t>university_research</t>
        </is>
      </c>
      <c r="F50" s="5" t="n">
        <v>5</v>
      </c>
      <c r="G50" s="5" t="n">
        <v>5</v>
      </c>
      <c r="H50" s="5" t="inlineStr">
        <is>
          <t>gesellschaft, kultur, technologie, wissen</t>
        </is>
      </c>
      <c r="I50" s="5" t="inlineStr">
        <is>
          <t>Hochschule-Wirtschaft-Transfer (5); Wissenschaft, Demokratie und gesellschaftlicher Zusammenhalt (5); Demokratie, Medien und gesellschaftlicher Zusammenhalt (4); KI, Daten und Verwaltungs-/Wirtschaftsanwendungen (4); Kreativwirtschaft, Medien und digitale Öffentlichkeit (4)</t>
        </is>
      </c>
    </row>
    <row r="51" ht="30" customHeight="1" s="46">
      <c r="A51" s="5" t="n">
        <v>50</v>
      </c>
      <c r="B51" s="5" t="inlineStr">
        <is>
          <t>Joseph Vögele AG</t>
        </is>
      </c>
      <c r="C51" s="5" t="inlineStr">
        <is>
          <t>https://www.voegele.info</t>
        </is>
      </c>
      <c r="D51" s="5" t="inlineStr">
        <is>
          <t>profit_anchor</t>
        </is>
      </c>
      <c r="E51" t="inlineStr">
        <is>
          <t>construction_planning_anchor</t>
        </is>
      </c>
      <c r="F51" s="5" t="n">
        <v>3</v>
      </c>
      <c r="G51" s="5" t="n">
        <v>5</v>
      </c>
      <c r="H51" s="5" t="inlineStr">
        <is>
          <t>technologie, wirtschaft</t>
        </is>
      </c>
      <c r="I51" s="5" t="inlineStr">
        <is>
          <t>Industrie 4.0, Automatisierung und Produktion (5); Mittelstand, Digitalisierung und Produktivität (4); Standort, Investition und industrielle Transformation (4)</t>
        </is>
      </c>
    </row>
    <row r="52" ht="30" customHeight="1" s="46">
      <c r="A52" s="5" t="n">
        <v>51</v>
      </c>
      <c r="B52" s="5" t="inlineStr">
        <is>
          <t>JUWI GmbH</t>
        </is>
      </c>
      <c r="C52" s="5" t="inlineStr">
        <is>
          <t>https://www.juwi.de</t>
        </is>
      </c>
      <c r="D52" s="5" t="inlineStr">
        <is>
          <t>profit_anchor</t>
        </is>
      </c>
      <c r="E52" t="inlineStr">
        <is>
          <t>energy_infrastructure_anchor</t>
        </is>
      </c>
      <c r="F52" s="5" t="n">
        <v>3</v>
      </c>
      <c r="G52" s="5" t="n">
        <v>5</v>
      </c>
      <c r="H52" s="5" t="inlineStr">
        <is>
          <t>nachhaltigkeit, wirtschaft</t>
        </is>
      </c>
      <c r="I52" s="5" t="inlineStr">
        <is>
          <t>Energie, Netze und Versorgungssicherheit (5); Finanzierung und Förderung von Transformation (3); Klimaanpassung in Stadt und Land (3)</t>
        </is>
      </c>
    </row>
    <row r="53" ht="30" customHeight="1" s="46">
      <c r="A53" s="5" t="n">
        <v>52</v>
      </c>
      <c r="B53" s="5" t="inlineStr">
        <is>
          <t>Karl Gemünden GmbH &amp; Co. KG</t>
        </is>
      </c>
      <c r="C53" s="5" t="inlineStr">
        <is>
          <t>https://www.gemuenden-bau.de</t>
        </is>
      </c>
      <c r="D53" s="5" t="inlineStr">
        <is>
          <t>profit_anchor</t>
        </is>
      </c>
      <c r="E53" t="inlineStr">
        <is>
          <t>construction_planning_anchor</t>
        </is>
      </c>
      <c r="F53" s="5" t="n">
        <v>2</v>
      </c>
      <c r="G53" s="5" t="n">
        <v>4</v>
      </c>
      <c r="H53" s="5" t="inlineStr">
        <is>
          <t>nachhaltigkeit, technologie</t>
        </is>
      </c>
      <c r="I53" s="5" t="inlineStr">
        <is>
          <t>Kreislaufwirtschaft, Bau und Ersatzbaustoffverordnung (4); Digitale Bau-, Planungs- und Genehmigungsprozesse (3)</t>
        </is>
      </c>
    </row>
    <row r="54" ht="30" customHeight="1" s="46">
      <c r="A54" s="5" t="n">
        <v>53</v>
      </c>
      <c r="B54" s="5" t="inlineStr">
        <is>
          <t>Kassenzahnärztliche Vereinigung Rheinland-Pfalz</t>
        </is>
      </c>
      <c r="C54" s="5" t="inlineStr">
        <is>
          <t>https://www.kzv-rlp.de</t>
        </is>
      </c>
      <c r="D54" s="5" t="inlineStr">
        <is>
          <t>context_actor</t>
        </is>
      </c>
      <c r="E54" t="inlineStr">
        <is>
          <t>health_social_anchor</t>
        </is>
      </c>
      <c r="F54" s="5" t="n">
        <v>1</v>
      </c>
      <c r="G54" s="5" t="n">
        <v>4</v>
      </c>
      <c r="H54" s="5" t="inlineStr">
        <is>
          <t>gesellschaft</t>
        </is>
      </c>
      <c r="I54" s="5" t="inlineStr">
        <is>
          <t>Gesundheitsversorgung und Prävention (4)</t>
        </is>
      </c>
    </row>
    <row r="55" ht="30" customHeight="1" s="46">
      <c r="A55" s="5" t="n">
        <v>54</v>
      </c>
      <c r="B55" s="5" t="inlineStr">
        <is>
          <t>Kassenärztliche Vereinigung Rheinland-Pfalz</t>
        </is>
      </c>
      <c r="C55" s="5" t="inlineStr">
        <is>
          <t>https://www.kv-rlp.de</t>
        </is>
      </c>
      <c r="D55" s="5" t="inlineStr">
        <is>
          <t>context_actor</t>
        </is>
      </c>
      <c r="E55" t="inlineStr">
        <is>
          <t>health_social_anchor</t>
        </is>
      </c>
      <c r="F55" s="5" t="n">
        <v>2</v>
      </c>
      <c r="G55" s="5" t="n">
        <v>5</v>
      </c>
      <c r="H55" s="5" t="inlineStr">
        <is>
          <t>gesellschaft</t>
        </is>
      </c>
      <c r="I55" s="5" t="inlineStr">
        <is>
          <t>Gesundheitsversorgung und Prävention (5); Pflege, Fachkräfte und Sozialwirtschaft (4)</t>
        </is>
      </c>
    </row>
    <row r="56" ht="30" customHeight="1" s="46">
      <c r="A56" s="5" t="n">
        <v>55</v>
      </c>
      <c r="B56" s="5" t="inlineStr">
        <is>
          <t>Katholische Hochschule Mainz</t>
        </is>
      </c>
      <c r="C56" s="5" t="inlineStr">
        <is>
          <t>https://www.kh-mz.de</t>
        </is>
      </c>
      <c r="D56" s="5" t="inlineStr">
        <is>
          <t>academic_support</t>
        </is>
      </c>
      <c r="E56" t="inlineStr">
        <is>
          <t>university_applied_sciences</t>
        </is>
      </c>
      <c r="F56" s="5" t="n">
        <v>5</v>
      </c>
      <c r="G56" s="5" t="n">
        <v>5</v>
      </c>
      <c r="H56" s="5" t="inlineStr">
        <is>
          <t>gesellschaft, wirtschaft, wissen</t>
        </is>
      </c>
      <c r="I56" s="5" t="inlineStr">
        <is>
          <t>Pflege, Fachkräfte und Sozialwirtschaft (5); Arbeitsmarkt, Fachkräfte und Qualifizierung (4); Demokratie, Medien und gesellschaftlicher Zusammenhalt (4); Teilhabe, Inklusion und Arbeitsmarkt (4); Weiterbildung und lebenslanges Lernen (4)</t>
        </is>
      </c>
    </row>
    <row r="57" ht="30" customHeight="1" s="46">
      <c r="A57" s="5" t="n">
        <v>56</v>
      </c>
      <c r="B57" s="5" t="inlineStr">
        <is>
          <t>KPMG AG Wirtschaftsprüfungsgesellschaft</t>
        </is>
      </c>
      <c r="C57" s="5" t="inlineStr">
        <is>
          <t>https://kpmg.com/de/de/home</t>
        </is>
      </c>
      <c r="D57" s="5" t="inlineStr">
        <is>
          <t>profit_anchor</t>
        </is>
      </c>
      <c r="E57" t="inlineStr">
        <is>
          <t>professional_services_anchor</t>
        </is>
      </c>
      <c r="F57" s="5" t="n">
        <v>2</v>
      </c>
      <c r="G57" s="5" t="n">
        <v>4</v>
      </c>
      <c r="H57" s="5" t="inlineStr">
        <is>
          <t>wirtschaft</t>
        </is>
      </c>
      <c r="I57" s="5" t="inlineStr">
        <is>
          <t>Finanzierung und Förderung von Transformation (4); Standort, Investition und industrielle Transformation (4)</t>
        </is>
      </c>
    </row>
    <row r="58" ht="30" customHeight="1" s="46">
      <c r="A58" s="5" t="n">
        <v>57</v>
      </c>
      <c r="B58" s="5" t="inlineStr">
        <is>
          <t>KSB AG</t>
        </is>
      </c>
      <c r="C58" s="5" t="inlineStr">
        <is>
          <t>https://www.ksb.com</t>
        </is>
      </c>
      <c r="D58" s="5" t="inlineStr">
        <is>
          <t>profit_anchor</t>
        </is>
      </c>
      <c r="E58" t="inlineStr">
        <is>
          <t>industry_anchor</t>
        </is>
      </c>
      <c r="F58" s="5" t="n">
        <v>4</v>
      </c>
      <c r="G58" s="5" t="n">
        <v>5</v>
      </c>
      <c r="H58" s="5" t="inlineStr">
        <is>
          <t>nachhaltigkeit, technologie, wirtschaft</t>
        </is>
      </c>
      <c r="I58" s="5" t="inlineStr">
        <is>
          <t>Wasser, Umwelttechnik und kommunale Resilienz (5); Cyberresilienz und kritische Infrastruktur (4); Industrie 4.0, Automatisierung und Produktion (4); Standort, Investition und industrielle Transformation (4)</t>
        </is>
      </c>
    </row>
    <row r="59" ht="30" customHeight="1" s="46">
      <c r="A59" s="5" t="n">
        <v>58</v>
      </c>
      <c r="B59" s="5" t="inlineStr">
        <is>
          <t>KÜBLER GmbH</t>
        </is>
      </c>
      <c r="C59" s="5" t="inlineStr">
        <is>
          <t>https://www.kuebler-hallenheizungen.de</t>
        </is>
      </c>
      <c r="D59" s="5" t="inlineStr">
        <is>
          <t>profit_anchor</t>
        </is>
      </c>
      <c r="E59" t="inlineStr">
        <is>
          <t>energy_infrastructure_anchor</t>
        </is>
      </c>
      <c r="F59" s="5" t="n">
        <v>3</v>
      </c>
      <c r="G59" s="5" t="n">
        <v>4</v>
      </c>
      <c r="H59" s="5" t="inlineStr">
        <is>
          <t>nachhaltigkeit, technologie, wirtschaft</t>
        </is>
      </c>
      <c r="I59" s="5" t="inlineStr">
        <is>
          <t>Energie, Netze und Versorgungssicherheit (4); Industrie 4.0, Automatisierung und Produktion (3); Mittelstand, Digitalisierung und Produktivität (3)</t>
        </is>
      </c>
    </row>
    <row r="60" ht="30" customHeight="1" s="46">
      <c r="A60" s="5" t="n">
        <v>59</v>
      </c>
      <c r="B60" s="5" t="inlineStr">
        <is>
          <t>L Q M Marktforschung GmbH</t>
        </is>
      </c>
      <c r="C60" s="5" t="n"/>
      <c r="D60" s="5" t="inlineStr">
        <is>
          <t>profit_anchor</t>
        </is>
      </c>
      <c r="E60" t="inlineStr">
        <is>
          <t>professional_services_anchor</t>
        </is>
      </c>
      <c r="F60" s="5" t="n">
        <v>0</v>
      </c>
      <c r="G60" s="5" t="n">
        <v>0</v>
      </c>
      <c r="H60" s="5" t="n"/>
      <c r="I60" s="5" t="n"/>
    </row>
    <row r="61" ht="30" customHeight="1" s="46">
      <c r="A61" s="5" t="n">
        <v>60</v>
      </c>
      <c r="B61" s="5" t="inlineStr">
        <is>
          <t>Landesbank Baden-Württemberg (LBBW)</t>
        </is>
      </c>
      <c r="C61" s="5" t="inlineStr">
        <is>
          <t>https://www.lbbw.de</t>
        </is>
      </c>
      <c r="D61" s="5" t="inlineStr">
        <is>
          <t>profit_anchor</t>
        </is>
      </c>
      <c r="E61" t="inlineStr">
        <is>
          <t>bank_finance_anchor</t>
        </is>
      </c>
      <c r="F61" s="5" t="n">
        <v>4</v>
      </c>
      <c r="G61" s="5" t="n">
        <v>5</v>
      </c>
      <c r="H61" s="5" t="inlineStr">
        <is>
          <t>nachhaltigkeit, technologie, wirtschaft</t>
        </is>
      </c>
      <c r="I61" s="5" t="inlineStr">
        <is>
          <t>Finanzierung und Förderung von Transformation (5); Standort, Investition und industrielle Transformation (5); Cyberresilienz und kritische Infrastruktur (4); Energie, Netze und Versorgungssicherheit (3)</t>
        </is>
      </c>
    </row>
    <row r="62" ht="30" customHeight="1" s="46">
      <c r="A62" s="5" t="n">
        <v>61</v>
      </c>
      <c r="B62" s="5" t="inlineStr">
        <is>
          <t>LandesPsychotherapeutenKammer Rheinland-Pfalz</t>
        </is>
      </c>
      <c r="C62" s="5" t="inlineStr">
        <is>
          <t>https://www.lpk-rlp.de</t>
        </is>
      </c>
      <c r="D62" s="5" t="inlineStr">
        <is>
          <t>implementation_anchor</t>
        </is>
      </c>
      <c r="E62" t="inlineStr">
        <is>
          <t>health_social_anchor</t>
        </is>
      </c>
      <c r="F62" s="5" t="n">
        <v>2</v>
      </c>
      <c r="G62" s="5" t="n">
        <v>4</v>
      </c>
      <c r="H62" s="5" t="inlineStr">
        <is>
          <t>gesellschaft</t>
        </is>
      </c>
      <c r="I62" s="5" t="inlineStr">
        <is>
          <t>Gesundheitsversorgung und Prävention (4); Pflege, Fachkräfte und Sozialwirtschaft (4)</t>
        </is>
      </c>
    </row>
    <row r="63" ht="30" customHeight="1" s="46">
      <c r="A63" s="5" t="n">
        <v>62</v>
      </c>
      <c r="B63" s="5" t="inlineStr">
        <is>
          <t>Landesärztekammer Rheinland-Pfalz</t>
        </is>
      </c>
      <c r="C63" s="5" t="inlineStr">
        <is>
          <t>https://www.laek-rlp.de</t>
        </is>
      </c>
      <c r="D63" s="5" t="inlineStr">
        <is>
          <t>implementation_anchor</t>
        </is>
      </c>
      <c r="E63" t="inlineStr">
        <is>
          <t>health_social_anchor</t>
        </is>
      </c>
      <c r="F63" s="5" t="n">
        <v>2</v>
      </c>
      <c r="G63" s="5" t="n">
        <v>5</v>
      </c>
      <c r="H63" s="5" t="inlineStr">
        <is>
          <t>gesellschaft</t>
        </is>
      </c>
      <c r="I63" s="5" t="inlineStr">
        <is>
          <t>Gesundheitsversorgung und Prävention (5); Pflege, Fachkräfte und Sozialwirtschaft (4)</t>
        </is>
      </c>
    </row>
    <row r="64" ht="30" customHeight="1" s="46">
      <c r="A64" s="5" t="n">
        <v>63</v>
      </c>
      <c r="B64" s="5" t="inlineStr">
        <is>
          <t>Landkreistag Rheinland-Pfalz</t>
        </is>
      </c>
      <c r="C64" s="5" t="inlineStr">
        <is>
          <t>https://www.landkreistag.rlp.de</t>
        </is>
      </c>
      <c r="D64" s="5" t="inlineStr">
        <is>
          <t>context_actor</t>
        </is>
      </c>
      <c r="E64" t="inlineStr">
        <is>
          <t>public_policy_anchor</t>
        </is>
      </c>
      <c r="F64" s="5" t="n">
        <v>5</v>
      </c>
      <c r="G64" s="5" t="n">
        <v>5</v>
      </c>
      <c r="H64" s="5" t="inlineStr">
        <is>
          <t>nachhaltigkeit, technologie, wissen</t>
        </is>
      </c>
      <c r="I64" s="5" t="inlineStr">
        <is>
          <t>Digitale Bau-, Planungs- und Genehmigungsprozesse (5); Klimaanpassung in Stadt und Land (5); Kreislaufwirtschaft, Bau und Ersatzbaustoffverordnung (5); Verwaltungswissen und digitale Umsetzung (5); Cyberresilienz und kritische Infrastruktur (4)</t>
        </is>
      </c>
    </row>
    <row r="65" ht="30" customHeight="1" s="46">
      <c r="A65" s="5" t="n">
        <v>64</v>
      </c>
      <c r="B65" s="5" t="inlineStr">
        <is>
          <t>Leonardo PersonalKonzept GmbH</t>
        </is>
      </c>
      <c r="C65" s="5" t="inlineStr">
        <is>
          <t>https://www.leonardo-personal.de</t>
        </is>
      </c>
      <c r="D65" s="5" t="inlineStr">
        <is>
          <t>profit_anchor</t>
        </is>
      </c>
      <c r="E65" t="inlineStr">
        <is>
          <t>professional_services_anchor</t>
        </is>
      </c>
      <c r="F65" s="5" t="n">
        <v>4</v>
      </c>
      <c r="G65" s="5" t="n">
        <v>4</v>
      </c>
      <c r="H65" s="5" t="inlineStr">
        <is>
          <t>gesellschaft, wirtschaft, wissen</t>
        </is>
      </c>
      <c r="I65" s="5" t="inlineStr">
        <is>
          <t>Arbeitsmarkt, Fachkräfte und Qualifizierung (4); Teilhabe, Inklusion und Arbeitsmarkt (4); Pflege, Fachkräfte und Sozialwirtschaft (3); Weiterbildung und lebenslanges Lernen (3)</t>
        </is>
      </c>
    </row>
    <row r="66" ht="30" customHeight="1" s="46">
      <c r="A66" s="5" t="n">
        <v>65</v>
      </c>
      <c r="B66" s="5" t="inlineStr">
        <is>
          <t>Licharz GmbH</t>
        </is>
      </c>
      <c r="C66" s="5" t="inlineStr">
        <is>
          <t>https://www.licharz.com</t>
        </is>
      </c>
      <c r="D66" s="5" t="inlineStr">
        <is>
          <t>profit_anchor</t>
        </is>
      </c>
      <c r="E66" t="inlineStr">
        <is>
          <t>industry_anchor</t>
        </is>
      </c>
      <c r="F66" s="5" t="n">
        <v>2</v>
      </c>
      <c r="G66" s="5" t="n">
        <v>3</v>
      </c>
      <c r="H66" s="5" t="inlineStr">
        <is>
          <t>technologie, wirtschaft</t>
        </is>
      </c>
      <c r="I66" s="5" t="inlineStr">
        <is>
          <t>Industrie 4.0, Automatisierung und Produktion (3); Mittelstand, Digitalisierung und Produktivität (3)</t>
        </is>
      </c>
    </row>
    <row r="67" ht="30" customHeight="1" s="46">
      <c r="A67" s="5" t="n">
        <v>66</v>
      </c>
      <c r="B67" s="5" t="inlineStr">
        <is>
          <t>LOTTO Rheinland-Pfalz GmbH</t>
        </is>
      </c>
      <c r="C67" s="5" t="inlineStr">
        <is>
          <t>https://www.lotto-rlp.de</t>
        </is>
      </c>
      <c r="D67" s="5" t="inlineStr">
        <is>
          <t>profit_anchor</t>
        </is>
      </c>
      <c r="E67" t="inlineStr">
        <is>
          <t>culture_foundation_anchor</t>
        </is>
      </c>
      <c r="F67" s="5" t="n">
        <v>3</v>
      </c>
      <c r="G67" s="5" t="n">
        <v>4</v>
      </c>
      <c r="H67" s="5" t="inlineStr">
        <is>
          <t>gesellschaft, kultur</t>
        </is>
      </c>
      <c r="I67" s="5" t="inlineStr">
        <is>
          <t>Sport, Region und gesellschaftliche Identifikation (4); Kultur, Standortidentität und regionale Attraktivität (3); Talentförderung, Musik und Nachwuchs (3)</t>
        </is>
      </c>
    </row>
    <row r="68" ht="30" customHeight="1" s="46">
      <c r="A68" s="5" t="n">
        <v>67</v>
      </c>
      <c r="B68" s="5" t="inlineStr">
        <is>
          <t>LÖWEN ENTERTAINMENT GmbH</t>
        </is>
      </c>
      <c r="C68" s="5" t="inlineStr">
        <is>
          <t>https://www.loewen.de</t>
        </is>
      </c>
      <c r="D68" s="5" t="inlineStr">
        <is>
          <t>profit_anchor</t>
        </is>
      </c>
      <c r="E68" t="inlineStr">
        <is>
          <t>technology_digital_anchor</t>
        </is>
      </c>
      <c r="F68" s="5" t="n">
        <v>0</v>
      </c>
      <c r="G68" s="5" t="n">
        <v>0</v>
      </c>
      <c r="H68" s="5" t="n"/>
      <c r="I68" s="5" t="n"/>
    </row>
    <row r="69" ht="30" customHeight="1" s="46">
      <c r="A69" s="5" t="n">
        <v>68</v>
      </c>
      <c r="B69" s="5" t="inlineStr">
        <is>
          <t>Mainzer Stadtwerke AG</t>
        </is>
      </c>
      <c r="C69" s="5" t="inlineStr">
        <is>
          <t>https://www.mainzer-stadtwerke.de</t>
        </is>
      </c>
      <c r="D69" s="5" t="inlineStr">
        <is>
          <t>profit_anchor</t>
        </is>
      </c>
      <c r="E69" t="inlineStr">
        <is>
          <t>energy_infrastructure_anchor</t>
        </is>
      </c>
      <c r="F69" s="5" t="n">
        <v>4</v>
      </c>
      <c r="G69" s="5" t="n">
        <v>5</v>
      </c>
      <c r="H69" s="5" t="inlineStr">
        <is>
          <t>nachhaltigkeit, technologie</t>
        </is>
      </c>
      <c r="I69" s="5" t="inlineStr">
        <is>
          <t>Cyberresilienz und kritische Infrastruktur (5); Energie, Netze und Versorgungssicherheit (5); Klimaanpassung in Stadt und Land (4); Wasser, Umwelttechnik und kommunale Resilienz (4)</t>
        </is>
      </c>
    </row>
    <row r="70" ht="30" customHeight="1" s="46">
      <c r="A70" s="5" t="n">
        <v>69</v>
      </c>
      <c r="B70" s="5" t="inlineStr">
        <is>
          <t>Michelin Reifenwerke AG &amp; Co. KGaA</t>
        </is>
      </c>
      <c r="C70" s="5" t="inlineStr">
        <is>
          <t>https://www.michelin.de</t>
        </is>
      </c>
      <c r="D70" s="5" t="inlineStr">
        <is>
          <t>profit_anchor</t>
        </is>
      </c>
      <c r="E70" t="inlineStr">
        <is>
          <t>industry_anchor</t>
        </is>
      </c>
      <c r="F70" s="5" t="n">
        <v>3</v>
      </c>
      <c r="G70" s="5" t="n">
        <v>4</v>
      </c>
      <c r="H70" s="5" t="inlineStr">
        <is>
          <t>nachhaltigkeit, technologie, wirtschaft</t>
        </is>
      </c>
      <c r="I70" s="5" t="inlineStr">
        <is>
          <t>Industrie 4.0, Automatisierung und Produktion (4); Standort, Investition und industrielle Transformation (4); Energie, Netze und Versorgungssicherheit (3)</t>
        </is>
      </c>
    </row>
    <row r="71" ht="30" customHeight="1" s="46">
      <c r="A71" s="5" t="n">
        <v>70</v>
      </c>
      <c r="B71" s="5" t="inlineStr">
        <is>
          <t>Ministerium für Wirtschaft, Verkehr, Landwirtschaft und Weinbau</t>
        </is>
      </c>
      <c r="C71" s="5" t="inlineStr">
        <is>
          <t>https://mwvlw.rlp.de</t>
        </is>
      </c>
      <c r="D71" s="5" t="inlineStr">
        <is>
          <t>profit_anchor</t>
        </is>
      </c>
      <c r="E71" t="inlineStr">
        <is>
          <t>public_policy_anchor</t>
        </is>
      </c>
      <c r="F71" s="5" t="n">
        <v>5</v>
      </c>
      <c r="G71" s="5" t="n">
        <v>5</v>
      </c>
      <c r="H71" s="5" t="inlineStr">
        <is>
          <t>technologie, wirtschaft, wissen</t>
        </is>
      </c>
      <c r="I71" s="5" t="inlineStr">
        <is>
          <t>Finanzierung und Förderung von Transformation (5); Standort, Investition und industrielle Transformation (5); Verwaltungswissen und digitale Umsetzung (5); Arbeitsmarkt, Fachkräfte und Qualifizierung (4); Digitale Bau-, Planungs- und Genehmigungsprozesse (4)</t>
        </is>
      </c>
    </row>
    <row r="72" ht="30" customHeight="1" s="46">
      <c r="A72" s="5" t="n">
        <v>71</v>
      </c>
      <c r="B72" s="5" t="inlineStr">
        <is>
          <t>PFAFF Industriesysteme und Maschinen GmbH</t>
        </is>
      </c>
      <c r="C72" s="5" t="inlineStr">
        <is>
          <t>https://www.pfaff-industrial.com</t>
        </is>
      </c>
      <c r="D72" s="5" t="inlineStr">
        <is>
          <t>profit_anchor</t>
        </is>
      </c>
      <c r="E72" t="inlineStr">
        <is>
          <t>industry_anchor</t>
        </is>
      </c>
      <c r="F72" s="5" t="n">
        <v>2</v>
      </c>
      <c r="G72" s="5" t="n">
        <v>5</v>
      </c>
      <c r="H72" s="5" t="inlineStr">
        <is>
          <t>technologie, wirtschaft</t>
        </is>
      </c>
      <c r="I72" s="5" t="inlineStr">
        <is>
          <t>Industrie 4.0, Automatisierung und Produktion (5); Mittelstand, Digitalisierung und Produktivität (4)</t>
        </is>
      </c>
    </row>
    <row r="73" ht="30" customHeight="1" s="46">
      <c r="A73" s="5" t="n">
        <v>72</v>
      </c>
      <c r="B73" s="5" t="inlineStr">
        <is>
          <t>Pfalzwerke AG</t>
        </is>
      </c>
      <c r="C73" s="5" t="inlineStr">
        <is>
          <t>https://www.pfalzwerke.de</t>
        </is>
      </c>
      <c r="D73" s="5" t="inlineStr">
        <is>
          <t>profit_anchor</t>
        </is>
      </c>
      <c r="E73" t="inlineStr">
        <is>
          <t>energy_infrastructure_anchor</t>
        </is>
      </c>
      <c r="F73" s="5" t="n">
        <v>5</v>
      </c>
      <c r="G73" s="5" t="n">
        <v>5</v>
      </c>
      <c r="H73" s="5" t="inlineStr">
        <is>
          <t>nachhaltigkeit, technologie, wirtschaft</t>
        </is>
      </c>
      <c r="I73" s="5" t="inlineStr">
        <is>
          <t>Cyberresilienz und kritische Infrastruktur (5); Energie, Netze und Versorgungssicherheit (5); Finanzierung und Förderung von Transformation (3); Klimaanpassung in Stadt und Land (3); Wasser, Umwelttechnik und kommunale Resilienz (3)</t>
        </is>
      </c>
    </row>
    <row r="74" ht="30" customHeight="1" s="46">
      <c r="A74" s="5" t="n">
        <v>73</v>
      </c>
      <c r="B74" s="5" t="inlineStr">
        <is>
          <t>Provinzial Versicherung AG</t>
        </is>
      </c>
      <c r="C74" s="5" t="inlineStr">
        <is>
          <t>http://www.provinzial.de</t>
        </is>
      </c>
      <c r="D74" s="5" t="inlineStr">
        <is>
          <t>profit_anchor</t>
        </is>
      </c>
      <c r="E74" t="inlineStr">
        <is>
          <t>bank_finance_anchor</t>
        </is>
      </c>
      <c r="F74" s="5" t="n">
        <v>2</v>
      </c>
      <c r="G74" s="5" t="n">
        <v>4</v>
      </c>
      <c r="H74" s="5" t="inlineStr">
        <is>
          <t>technologie, wirtschaft</t>
        </is>
      </c>
      <c r="I74" s="5" t="inlineStr">
        <is>
          <t>Cyberresilienz und kritische Infrastruktur (4); Finanzierung und Förderung von Transformation (4)</t>
        </is>
      </c>
    </row>
    <row r="75" ht="30" customHeight="1" s="46">
      <c r="A75" s="5" t="n">
        <v>74</v>
      </c>
      <c r="B75" s="5" t="inlineStr">
        <is>
          <t>Rheinland-Pfälzische Technische Universität Kaiserslautern-Landau (RPTU)</t>
        </is>
      </c>
      <c r="C75" s="5" t="inlineStr">
        <is>
          <t>https://regionalentwicklung-raumordnung.de</t>
        </is>
      </c>
      <c r="D75" s="5" t="inlineStr">
        <is>
          <t>academic_support</t>
        </is>
      </c>
      <c r="E75" t="inlineStr">
        <is>
          <t>university_research</t>
        </is>
      </c>
      <c r="F75" s="5" t="n">
        <v>5</v>
      </c>
      <c r="G75" s="5" t="n">
        <v>5</v>
      </c>
      <c r="H75" s="5" t="inlineStr">
        <is>
          <t>technologie, wirtschaft, wissen</t>
        </is>
      </c>
      <c r="I75" s="5" t="inlineStr">
        <is>
          <t>Cyberresilienz und kritische Infrastruktur (5); Hochschule-Wirtschaft-Transfer (5); Industrie 4.0, Automatisierung und Produktion (5); KI, Daten und Verwaltungs-/Wirtschaftsanwendungen (5); Mittelstand, Digitalisierung und Produktivität (5)</t>
        </is>
      </c>
    </row>
    <row r="76" ht="30" customHeight="1" s="46">
      <c r="A76" s="5" t="n">
        <v>75</v>
      </c>
      <c r="B76" s="5" t="inlineStr">
        <is>
          <t>robotspaceship</t>
        </is>
      </c>
      <c r="C76" s="5" t="inlineStr">
        <is>
          <t>https://www.robotspaceship.ai</t>
        </is>
      </c>
      <c r="D76" s="5" t="inlineStr">
        <is>
          <t>context_actor</t>
        </is>
      </c>
      <c r="E76" t="inlineStr">
        <is>
          <t>technology_digital_anchor</t>
        </is>
      </c>
      <c r="F76" s="5" t="n">
        <v>3</v>
      </c>
      <c r="G76" s="5" t="n">
        <v>5</v>
      </c>
      <c r="H76" s="5" t="inlineStr">
        <is>
          <t>kultur, technologie, wirtschaft</t>
        </is>
      </c>
      <c r="I76" s="5" t="inlineStr">
        <is>
          <t>KI, Daten und Verwaltungs-/Wirtschaftsanwendungen (5); Mittelstand, Digitalisierung und Produktivität (5); Kreativwirtschaft, Medien und digitale Öffentlichkeit (4)</t>
        </is>
      </c>
    </row>
    <row r="77" ht="30" customHeight="1" s="46">
      <c r="A77" s="5" t="n">
        <v>76</v>
      </c>
      <c r="B77" s="5" t="inlineStr">
        <is>
          <t>RPR1.</t>
        </is>
      </c>
      <c r="C77" s="5" t="inlineStr">
        <is>
          <t>https://www.rpr1.de</t>
        </is>
      </c>
      <c r="D77" s="5" t="inlineStr">
        <is>
          <t>context_actor</t>
        </is>
      </c>
      <c r="E77" t="inlineStr">
        <is>
          <t>media_publicity_anchor</t>
        </is>
      </c>
      <c r="F77" s="5" t="n">
        <v>5</v>
      </c>
      <c r="G77" s="5" t="n">
        <v>5</v>
      </c>
      <c r="H77" s="5" t="inlineStr">
        <is>
          <t>gesellschaft, kultur, wissen</t>
        </is>
      </c>
      <c r="I77" s="5" t="inlineStr">
        <is>
          <t>Demokratie, Medien und gesellschaftlicher Zusammenhalt (5); Kreativwirtschaft, Medien und digitale Öffentlichkeit (5); Kultur, Standortidentität und regionale Attraktivität (4); Sport, Region und gesellschaftliche Identifikation (4); Wissenschaft, Demokratie und gesellschaftlicher Zusammenhalt (4)</t>
        </is>
      </c>
    </row>
    <row r="78" ht="30" customHeight="1" s="46">
      <c r="A78" s="5" t="n">
        <v>77</v>
      </c>
      <c r="B78" s="5" t="inlineStr">
        <is>
          <t>Schoenergie GmbH</t>
        </is>
      </c>
      <c r="C78" s="5" t="inlineStr">
        <is>
          <t>http://www.schoenergie.de</t>
        </is>
      </c>
      <c r="D78" s="5" t="inlineStr">
        <is>
          <t>profit_anchor</t>
        </is>
      </c>
      <c r="E78" t="inlineStr">
        <is>
          <t>energy_infrastructure_anchor</t>
        </is>
      </c>
      <c r="F78" s="5" t="n">
        <v>1</v>
      </c>
      <c r="G78" s="5" t="n">
        <v>4</v>
      </c>
      <c r="H78" s="5" t="inlineStr">
        <is>
          <t>nachhaltigkeit</t>
        </is>
      </c>
      <c r="I78" s="5" t="inlineStr">
        <is>
          <t>Energie, Netze und Versorgungssicherheit (4)</t>
        </is>
      </c>
    </row>
    <row r="79" ht="30" customHeight="1" s="46">
      <c r="A79" s="5" t="n">
        <v>78</v>
      </c>
      <c r="B79" s="5" t="inlineStr">
        <is>
          <t>SCHOTT AG</t>
        </is>
      </c>
      <c r="C79" s="5" t="inlineStr">
        <is>
          <t>https://www.schott.com</t>
        </is>
      </c>
      <c r="D79" s="5" t="inlineStr">
        <is>
          <t>profit_anchor</t>
        </is>
      </c>
      <c r="E79" t="inlineStr">
        <is>
          <t>industry_anchor</t>
        </is>
      </c>
      <c r="F79" s="5" t="n">
        <v>5</v>
      </c>
      <c r="G79" s="5" t="n">
        <v>5</v>
      </c>
      <c r="H79" s="5" t="inlineStr">
        <is>
          <t>nachhaltigkeit, technologie, wirtschaft, wissen</t>
        </is>
      </c>
      <c r="I79" s="5" t="inlineStr">
        <is>
          <t>Standort, Investition und industrielle Transformation (5); Energie, Netze und Versorgungssicherheit (4); Hochschule-Wirtschaft-Transfer (4); Industrie 4.0, Automatisierung und Produktion (4); Finanzierung und Förderung von Transformation (3)</t>
        </is>
      </c>
    </row>
    <row r="80" ht="30" customHeight="1" s="46">
      <c r="A80" s="5" t="n">
        <v>79</v>
      </c>
      <c r="B80" s="5" t="inlineStr">
        <is>
          <t>Schuler Service GmbH &amp; Co. KG</t>
        </is>
      </c>
      <c r="C80" s="5" t="inlineStr">
        <is>
          <t>https://www.schuler-service.com</t>
        </is>
      </c>
      <c r="D80" s="5" t="inlineStr">
        <is>
          <t>profit_anchor</t>
        </is>
      </c>
      <c r="E80" t="inlineStr">
        <is>
          <t>industry_anchor</t>
        </is>
      </c>
      <c r="F80" s="5" t="n">
        <v>0</v>
      </c>
      <c r="G80" s="5" t="n">
        <v>0</v>
      </c>
      <c r="H80" s="5" t="n"/>
      <c r="I80" s="5" t="n"/>
    </row>
    <row r="81" ht="30" customHeight="1" s="46">
      <c r="A81" s="5" t="n">
        <v>80</v>
      </c>
      <c r="B81" s="5" t="inlineStr">
        <is>
          <t>SIMONA AG</t>
        </is>
      </c>
      <c r="C81" s="5" t="inlineStr">
        <is>
          <t>https://www.simona.de</t>
        </is>
      </c>
      <c r="D81" s="5" t="inlineStr">
        <is>
          <t>profit_anchor</t>
        </is>
      </c>
      <c r="E81" t="inlineStr">
        <is>
          <t>industry_anchor</t>
        </is>
      </c>
      <c r="F81" s="5" t="n">
        <v>3</v>
      </c>
      <c r="G81" s="5" t="n">
        <v>4</v>
      </c>
      <c r="H81" s="5" t="inlineStr">
        <is>
          <t>nachhaltigkeit, technologie, wirtschaft</t>
        </is>
      </c>
      <c r="I81" s="5" t="inlineStr">
        <is>
          <t>Standort, Investition und industrielle Transformation (4); Energie, Netze und Versorgungssicherheit (3); Industrie 4.0, Automatisierung und Produktion (3)</t>
        </is>
      </c>
    </row>
    <row r="82" ht="30" customHeight="1" s="46">
      <c r="A82" s="5" t="n">
        <v>81</v>
      </c>
      <c r="B82" s="5" t="inlineStr">
        <is>
          <t>SmartFactory KL e.V.</t>
        </is>
      </c>
      <c r="C82" s="5" t="inlineStr">
        <is>
          <t>https://smartfactory.de</t>
        </is>
      </c>
      <c r="D82" s="5" t="inlineStr">
        <is>
          <t>context_actor</t>
        </is>
      </c>
      <c r="E82" t="inlineStr">
        <is>
          <t>technology_digital_anchor</t>
        </is>
      </c>
      <c r="F82" s="5" t="n">
        <v>4</v>
      </c>
      <c r="G82" s="5" t="n">
        <v>5</v>
      </c>
      <c r="H82" s="5" t="inlineStr">
        <is>
          <t>technologie, wirtschaft, wissen</t>
        </is>
      </c>
      <c r="I82" s="5" t="inlineStr">
        <is>
          <t>Hochschule-Wirtschaft-Transfer (5); Industrie 4.0, Automatisierung und Produktion (5); Mittelstand, Digitalisierung und Produktivität (5); KI, Daten und Verwaltungs-/Wirtschaftsanwendungen (4)</t>
        </is>
      </c>
    </row>
    <row r="83" ht="30" customHeight="1" s="46">
      <c r="A83" s="5" t="n">
        <v>82</v>
      </c>
      <c r="B83" s="5" t="inlineStr">
        <is>
          <t>Sparkassenverband Rheinland-Pfalz</t>
        </is>
      </c>
      <c r="C83" s="5" t="inlineStr">
        <is>
          <t>https://www.sv-rlp.de</t>
        </is>
      </c>
      <c r="D83" s="5" t="inlineStr">
        <is>
          <t>profit_anchor</t>
        </is>
      </c>
      <c r="E83" t="inlineStr">
        <is>
          <t>bank_finance_anchor</t>
        </is>
      </c>
      <c r="F83" s="5" t="n">
        <v>5</v>
      </c>
      <c r="G83" s="5" t="n">
        <v>5</v>
      </c>
      <c r="H83" s="5" t="inlineStr">
        <is>
          <t>technologie, wirtschaft, wissen</t>
        </is>
      </c>
      <c r="I83" s="5" t="inlineStr">
        <is>
          <t>Finanzierung und Förderung von Transformation (5); Cyberresilienz und kritische Infrastruktur (4); Standort, Investition und industrielle Transformation (4); Mittelstand, Digitalisierung und Produktivität (3); Verwaltungswissen und digitale Umsetzung (3)</t>
        </is>
      </c>
    </row>
    <row r="84" ht="30" customHeight="1" s="46">
      <c r="A84" s="5" t="n">
        <v>83</v>
      </c>
      <c r="B84" s="5" t="inlineStr">
        <is>
          <t>Staatskanzlei des Landes Rheinland-Pfalz</t>
        </is>
      </c>
      <c r="C84" s="5" t="inlineStr">
        <is>
          <t>https://www.rlp.de/regierung/staatskanzlei</t>
        </is>
      </c>
      <c r="D84" s="5" t="inlineStr">
        <is>
          <t>context_actor</t>
        </is>
      </c>
      <c r="E84" t="inlineStr">
        <is>
          <t>public_policy_anchor</t>
        </is>
      </c>
      <c r="F84" s="5" t="n">
        <v>5</v>
      </c>
      <c r="G84" s="5" t="n">
        <v>5</v>
      </c>
      <c r="H84" s="5" t="inlineStr">
        <is>
          <t>gesellschaft, technologie, wissen</t>
        </is>
      </c>
      <c r="I84" s="5" t="inlineStr">
        <is>
          <t>Cyberresilienz und kritische Infrastruktur (5); Demokratie, Medien und gesellschaftlicher Zusammenhalt (5); Verwaltungswissen und digitale Umsetzung (5); Wissenschaft, Demokratie und gesellschaftlicher Zusammenhalt (5); Digitale Bau-, Planungs- und Genehmigungsprozesse (4)</t>
        </is>
      </c>
    </row>
    <row r="85" ht="30" customHeight="1" s="46">
      <c r="A85" s="5" t="n">
        <v>84</v>
      </c>
      <c r="B85" s="5" t="inlineStr">
        <is>
          <t>Steuerberaterkammer Rheinland-Pfalz</t>
        </is>
      </c>
      <c r="C85" s="5" t="inlineStr">
        <is>
          <t>https://www.sbk-rlp.de</t>
        </is>
      </c>
      <c r="D85" s="5" t="inlineStr">
        <is>
          <t>implementation_anchor</t>
        </is>
      </c>
      <c r="E85" t="inlineStr">
        <is>
          <t>chamber_association_anchor</t>
        </is>
      </c>
      <c r="F85" s="5" t="n">
        <v>0</v>
      </c>
      <c r="G85" s="5" t="n">
        <v>0</v>
      </c>
      <c r="H85" s="5" t="n"/>
      <c r="I85" s="5" t="n"/>
    </row>
    <row r="86" ht="30" customHeight="1" s="46">
      <c r="A86" s="5" t="n">
        <v>85</v>
      </c>
      <c r="B86" s="5" t="inlineStr">
        <is>
          <t>Städtetag Rheinland-Pfalz</t>
        </is>
      </c>
      <c r="C86" s="5" t="inlineStr">
        <is>
          <t>https://www.staedtetag-rlp.de</t>
        </is>
      </c>
      <c r="D86" s="5" t="inlineStr">
        <is>
          <t>context_actor</t>
        </is>
      </c>
      <c r="E86" t="inlineStr">
        <is>
          <t>public_policy_anchor</t>
        </is>
      </c>
      <c r="F86" s="5" t="n">
        <v>5</v>
      </c>
      <c r="G86" s="5" t="n">
        <v>5</v>
      </c>
      <c r="H86" s="5" t="inlineStr">
        <is>
          <t>kultur, nachhaltigkeit, technologie, wissen</t>
        </is>
      </c>
      <c r="I86" s="5" t="inlineStr">
        <is>
          <t>Digitale Bau-, Planungs- und Genehmigungsprozesse (5); Klimaanpassung in Stadt und Land (5); Kreislaufwirtschaft, Bau und Ersatzbaustoffverordnung (5); Kultur, Standortidentität und regionale Attraktivität (5); Verwaltungswissen und digitale Umsetzung (5)</t>
        </is>
      </c>
    </row>
    <row r="87" ht="30" customHeight="1" s="46">
      <c r="A87" s="5" t="n">
        <v>86</v>
      </c>
      <c r="B87" s="5" t="inlineStr">
        <is>
          <t>SWR – Südwestrundfunk</t>
        </is>
      </c>
      <c r="C87" s="5" t="inlineStr">
        <is>
          <t>https://www.swr.de</t>
        </is>
      </c>
      <c r="D87" s="5" t="inlineStr">
        <is>
          <t>context_actor</t>
        </is>
      </c>
      <c r="E87" t="inlineStr">
        <is>
          <t>media_publicity_anchor</t>
        </is>
      </c>
      <c r="F87" s="5" t="n">
        <v>5</v>
      </c>
      <c r="G87" s="5" t="n">
        <v>5</v>
      </c>
      <c r="H87" s="5" t="inlineStr">
        <is>
          <t>gesellschaft, kultur, wissen</t>
        </is>
      </c>
      <c r="I87" s="5" t="inlineStr">
        <is>
          <t>Demokratie, Medien und gesellschaftlicher Zusammenhalt (5); Kreativwirtschaft, Medien und digitale Öffentlichkeit (5); Kultur, Standortidentität und regionale Attraktivität (5); Wissenschaft, Demokratie und gesellschaftlicher Zusammenhalt (5); Talentförderung, Musik und Nachwuchs (4)</t>
        </is>
      </c>
    </row>
    <row r="88" ht="30" customHeight="1" s="46">
      <c r="A88" s="5" t="n">
        <v>87</v>
      </c>
      <c r="B88" s="5" t="inlineStr">
        <is>
          <t>Techniker Krankenkasse</t>
        </is>
      </c>
      <c r="C88" s="5" t="inlineStr">
        <is>
          <t>https://www.tk.de/rp</t>
        </is>
      </c>
      <c r="D88" s="5" t="inlineStr">
        <is>
          <t>context_actor</t>
        </is>
      </c>
      <c r="E88" t="inlineStr">
        <is>
          <t>health_social_anchor</t>
        </is>
      </c>
      <c r="F88" s="5" t="n">
        <v>3</v>
      </c>
      <c r="G88" s="5" t="n">
        <v>5</v>
      </c>
      <c r="H88" s="5" t="inlineStr">
        <is>
          <t>gesellschaft</t>
        </is>
      </c>
      <c r="I88" s="5" t="inlineStr">
        <is>
          <t>Gesundheitsversorgung und Prävention (5); Pflege, Fachkräfte und Sozialwirtschaft (4); Sport, Region und gesellschaftliche Identifikation (4)</t>
        </is>
      </c>
    </row>
    <row r="89" ht="30" customHeight="1" s="46">
      <c r="A89" s="5" t="n">
        <v>88</v>
      </c>
      <c r="B89" s="5" t="inlineStr">
        <is>
          <t>Technische Hochschule Bingen</t>
        </is>
      </c>
      <c r="C89" s="5" t="inlineStr">
        <is>
          <t>https://www.th-bingen.de</t>
        </is>
      </c>
      <c r="D89" s="5" t="inlineStr">
        <is>
          <t>academic_support</t>
        </is>
      </c>
      <c r="E89" t="inlineStr">
        <is>
          <t>university_applied_sciences</t>
        </is>
      </c>
      <c r="F89" s="5" t="n">
        <v>5</v>
      </c>
      <c r="G89" s="5" t="n">
        <v>4</v>
      </c>
      <c r="H89" s="5" t="inlineStr">
        <is>
          <t>nachhaltigkeit, technologie, wirtschaft, wissen</t>
        </is>
      </c>
      <c r="I89" s="5" t="inlineStr">
        <is>
          <t>Arbeitsmarkt, Fachkräfte und Qualifizierung (4); Digitale Bau-, Planungs- und Genehmigungsprozesse (4); Hochschule-Wirtschaft-Transfer (4); Industrie 4.0, Automatisierung und Produktion (4); Klimaanpassung in Stadt und Land (4)</t>
        </is>
      </c>
    </row>
    <row r="90" ht="30" customHeight="1" s="46">
      <c r="A90" s="5" t="n">
        <v>89</v>
      </c>
      <c r="B90" s="5" t="inlineStr">
        <is>
          <t>thyssenkrupp Rasselstein GmbH</t>
        </is>
      </c>
      <c r="C90" s="5" t="inlineStr">
        <is>
          <t>https://www.thyssenkrupp-steel.com/de/unternehmen/business-units/packaging-steel/</t>
        </is>
      </c>
      <c r="D90" s="5" t="inlineStr">
        <is>
          <t>profit_anchor</t>
        </is>
      </c>
      <c r="E90" t="inlineStr">
        <is>
          <t>industry_anchor</t>
        </is>
      </c>
      <c r="F90" s="5" t="n">
        <v>3</v>
      </c>
      <c r="G90" s="5" t="n">
        <v>5</v>
      </c>
      <c r="H90" s="5" t="inlineStr">
        <is>
          <t>nachhaltigkeit, technologie, wirtschaft</t>
        </is>
      </c>
      <c r="I90" s="5" t="inlineStr">
        <is>
          <t>Standort, Investition und industrielle Transformation (5); Energie, Netze und Versorgungssicherheit (4); Industrie 4.0, Automatisierung und Produktion (4)</t>
        </is>
      </c>
    </row>
    <row r="91" ht="30" customHeight="1" s="46">
      <c r="A91" s="5" t="n">
        <v>90</v>
      </c>
      <c r="B91" s="5" t="inlineStr">
        <is>
          <t>Transdev GmbH</t>
        </is>
      </c>
      <c r="C91" s="5" t="inlineStr">
        <is>
          <t>https://www.transdev.de</t>
        </is>
      </c>
      <c r="D91" s="5" t="inlineStr">
        <is>
          <t>profit_anchor</t>
        </is>
      </c>
      <c r="E91" t="inlineStr">
        <is>
          <t>energy_infrastructure_anchor</t>
        </is>
      </c>
      <c r="F91" s="5" t="n">
        <v>1</v>
      </c>
      <c r="G91" s="5" t="n">
        <v>3</v>
      </c>
      <c r="H91" s="5" t="inlineStr">
        <is>
          <t>nachhaltigkeit</t>
        </is>
      </c>
      <c r="I91" s="5" t="inlineStr">
        <is>
          <t>Klimaanpassung in Stadt und Land (3)</t>
        </is>
      </c>
    </row>
    <row r="92" ht="30" customHeight="1" s="46">
      <c r="A92" s="5" t="n">
        <v>91</v>
      </c>
      <c r="B92" s="5" t="inlineStr">
        <is>
          <t>TÜV Rheinland Berlin Brandenburg Pfalz e.V.</t>
        </is>
      </c>
      <c r="C92" s="5" t="inlineStr">
        <is>
          <t>https://www.tuv.com/germany/de/</t>
        </is>
      </c>
      <c r="D92" s="5" t="inlineStr">
        <is>
          <t>context_actor</t>
        </is>
      </c>
      <c r="E92" t="inlineStr">
        <is>
          <t>chamber_association_anchor</t>
        </is>
      </c>
      <c r="F92" s="5" t="n">
        <v>5</v>
      </c>
      <c r="G92" s="5" t="n">
        <v>5</v>
      </c>
      <c r="H92" s="5" t="inlineStr">
        <is>
          <t>nachhaltigkeit, technologie</t>
        </is>
      </c>
      <c r="I92" s="5" t="inlineStr">
        <is>
          <t>Cyberresilienz und kritische Infrastruktur (5); Digitale Bau-, Planungs- und Genehmigungsprozesse (4); Industrie 4.0, Automatisierung und Produktion (4); KI, Daten und Verwaltungs-/Wirtschaftsanwendungen (4); Kreislaufwirtschaft, Bau und Ersatzbaustoffverordnung (4)</t>
        </is>
      </c>
    </row>
    <row r="93" ht="30" customHeight="1" s="46">
      <c r="A93" s="5" t="n">
        <v>92</v>
      </c>
      <c r="B93" s="5" t="inlineStr">
        <is>
          <t>Universität Koblenz</t>
        </is>
      </c>
      <c r="C93" s="5" t="inlineStr">
        <is>
          <t>http://www.uni-koblenz.de</t>
        </is>
      </c>
      <c r="D93" s="5" t="inlineStr">
        <is>
          <t>academic_support</t>
        </is>
      </c>
      <c r="E93" t="inlineStr">
        <is>
          <t>university_research</t>
        </is>
      </c>
      <c r="F93" s="5" t="n">
        <v>5</v>
      </c>
      <c r="G93" s="5" t="n">
        <v>4</v>
      </c>
      <c r="H93" s="5" t="inlineStr">
        <is>
          <t>gesellschaft, technologie, wissen</t>
        </is>
      </c>
      <c r="I93" s="5" t="inlineStr">
        <is>
          <t>Demokratie, Medien und gesellschaftlicher Zusammenhalt (4); Hochschule-Wirtschaft-Transfer (4); KI, Daten und Verwaltungs-/Wirtschaftsanwendungen (4); Verwaltungswissen und digitale Umsetzung (4); Wissenschaft, Demokratie und gesellschaftlicher Zusammenhalt (4)</t>
        </is>
      </c>
    </row>
    <row r="94" ht="30" customHeight="1" s="46">
      <c r="A94" s="5" t="n">
        <v>93</v>
      </c>
      <c r="B94" s="5" t="inlineStr">
        <is>
          <t>Universität Trier</t>
        </is>
      </c>
      <c r="C94" s="5" t="inlineStr">
        <is>
          <t>https://www.uni-trier.de</t>
        </is>
      </c>
      <c r="D94" s="5" t="inlineStr">
        <is>
          <t>academic_support</t>
        </is>
      </c>
      <c r="E94" t="inlineStr">
        <is>
          <t>university_research</t>
        </is>
      </c>
      <c r="F94" s="5" t="n">
        <v>5</v>
      </c>
      <c r="G94" s="5" t="n">
        <v>5</v>
      </c>
      <c r="H94" s="5" t="inlineStr">
        <is>
          <t>gesellschaft, technologie, wissen</t>
        </is>
      </c>
      <c r="I94" s="5" t="inlineStr">
        <is>
          <t>Wissenschaft, Demokratie und gesellschaftlicher Zusammenhalt (5); Cyberresilienz und kritische Infrastruktur (4); Demokratie, Medien und gesellschaftlicher Zusammenhalt (4); Hochschule-Wirtschaft-Transfer (4); KI, Daten und Verwaltungs-/Wirtschaftsanwendungen (4)</t>
        </is>
      </c>
    </row>
    <row r="95" ht="30" customHeight="1" s="46">
      <c r="A95" s="5" t="n">
        <v>94</v>
      </c>
      <c r="B95" s="5" t="inlineStr">
        <is>
          <t>Vereinigte VR Bank Kur- und Rheinpfalz eG</t>
        </is>
      </c>
      <c r="C95" s="5" t="inlineStr">
        <is>
          <t>https://www.vvrbank-krp.de</t>
        </is>
      </c>
      <c r="D95" s="5" t="inlineStr">
        <is>
          <t>profit_anchor</t>
        </is>
      </c>
      <c r="E95" t="inlineStr">
        <is>
          <t>bank_finance_anchor</t>
        </is>
      </c>
      <c r="F95" s="5" t="n">
        <v>2</v>
      </c>
      <c r="G95" s="5" t="n">
        <v>4</v>
      </c>
      <c r="H95" s="5" t="inlineStr">
        <is>
          <t>wirtschaft</t>
        </is>
      </c>
      <c r="I95" s="5" t="inlineStr">
        <is>
          <t>Finanzierung und Förderung von Transformation (4); Standort, Investition und industrielle Transformation (3)</t>
        </is>
      </c>
    </row>
    <row r="96" ht="30" customHeight="1" s="46">
      <c r="A96" s="5" t="n">
        <v>95</v>
      </c>
      <c r="B96" s="5" t="inlineStr">
        <is>
          <t>vero – Verband der Bau- und Rohstoffindustrie</t>
        </is>
      </c>
      <c r="C96" s="5" t="inlineStr">
        <is>
          <t>http://www.vero-baustoffe.de</t>
        </is>
      </c>
      <c r="D96" s="5" t="inlineStr">
        <is>
          <t>profit_anchor</t>
        </is>
      </c>
      <c r="E96" t="inlineStr">
        <is>
          <t>construction_planning_anchor</t>
        </is>
      </c>
      <c r="F96" s="5" t="n">
        <v>2</v>
      </c>
      <c r="G96" s="5" t="n">
        <v>5</v>
      </c>
      <c r="H96" s="5" t="inlineStr">
        <is>
          <t>nachhaltigkeit, technologie</t>
        </is>
      </c>
      <c r="I96" s="5" t="inlineStr">
        <is>
          <t>Digitale Bau-, Planungs- und Genehmigungsprozesse (5); Kreislaufwirtschaft, Bau und Ersatzbaustoffverordnung (5)</t>
        </is>
      </c>
    </row>
    <row r="97" ht="30" customHeight="1" s="46">
      <c r="A97" s="5" t="n">
        <v>96</v>
      </c>
      <c r="B97" s="5" t="inlineStr">
        <is>
          <t>Villa Musica Rheinland-Pfalz</t>
        </is>
      </c>
      <c r="C97" s="5" t="inlineStr">
        <is>
          <t>https://www.villamusica.de</t>
        </is>
      </c>
      <c r="D97" s="5" t="inlineStr">
        <is>
          <t>context_actor</t>
        </is>
      </c>
      <c r="E97" t="inlineStr">
        <is>
          <t>culture_foundation_anchor</t>
        </is>
      </c>
      <c r="F97" s="5" t="n">
        <v>5</v>
      </c>
      <c r="G97" s="5" t="n">
        <v>5</v>
      </c>
      <c r="H97" s="5" t="inlineStr">
        <is>
          <t>gesellschaft, kultur, wissen</t>
        </is>
      </c>
      <c r="I97" s="5" t="inlineStr">
        <is>
          <t>Kultur, Standortidentität und regionale Attraktivität (5); Talentförderung, Musik und Nachwuchs (5); Kreativwirtschaft, Medien und digitale Öffentlichkeit (4); Demokratie, Medien und gesellschaftlicher Zusammenhalt (3); Wissenschaft, Demokratie und gesellschaftlicher Zusammenhalt (3)</t>
        </is>
      </c>
    </row>
    <row r="98" ht="30" customHeight="1" s="46">
      <c r="A98" s="5" t="n">
        <v>97</v>
      </c>
      <c r="B98" s="5" t="inlineStr">
        <is>
          <t>Vinzenz Pallotti University gGmbH</t>
        </is>
      </c>
      <c r="C98" s="5" t="inlineStr">
        <is>
          <t>https://vp-uni.de</t>
        </is>
      </c>
      <c r="D98" s="5" t="inlineStr">
        <is>
          <t>academic_support</t>
        </is>
      </c>
      <c r="E98" t="inlineStr">
        <is>
          <t>university_research</t>
        </is>
      </c>
      <c r="F98" s="5" t="n">
        <v>5</v>
      </c>
      <c r="G98" s="5" t="n">
        <v>4</v>
      </c>
      <c r="H98" s="5" t="inlineStr">
        <is>
          <t>gesellschaft, wirtschaft, wissen</t>
        </is>
      </c>
      <c r="I98" s="5" t="inlineStr">
        <is>
          <t>Pflege, Fachkräfte und Sozialwirtschaft (4); Teilhabe, Inklusion und Arbeitsmarkt (4); Weiterbildung und lebenslanges Lernen (4); Wissenschaft, Demokratie und gesellschaftlicher Zusammenhalt (4); Arbeitsmarkt, Fachkräfte und Qualifizierung (3)</t>
        </is>
      </c>
    </row>
    <row r="99" ht="30" customHeight="1" s="46">
      <c r="A99" s="5" t="n">
        <v>98</v>
      </c>
      <c r="B99" s="5" t="inlineStr">
        <is>
          <t>Westenergie AG</t>
        </is>
      </c>
      <c r="C99" s="5" t="inlineStr">
        <is>
          <t>https://www.westenergie.de</t>
        </is>
      </c>
      <c r="D99" s="5" t="inlineStr">
        <is>
          <t>profit_anchor</t>
        </is>
      </c>
      <c r="E99" t="inlineStr">
        <is>
          <t>energy_infrastructure_anchor</t>
        </is>
      </c>
      <c r="F99" s="5" t="n">
        <v>5</v>
      </c>
      <c r="G99" s="5" t="n">
        <v>5</v>
      </c>
      <c r="H99" s="5" t="inlineStr">
        <is>
          <t>nachhaltigkeit, technologie, wirtschaft</t>
        </is>
      </c>
      <c r="I99" s="5" t="inlineStr">
        <is>
          <t>Cyberresilienz und kritische Infrastruktur (5); Energie, Netze und Versorgungssicherheit (5); Finanzierung und Förderung von Transformation (3); Klimaanpassung in Stadt und Land (3); Wasser, Umwelttechnik und kommunale Resilienz (3)</t>
        </is>
      </c>
    </row>
    <row r="100" ht="30" customHeight="1" s="46">
      <c r="A100" s="5" t="n">
        <v>99</v>
      </c>
      <c r="B100" s="5" t="inlineStr">
        <is>
          <t>WHU – Otto Beisheim School of Management</t>
        </is>
      </c>
      <c r="C100" s="5" t="inlineStr">
        <is>
          <t>https://www.whu.edu</t>
        </is>
      </c>
      <c r="D100" s="5" t="inlineStr">
        <is>
          <t>academic_support</t>
        </is>
      </c>
      <c r="E100" t="inlineStr">
        <is>
          <t>university_research</t>
        </is>
      </c>
      <c r="F100" s="5" t="n">
        <v>5</v>
      </c>
      <c r="G100" s="5" t="n">
        <v>5</v>
      </c>
      <c r="H100" s="5" t="inlineStr">
        <is>
          <t>wirtschaft, wissen</t>
        </is>
      </c>
      <c r="I100" s="5" t="inlineStr">
        <is>
          <t>Hochschule-Wirtschaft-Transfer (5); Arbeitsmarkt, Fachkräfte und Qualifizierung (4); Finanzierung und Förderung von Transformation (4); Mittelstand, Digitalisierung und Produktivität (4); Standort, Investition und industrielle Transformation (4)</t>
        </is>
      </c>
    </row>
    <row r="101" ht="30" customHeight="1" s="46">
      <c r="A101" s="5" t="n">
        <v>100</v>
      </c>
      <c r="B101" s="5" t="inlineStr">
        <is>
          <t>Wilhelm Faber GmbH</t>
        </is>
      </c>
      <c r="C101" s="5" t="inlineStr">
        <is>
          <t>https://www.wilhelm-faber.de</t>
        </is>
      </c>
      <c r="D101" s="5" t="inlineStr">
        <is>
          <t>profit_anchor</t>
        </is>
      </c>
      <c r="E101" t="inlineStr">
        <is>
          <t>construction_planning_anchor</t>
        </is>
      </c>
      <c r="F101" s="5" t="n">
        <v>1</v>
      </c>
      <c r="G101" s="5" t="n">
        <v>3</v>
      </c>
      <c r="H101" s="5" t="inlineStr">
        <is>
          <t>nachhaltigkeit</t>
        </is>
      </c>
      <c r="I101" s="5" t="inlineStr">
        <is>
          <t>Kreislaufwirtschaft, Bau und Ersatzbaustoffverordnung (3)</t>
        </is>
      </c>
    </row>
    <row r="102" ht="30" customHeight="1" s="46">
      <c r="A102" s="5" t="n">
        <v>101</v>
      </c>
      <c r="B102" s="5" t="inlineStr">
        <is>
          <t>Zahnen Technik GmbH</t>
        </is>
      </c>
      <c r="C102" s="5" t="inlineStr">
        <is>
          <t>https://zahnen-technik.de</t>
        </is>
      </c>
      <c r="D102" s="5" t="inlineStr">
        <is>
          <t>profit_anchor</t>
        </is>
      </c>
      <c r="E102" t="inlineStr">
        <is>
          <t>energy_infrastructure_anchor</t>
        </is>
      </c>
      <c r="F102" s="5" t="n">
        <v>2</v>
      </c>
      <c r="G102" s="5" t="n">
        <v>5</v>
      </c>
      <c r="H102" s="5" t="inlineStr">
        <is>
          <t>nachhaltigkeit, technologie</t>
        </is>
      </c>
      <c r="I102" s="5" t="inlineStr">
        <is>
          <t>Wasser, Umwelttechnik und kommunale Resilienz (5); Cyberresilienz und kritische Infrastruktur (4)</t>
        </is>
      </c>
    </row>
    <row r="103" ht="30" customHeight="1" s="46">
      <c r="A103" s="5" t="n">
        <v>102</v>
      </c>
      <c r="B103" s="5" t="inlineStr">
        <is>
          <t>ZDF – Zweites Deutsches Fernsehen</t>
        </is>
      </c>
      <c r="C103" s="5" t="inlineStr">
        <is>
          <t>https://www.zdf.de</t>
        </is>
      </c>
      <c r="D103" s="5" t="inlineStr">
        <is>
          <t>context_actor</t>
        </is>
      </c>
      <c r="E103" t="inlineStr">
        <is>
          <t>media_publicity_anchor</t>
        </is>
      </c>
      <c r="F103" s="5" t="n">
        <v>5</v>
      </c>
      <c r="G103" s="5" t="n">
        <v>5</v>
      </c>
      <c r="H103" s="5" t="inlineStr">
        <is>
          <t>gesellschaft, kultur, wissen</t>
        </is>
      </c>
      <c r="I103" s="5" t="inlineStr">
        <is>
          <t>Demokratie, Medien und gesellschaftlicher Zusammenhalt (5); Kreativwirtschaft, Medien und digitale Öffentlichkeit (5); Kultur, Standortidentität und regionale Attraktivität (5); Wissenschaft, Demokratie und gesellschaftlicher Zusammenhalt (5); Talentförderung, Musik und Nachwuchs (4)</t>
        </is>
      </c>
    </row>
    <row r="104">
      <c r="A104" t="n">
        <v>103</v>
      </c>
      <c r="B104" t="inlineStr">
        <is>
          <t>Alexianer GmbH</t>
        </is>
      </c>
      <c r="C104" t="inlineStr">
        <is>
          <t>https://www.alexianer.de/</t>
        </is>
      </c>
      <c r="D104" t="inlineStr">
        <is>
          <t>context_actor</t>
        </is>
      </c>
      <c r="E104" t="inlineStr">
        <is>
          <t>health_social_anchor</t>
        </is>
      </c>
      <c r="F104" t="n">
        <v>4</v>
      </c>
      <c r="G104" t="n">
        <v>5</v>
      </c>
      <c r="H104" t="inlineStr">
        <is>
          <t>gesellschaft, wirtschaft, wissen</t>
        </is>
      </c>
      <c r="I104" t="inlineStr">
        <is>
          <t>Gesundheitsversorgung und Prävention (5); Pflege, Fachkräfte und Sozialwirtschaft (5); Teilhabe, Inklusion und Arbeitsmarkt (4); Dialog, Vernetzung und gesellschaftliche Verantwortung (4)</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695"/>
  <sheetViews>
    <sheetView showGridLines="1" workbookViewId="0">
      <pane ySplit="1" topLeftCell="A2" activePane="bottomLeft" state="frozen"/>
      <selection pane="bottomLeft" activeCell="A1" sqref="A1"/>
    </sheetView>
  </sheetViews>
  <sheetFormatPr baseColWidth="8" defaultRowHeight="15"/>
  <cols>
    <col width="14" customWidth="1" style="46" min="1" max="1"/>
    <col width="15" customWidth="1" style="46" min="2" max="2"/>
    <col width="12" customWidth="1" style="46" min="3" max="3"/>
    <col width="70" customWidth="1" style="46" min="4" max="4"/>
    <col width="70" customWidth="1" style="46" min="5" max="5"/>
    <col width="13" customWidth="1" style="46" min="6" max="6"/>
    <col width="13" customWidth="1" style="46" min="7" max="7"/>
    <col width="23" customWidth="1" style="46" min="8" max="8"/>
    <col width="31" customWidth="1" style="46" min="9" max="9"/>
    <col width="23" customWidth="1" style="46" min="10" max="10"/>
    <col width="33" customWidth="1" style="46" min="11" max="11"/>
    <col width="16" customWidth="1" style="46" min="12" max="12"/>
    <col width="44" customWidth="1" style="46" min="13" max="13"/>
    <col width="55" customWidth="1" style="46" min="14" max="14"/>
    <col width="13" customWidth="1" style="46" min="15" max="15"/>
    <col width="13" customWidth="1" style="46" min="16" max="16"/>
    <col width="26" customWidth="1" style="46" min="17" max="17"/>
    <col width="27" customWidth="1" style="46" min="18" max="18"/>
    <col width="27" customWidth="1" style="46" min="19" max="19"/>
    <col width="22" customWidth="1" style="46" min="20" max="20"/>
    <col width="19" customWidth="1" style="46" min="21" max="21"/>
    <col width="22" customWidth="1" style="46" min="22" max="22"/>
    <col width="31" customWidth="1" style="46" min="23" max="23"/>
    <col width="21" customWidth="1" style="46" min="24" max="24"/>
    <col width="22" customWidth="1" style="46" min="25" max="25"/>
    <col width="23" customWidth="1" style="46" min="26" max="26"/>
    <col width="26" customWidth="1" style="46" min="27" max="27"/>
    <col width="21" customWidth="1" style="46" min="28" max="28"/>
    <col width="70" customWidth="1" style="46" min="29" max="29"/>
    <col width="70" customWidth="1" style="46" min="30" max="30"/>
    <col width="70" customWidth="1" style="46" min="31" max="31"/>
    <col width="70" customWidth="1" style="46" min="32" max="32"/>
  </cols>
  <sheetData>
    <row r="1" ht="28" customHeight="1" s="46">
      <c r="A1" s="48" t="inlineStr">
        <is>
          <t>candidate_id</t>
        </is>
      </c>
      <c r="B1" s="48" t="inlineStr">
        <is>
          <t>scip_variable</t>
        </is>
      </c>
      <c r="C1" s="48" t="inlineStr">
        <is>
          <t>selected_x</t>
        </is>
      </c>
      <c r="D1" s="48" t="inlineStr">
        <is>
          <t>member_a</t>
        </is>
      </c>
      <c r="E1" s="48" t="inlineStr">
        <is>
          <t>member_b</t>
        </is>
      </c>
      <c r="F1" s="48" t="inlineStr">
        <is>
          <t>member_a_id</t>
        </is>
      </c>
      <c r="G1" s="48" t="inlineStr">
        <is>
          <t>member_b_id</t>
        </is>
      </c>
      <c r="H1" s="48" t="inlineStr">
        <is>
          <t>role_a</t>
        </is>
      </c>
      <c r="I1" s="61" t="inlineStr">
        <is>
          <t>subrole_a</t>
        </is>
      </c>
      <c r="J1" s="48" t="inlineStr">
        <is>
          <t>role_b</t>
        </is>
      </c>
      <c r="K1" s="61" t="inlineStr">
        <is>
          <t>subrole_b</t>
        </is>
      </c>
      <c r="L1" s="48" t="inlineStr">
        <is>
          <t>themenfeld</t>
        </is>
      </c>
      <c r="M1" s="48" t="inlineStr">
        <is>
          <t>concrete_cluster</t>
        </is>
      </c>
      <c r="N1" s="48" t="inlineStr">
        <is>
          <t>cluster_label</t>
        </is>
      </c>
      <c r="O1" s="48" t="inlineStr">
        <is>
          <t>relevance_a</t>
        </is>
      </c>
      <c r="P1" s="48" t="inlineStr">
        <is>
          <t>relevance_b</t>
        </is>
      </c>
      <c r="Q1" s="48" t="inlineStr">
        <is>
          <t>shared_concrete_clusters</t>
        </is>
      </c>
      <c r="R1" s="48" t="inlineStr">
        <is>
          <t>complementary_topic_pairs</t>
        </is>
      </c>
      <c r="S1" s="48" t="inlineStr">
        <is>
          <t>momentum_from_event_count</t>
        </is>
      </c>
      <c r="T1" s="48" t="inlineStr">
        <is>
          <t>avg_decision_quality</t>
        </is>
      </c>
      <c r="U1" s="48" t="inlineStr">
        <is>
          <t>section_diversity</t>
        </is>
      </c>
      <c r="V1" s="48" t="inlineStr">
        <is>
          <t>role_complementarity</t>
        </is>
      </c>
      <c r="W1" s="48" t="inlineStr">
        <is>
          <t>application_capability_bridge</t>
        </is>
      </c>
      <c r="X1" s="48" t="inlineStr">
        <is>
          <t>broad_media_penalty</t>
        </is>
      </c>
      <c r="Y1" s="48" t="inlineStr">
        <is>
          <t>weak_profile_penalty</t>
        </is>
      </c>
      <c r="Z1" s="48" t="inlineStr">
        <is>
          <t>academic_only_penalty</t>
        </is>
      </c>
      <c r="AA1" s="48" t="inlineStr">
        <is>
          <t>abstract_overlap_penalty</t>
        </is>
      </c>
      <c r="AB1" s="48" t="inlineStr">
        <is>
          <t>final_support_score</t>
        </is>
      </c>
      <c r="AC1" s="48" t="inlineStr">
        <is>
          <t>static_cluster_problem</t>
        </is>
      </c>
      <c r="AD1" s="48" t="inlineStr">
        <is>
          <t>reasoning</t>
        </is>
      </c>
      <c r="AE1" s="48" t="inlineStr">
        <is>
          <t>member_pair_key</t>
        </is>
      </c>
      <c r="AF1" s="48" t="inlineStr">
        <is>
          <t>opportunity_key</t>
        </is>
      </c>
    </row>
    <row r="2" ht="30" customHeight="1" s="46">
      <c r="A2" s="5" t="inlineStr">
        <is>
          <t>C0001</t>
        </is>
      </c>
      <c r="B2" s="5" t="inlineStr">
        <is>
          <t>x_0001</t>
        </is>
      </c>
      <c r="C2" s="5" t="n">
        <v>0</v>
      </c>
      <c r="D2" s="5" t="inlineStr">
        <is>
          <t>Architektenkammer Rheinland-Pfalz</t>
        </is>
      </c>
      <c r="E2" s="5" t="inlineStr">
        <is>
          <t>vero – Verband der Bau- und Rohstoffindustrie</t>
        </is>
      </c>
      <c r="F2" s="5" t="n">
        <v>3</v>
      </c>
      <c r="G2" s="5" t="n">
        <v>95</v>
      </c>
      <c r="H2" s="5" t="inlineStr">
        <is>
          <t>implementation_anchor</t>
        </is>
      </c>
      <c r="I2" t="inlineStr">
        <is>
          <t>construction_planning_anchor</t>
        </is>
      </c>
      <c r="J2" s="5" t="inlineStr">
        <is>
          <t>profit_anchor</t>
        </is>
      </c>
      <c r="K2" t="inlineStr">
        <is>
          <t>construction_planning_anchor</t>
        </is>
      </c>
      <c r="L2" s="5" t="inlineStr">
        <is>
          <t>technologie</t>
        </is>
      </c>
      <c r="M2" s="5" t="inlineStr">
        <is>
          <t>digitale_bau_verwaltung_planung</t>
        </is>
      </c>
      <c r="N2" s="5" t="inlineStr">
        <is>
          <t>Digitale Bau-, Planungs- und Genehmigungsprozesse</t>
        </is>
      </c>
      <c r="O2" s="5" t="n">
        <v>5</v>
      </c>
      <c r="P2" s="5" t="n">
        <v>5</v>
      </c>
      <c r="Q2" s="5" t="n">
        <v>14</v>
      </c>
      <c r="R2" s="5" t="n">
        <v>4</v>
      </c>
      <c r="S2" s="5" t="n">
        <v>0</v>
      </c>
      <c r="T2" s="5" t="n">
        <v>0</v>
      </c>
      <c r="U2" s="5" t="n">
        <v>2</v>
      </c>
      <c r="V2" s="5" t="n">
        <v>8</v>
      </c>
      <c r="W2" s="5" t="n">
        <v>8</v>
      </c>
      <c r="X2" s="5" t="n">
        <v>0</v>
      </c>
      <c r="Y2" s="5" t="n">
        <v>0</v>
      </c>
      <c r="Z2" s="5" t="n">
        <v>0</v>
      </c>
      <c r="AA2" s="5" t="n">
        <v>0</v>
      </c>
      <c r="AB2" s="5" t="n">
        <v>40.208485</v>
      </c>
      <c r="AC2" s="5" t="inlineStr">
        <is>
          <t>Wie können Bau, Planung, Genehmigung und Verwaltung durch digitale Werkzeuge schneller und rechtssicherer werden?</t>
        </is>
      </c>
      <c r="AD2" s="5" t="inlineStr">
        <is>
          <t>Digitale Bau-, Planungs- und Genehmigungsprozesse: Architektenkammer Rheinland-Pfalz (implementation_anchor, 5) + vero – Verband der Bau- und Rohstoffindustrie (profit_anchor, 5).</t>
        </is>
      </c>
      <c r="AE2" s="5" t="inlineStr">
        <is>
          <t>Architektenkammer Rheinland-Pfalz | vero – Verband der Bau- und Rohstoffindustrie</t>
        </is>
      </c>
      <c r="AF2" s="5" t="inlineStr">
        <is>
          <t>digitale-bau-verwaltung-planung-architektenkammer-rheinland-pfalz-vero-verband-der-bau-und-rohs</t>
        </is>
      </c>
    </row>
    <row r="3" ht="30" customHeight="1" s="46">
      <c r="A3" s="5" t="inlineStr">
        <is>
          <t>C0002</t>
        </is>
      </c>
      <c r="B3" s="5" t="inlineStr">
        <is>
          <t>x_0002</t>
        </is>
      </c>
      <c r="C3" s="5" t="n">
        <v>0</v>
      </c>
      <c r="D3" s="5" t="inlineStr">
        <is>
          <t>Ingenieurkammer Rheinland-Pfalz</t>
        </is>
      </c>
      <c r="E3" s="5" t="inlineStr">
        <is>
          <t>vero – Verband der Bau- und Rohstoffindustrie</t>
        </is>
      </c>
      <c r="F3" s="5" t="n">
        <v>44</v>
      </c>
      <c r="G3" s="5" t="n">
        <v>95</v>
      </c>
      <c r="H3" s="5" t="inlineStr">
        <is>
          <t>implementation_anchor</t>
        </is>
      </c>
      <c r="I3" t="inlineStr">
        <is>
          <t>construction_planning_anchor</t>
        </is>
      </c>
      <c r="J3" s="5" t="inlineStr">
        <is>
          <t>profit_anchor</t>
        </is>
      </c>
      <c r="K3" t="inlineStr">
        <is>
          <t>construction_planning_anchor</t>
        </is>
      </c>
      <c r="L3" s="5" t="inlineStr">
        <is>
          <t>technologie</t>
        </is>
      </c>
      <c r="M3" s="5" t="inlineStr">
        <is>
          <t>digitale_bau_verwaltung_planung</t>
        </is>
      </c>
      <c r="N3" s="5" t="inlineStr">
        <is>
          <t>Digitale Bau-, Planungs- und Genehmigungsprozesse</t>
        </is>
      </c>
      <c r="O3" s="5" t="n">
        <v>5</v>
      </c>
      <c r="P3" s="5" t="n">
        <v>5</v>
      </c>
      <c r="Q3" s="5" t="n">
        <v>14</v>
      </c>
      <c r="R3" s="5" t="n">
        <v>4</v>
      </c>
      <c r="S3" s="5" t="n">
        <v>0</v>
      </c>
      <c r="T3" s="5" t="n">
        <v>0</v>
      </c>
      <c r="U3" s="5" t="n">
        <v>2</v>
      </c>
      <c r="V3" s="5" t="n">
        <v>8</v>
      </c>
      <c r="W3" s="5" t="n">
        <v>8</v>
      </c>
      <c r="X3" s="5" t="n">
        <v>0</v>
      </c>
      <c r="Y3" s="5" t="n">
        <v>0</v>
      </c>
      <c r="Z3" s="5" t="n">
        <v>0</v>
      </c>
      <c r="AA3" s="5" t="n">
        <v>0</v>
      </c>
      <c r="AB3" s="5" t="n">
        <v>40.208485</v>
      </c>
      <c r="AC3" s="5" t="inlineStr">
        <is>
          <t>Wie können Bau, Planung, Genehmigung und Verwaltung durch digitale Werkzeuge schneller und rechtssicherer werden?</t>
        </is>
      </c>
      <c r="AD3" s="5" t="inlineStr">
        <is>
          <t>Digitale Bau-, Planungs- und Genehmigungsprozesse: Ingenieurkammer Rheinland-Pfalz (implementation_anchor, 5) + vero – Verband der Bau- und Rohstoffindustrie (profit_anchor, 5).</t>
        </is>
      </c>
      <c r="AE3" s="5" t="inlineStr">
        <is>
          <t>Ingenieurkammer Rheinland-Pfalz | vero – Verband der Bau- und Rohstoffindustrie</t>
        </is>
      </c>
      <c r="AF3" s="5" t="inlineStr">
        <is>
          <t>digitale-bau-verwaltung-planung-ingenieurkammer-rheinland-pfalz-vero-verband-der-bau-und-rohsto</t>
        </is>
      </c>
    </row>
    <row r="4" ht="30" customHeight="1" s="46">
      <c r="A4" s="5" t="inlineStr">
        <is>
          <t>C0003</t>
        </is>
      </c>
      <c r="B4" s="5" t="inlineStr">
        <is>
          <t>x_0003</t>
        </is>
      </c>
      <c r="C4" s="5" t="n">
        <v>0</v>
      </c>
      <c r="D4" s="5" t="inlineStr">
        <is>
          <t>Bundesagentur für Arbeit, Regionaldirektion Rheinland-Pfalz-Saarland</t>
        </is>
      </c>
      <c r="E4" s="5" t="inlineStr">
        <is>
          <t>Leonardo PersonalKonzept GmbH</t>
        </is>
      </c>
      <c r="F4" s="5" t="n">
        <v>13</v>
      </c>
      <c r="G4" s="5" t="n">
        <v>64</v>
      </c>
      <c r="H4" s="5" t="inlineStr">
        <is>
          <t>implementation_anchor</t>
        </is>
      </c>
      <c r="I4" t="inlineStr">
        <is>
          <t>public_policy_anchor</t>
        </is>
      </c>
      <c r="J4" s="5" t="inlineStr">
        <is>
          <t>profit_anchor</t>
        </is>
      </c>
      <c r="K4" t="inlineStr">
        <is>
          <t>professional_services_anchor</t>
        </is>
      </c>
      <c r="L4" s="5" t="inlineStr">
        <is>
          <t>wirtschaft</t>
        </is>
      </c>
      <c r="M4" s="5" t="inlineStr">
        <is>
          <t>arbeitsmarkt_fachkraefte</t>
        </is>
      </c>
      <c r="N4" s="5" t="inlineStr">
        <is>
          <t>Arbeitsmarkt, Fachkräfte und Qualifizierung</t>
        </is>
      </c>
      <c r="O4" s="5" t="n">
        <v>5</v>
      </c>
      <c r="P4" s="5" t="n">
        <v>4</v>
      </c>
      <c r="Q4" s="5" t="n">
        <v>13</v>
      </c>
      <c r="R4" s="5" t="n">
        <v>4</v>
      </c>
      <c r="S4" s="5" t="n">
        <v>0</v>
      </c>
      <c r="T4" s="5" t="n">
        <v>0</v>
      </c>
      <c r="U4" s="5" t="n">
        <v>2</v>
      </c>
      <c r="V4" s="5" t="n">
        <v>8</v>
      </c>
      <c r="W4" s="5" t="n">
        <v>8</v>
      </c>
      <c r="X4" s="5" t="n">
        <v>0</v>
      </c>
      <c r="Y4" s="5" t="n">
        <v>0</v>
      </c>
      <c r="Z4" s="5" t="n">
        <v>0</v>
      </c>
      <c r="AA4" s="5" t="n">
        <v>0</v>
      </c>
      <c r="AB4" s="5" t="n">
        <v>47.342258</v>
      </c>
      <c r="AC4" s="5" t="inlineStr">
        <is>
          <t>Wie sichern Unternehmen, Hochschulen, Kammern und Arbeitsverwaltung Fachkräfte für Transformation, Pflege, Technik und Verwaltung?</t>
        </is>
      </c>
      <c r="AD4" s="5" t="inlineStr">
        <is>
          <t>Arbeitsmarkt, Fachkräfte und Qualifizierung: Bundesagentur für Arbeit, Regionaldirektion Rheinland-Pfalz-Saarland (implementation_anchor, 5) + Leonardo PersonalKonzept GmbH (profit_anchor, 4).</t>
        </is>
      </c>
      <c r="AE4" s="5" t="inlineStr">
        <is>
          <t>Bundesagentur für Arbeit, Regionaldirektion Rheinland-Pfalz-Saarland | Leonardo PersonalKonzept GmbH</t>
        </is>
      </c>
      <c r="AF4" s="5" t="inlineStr">
        <is>
          <t>arbeitsmarkt-fachkraefte-bundesagentur-für-arbeit-regionaldirektion-rheinland-pfalz-saarland-le</t>
        </is>
      </c>
    </row>
    <row r="5" ht="30" customHeight="1" s="46">
      <c r="A5" s="5" t="inlineStr">
        <is>
          <t>C0004</t>
        </is>
      </c>
      <c r="B5" s="5" t="inlineStr">
        <is>
          <t>x_0004</t>
        </is>
      </c>
      <c r="C5" s="5" t="n">
        <v>0</v>
      </c>
      <c r="D5" s="5" t="inlineStr">
        <is>
          <t>Bundesagentur für Arbeit, Regionaldirektion Rheinland-Pfalz-Saarland</t>
        </is>
      </c>
      <c r="E5" s="5" t="inlineStr">
        <is>
          <t>Ministerium für Wirtschaft, Verkehr, Landwirtschaft und Weinbau</t>
        </is>
      </c>
      <c r="F5" s="5" t="n">
        <v>13</v>
      </c>
      <c r="G5" s="5" t="n">
        <v>70</v>
      </c>
      <c r="H5" s="5" t="inlineStr">
        <is>
          <t>implementation_anchor</t>
        </is>
      </c>
      <c r="I5" t="inlineStr">
        <is>
          <t>public_policy_anchor</t>
        </is>
      </c>
      <c r="J5" s="5" t="inlineStr">
        <is>
          <t>profit_anchor</t>
        </is>
      </c>
      <c r="K5" t="inlineStr">
        <is>
          <t>public_policy_anchor</t>
        </is>
      </c>
      <c r="L5" s="5" t="inlineStr">
        <is>
          <t>wirtschaft</t>
        </is>
      </c>
      <c r="M5" s="5" t="inlineStr">
        <is>
          <t>arbeitsmarkt_fachkraefte</t>
        </is>
      </c>
      <c r="N5" s="5" t="inlineStr">
        <is>
          <t>Arbeitsmarkt, Fachkräfte und Qualifizierung</t>
        </is>
      </c>
      <c r="O5" s="5" t="n">
        <v>5</v>
      </c>
      <c r="P5" s="5" t="n">
        <v>4</v>
      </c>
      <c r="Q5" s="5" t="n">
        <v>13</v>
      </c>
      <c r="R5" s="5" t="n">
        <v>4</v>
      </c>
      <c r="S5" s="5" t="n">
        <v>0</v>
      </c>
      <c r="T5" s="5" t="n">
        <v>0</v>
      </c>
      <c r="U5" s="5" t="n">
        <v>2</v>
      </c>
      <c r="V5" s="5" t="n">
        <v>8</v>
      </c>
      <c r="W5" s="5" t="n">
        <v>8</v>
      </c>
      <c r="X5" s="5" t="n">
        <v>0</v>
      </c>
      <c r="Y5" s="5" t="n">
        <v>0</v>
      </c>
      <c r="Z5" s="5" t="n">
        <v>0</v>
      </c>
      <c r="AA5" s="5" t="n">
        <v>0</v>
      </c>
      <c r="AB5" s="5" t="n">
        <v>45.139072</v>
      </c>
      <c r="AC5" s="5" t="inlineStr">
        <is>
          <t>Wie sichern Unternehmen, Hochschulen, Kammern und Arbeitsverwaltung Fachkräfte für Transformation, Pflege, Technik und Verwaltung?</t>
        </is>
      </c>
      <c r="AD5" s="5" t="inlineStr">
        <is>
          <t>Arbeitsmarkt, Fachkräfte und Qualifizierung: Bundesagentur für Arbeit, Regionaldirektion Rheinland-Pfalz-Saarland (implementation_anchor, 5) + Ministerium für Wirtschaft, Verkehr, Landwirtschaft und Weinbau (profit_anchor, 4).</t>
        </is>
      </c>
      <c r="AE5" s="5" t="inlineStr">
        <is>
          <t>Bundesagentur für Arbeit, Regionaldirektion Rheinland-Pfalz-Saarland | Ministerium für Wirtschaft, Verkehr, Landwirtschaft und Weinbau</t>
        </is>
      </c>
      <c r="AF5" s="5" t="inlineStr">
        <is>
          <t>arbeitsmarkt-fachkraefte-bundesagentur-für-arbeit-regionaldirektion-rheinland-pfalz-saarland-mi</t>
        </is>
      </c>
    </row>
    <row r="6" ht="30" customHeight="1" s="46">
      <c r="A6" s="5" t="inlineStr">
        <is>
          <t>C0005</t>
        </is>
      </c>
      <c r="B6" s="5" t="inlineStr">
        <is>
          <t>x_0005</t>
        </is>
      </c>
      <c r="C6" s="5" t="n">
        <v>0</v>
      </c>
      <c r="D6" s="5" t="inlineStr">
        <is>
          <t>Handwerkskammern Rheinland-Pfalz</t>
        </is>
      </c>
      <c r="E6" s="5" t="inlineStr">
        <is>
          <t>Leonardo PersonalKonzept GmbH</t>
        </is>
      </c>
      <c r="F6" s="5" t="n">
        <v>32</v>
      </c>
      <c r="G6" s="5" t="n">
        <v>64</v>
      </c>
      <c r="H6" s="5" t="inlineStr">
        <is>
          <t>implementation_anchor</t>
        </is>
      </c>
      <c r="I6" t="inlineStr">
        <is>
          <t>chamber_association_anchor</t>
        </is>
      </c>
      <c r="J6" s="5" t="inlineStr">
        <is>
          <t>profit_anchor</t>
        </is>
      </c>
      <c r="K6" t="inlineStr">
        <is>
          <t>professional_services_anchor</t>
        </is>
      </c>
      <c r="L6" s="5" t="inlineStr">
        <is>
          <t>wirtschaft</t>
        </is>
      </c>
      <c r="M6" s="5" t="inlineStr">
        <is>
          <t>arbeitsmarkt_fachkraefte</t>
        </is>
      </c>
      <c r="N6" s="5" t="inlineStr">
        <is>
          <t>Arbeitsmarkt, Fachkräfte und Qualifizierung</t>
        </is>
      </c>
      <c r="O6" s="5" t="n">
        <v>5</v>
      </c>
      <c r="P6" s="5" t="n">
        <v>4</v>
      </c>
      <c r="Q6" s="5" t="n">
        <v>13</v>
      </c>
      <c r="R6" s="5" t="n">
        <v>4</v>
      </c>
      <c r="S6" s="5" t="n">
        <v>0</v>
      </c>
      <c r="T6" s="5" t="n">
        <v>0</v>
      </c>
      <c r="U6" s="5" t="n">
        <v>2</v>
      </c>
      <c r="V6" s="5" t="n">
        <v>8</v>
      </c>
      <c r="W6" s="5" t="n">
        <v>8</v>
      </c>
      <c r="X6" s="5" t="n">
        <v>0</v>
      </c>
      <c r="Y6" s="5" t="n">
        <v>0</v>
      </c>
      <c r="Z6" s="5" t="n">
        <v>0</v>
      </c>
      <c r="AA6" s="5" t="n">
        <v>0</v>
      </c>
      <c r="AB6" s="5" t="n">
        <v>52.446862</v>
      </c>
      <c r="AC6" s="5" t="inlineStr">
        <is>
          <t>Wie sichern Unternehmen, Hochschulen, Kammern und Arbeitsverwaltung Fachkräfte für Transformation, Pflege, Technik und Verwaltung?</t>
        </is>
      </c>
      <c r="AD6" s="5" t="inlineStr">
        <is>
          <t>Arbeitsmarkt, Fachkräfte und Qualifizierung: Handwerkskammern Rheinland-Pfalz (implementation_anchor, 5) + Leonardo PersonalKonzept GmbH (profit_anchor, 4).</t>
        </is>
      </c>
      <c r="AE6" s="5" t="inlineStr">
        <is>
          <t>Handwerkskammern Rheinland-Pfalz | Leonardo PersonalKonzept GmbH</t>
        </is>
      </c>
      <c r="AF6" s="5" t="inlineStr">
        <is>
          <t>arbeitsmarkt-fachkraefte-handwerkskammern-rheinland-pfalz-leonardo-personalkonzept-gmbh</t>
        </is>
      </c>
    </row>
    <row r="7" ht="30" customHeight="1" s="46">
      <c r="A7" s="5" t="inlineStr">
        <is>
          <t>C0006</t>
        </is>
      </c>
      <c r="B7" s="5" t="inlineStr">
        <is>
          <t>x_0006</t>
        </is>
      </c>
      <c r="C7" s="5" t="n">
        <v>0</v>
      </c>
      <c r="D7" s="5" t="inlineStr">
        <is>
          <t>Handwerkskammern Rheinland-Pfalz</t>
        </is>
      </c>
      <c r="E7" s="5" t="inlineStr">
        <is>
          <t>Ministerium für Wirtschaft, Verkehr, Landwirtschaft und Weinbau</t>
        </is>
      </c>
      <c r="F7" s="5" t="n">
        <v>32</v>
      </c>
      <c r="G7" s="5" t="n">
        <v>70</v>
      </c>
      <c r="H7" s="5" t="inlineStr">
        <is>
          <t>implementation_anchor</t>
        </is>
      </c>
      <c r="I7" t="inlineStr">
        <is>
          <t>chamber_association_anchor</t>
        </is>
      </c>
      <c r="J7" s="5" t="inlineStr">
        <is>
          <t>profit_anchor</t>
        </is>
      </c>
      <c r="K7" t="inlineStr">
        <is>
          <t>public_policy_anchor</t>
        </is>
      </c>
      <c r="L7" s="5" t="inlineStr">
        <is>
          <t>wirtschaft</t>
        </is>
      </c>
      <c r="M7" s="5" t="inlineStr">
        <is>
          <t>arbeitsmarkt_fachkraefte</t>
        </is>
      </c>
      <c r="N7" s="5" t="inlineStr">
        <is>
          <t>Arbeitsmarkt, Fachkräfte und Qualifizierung</t>
        </is>
      </c>
      <c r="O7" s="5" t="n">
        <v>5</v>
      </c>
      <c r="P7" s="5" t="n">
        <v>4</v>
      </c>
      <c r="Q7" s="5" t="n">
        <v>13</v>
      </c>
      <c r="R7" s="5" t="n">
        <v>4</v>
      </c>
      <c r="S7" s="5" t="n">
        <v>0</v>
      </c>
      <c r="T7" s="5" t="n">
        <v>0</v>
      </c>
      <c r="U7" s="5" t="n">
        <v>2</v>
      </c>
      <c r="V7" s="5" t="n">
        <v>8</v>
      </c>
      <c r="W7" s="5" t="n">
        <v>8</v>
      </c>
      <c r="X7" s="5" t="n">
        <v>0</v>
      </c>
      <c r="Y7" s="5" t="n">
        <v>0</v>
      </c>
      <c r="Z7" s="5" t="n">
        <v>0</v>
      </c>
      <c r="AA7" s="5" t="n">
        <v>0</v>
      </c>
      <c r="AB7" s="5" t="n">
        <v>50.467017</v>
      </c>
      <c r="AC7" s="5" t="inlineStr">
        <is>
          <t>Wie sichern Unternehmen, Hochschulen, Kammern und Arbeitsverwaltung Fachkräfte für Transformation, Pflege, Technik und Verwaltung?</t>
        </is>
      </c>
      <c r="AD7" s="5" t="inlineStr">
        <is>
          <t>Arbeitsmarkt, Fachkräfte und Qualifizierung: Handwerkskammern Rheinland-Pfalz (implementation_anchor, 5) + Ministerium für Wirtschaft, Verkehr, Landwirtschaft und Weinbau (profit_anchor, 4).</t>
        </is>
      </c>
      <c r="AE7" s="5" t="inlineStr">
        <is>
          <t>Handwerkskammern Rheinland-Pfalz | Ministerium für Wirtschaft, Verkehr, Landwirtschaft und Weinbau</t>
        </is>
      </c>
      <c r="AF7" s="5" t="inlineStr">
        <is>
          <t>arbeitsmarkt-fachkraefte-handwerkskammern-rheinland-pfalz-ministerium-für-wirtschaft-verkehr-la</t>
        </is>
      </c>
    </row>
    <row r="8" ht="30" customHeight="1" s="46">
      <c r="A8" s="5" t="inlineStr">
        <is>
          <t>C0007</t>
        </is>
      </c>
      <c r="B8" s="5" t="inlineStr">
        <is>
          <t>x_0007</t>
        </is>
      </c>
      <c r="C8" s="5" t="n">
        <v>0</v>
      </c>
      <c r="D8" s="5" t="inlineStr">
        <is>
          <t>Architektenkammer Rheinland-Pfalz</t>
        </is>
      </c>
      <c r="E8" s="5" t="inlineStr">
        <is>
          <t>Aturas GmbH</t>
        </is>
      </c>
      <c r="F8" s="5" t="n">
        <v>3</v>
      </c>
      <c r="G8" s="5" t="n">
        <v>4</v>
      </c>
      <c r="H8" s="5" t="inlineStr">
        <is>
          <t>implementation_anchor</t>
        </is>
      </c>
      <c r="I8" t="inlineStr">
        <is>
          <t>construction_planning_anchor</t>
        </is>
      </c>
      <c r="J8" s="5" t="inlineStr">
        <is>
          <t>profit_anchor</t>
        </is>
      </c>
      <c r="K8" t="inlineStr">
        <is>
          <t>technology_digital_anchor</t>
        </is>
      </c>
      <c r="L8" s="5" t="inlineStr">
        <is>
          <t>technologie</t>
        </is>
      </c>
      <c r="M8" s="5" t="inlineStr">
        <is>
          <t>digitale_bau_verwaltung_planung</t>
        </is>
      </c>
      <c r="N8" s="5" t="inlineStr">
        <is>
          <t>Digitale Bau-, Planungs- und Genehmigungsprozesse</t>
        </is>
      </c>
      <c r="O8" s="5" t="n">
        <v>5</v>
      </c>
      <c r="P8" s="5" t="n">
        <v>4</v>
      </c>
      <c r="Q8" s="5" t="n">
        <v>13</v>
      </c>
      <c r="R8" s="5" t="n">
        <v>4</v>
      </c>
      <c r="S8" s="5" t="n">
        <v>0</v>
      </c>
      <c r="T8" s="5" t="n">
        <v>0</v>
      </c>
      <c r="U8" s="5" t="n">
        <v>2</v>
      </c>
      <c r="V8" s="5" t="n">
        <v>8</v>
      </c>
      <c r="W8" s="5" t="n">
        <v>8</v>
      </c>
      <c r="X8" s="5" t="n">
        <v>0</v>
      </c>
      <c r="Y8" s="5" t="n">
        <v>0</v>
      </c>
      <c r="Z8" s="5" t="n">
        <v>0</v>
      </c>
      <c r="AA8" s="5" t="n">
        <v>0</v>
      </c>
      <c r="AB8" s="5" t="n">
        <v>37.99019</v>
      </c>
      <c r="AC8" s="5" t="inlineStr">
        <is>
          <t>Wie können Bau, Planung, Genehmigung und Verwaltung durch digitale Werkzeuge schneller und rechtssicherer werden?</t>
        </is>
      </c>
      <c r="AD8" s="5" t="inlineStr">
        <is>
          <t>Digitale Bau-, Planungs- und Genehmigungsprozesse: Architektenkammer Rheinland-Pfalz (implementation_anchor, 5) + Aturas GmbH (profit_anchor, 4).</t>
        </is>
      </c>
      <c r="AE8" s="5" t="inlineStr">
        <is>
          <t>Architektenkammer Rheinland-Pfalz | Aturas GmbH</t>
        </is>
      </c>
      <c r="AF8" s="5" t="inlineStr">
        <is>
          <t>digitale-bau-verwaltung-planung-architektenkammer-rheinland-pfalz-aturas-gmbh</t>
        </is>
      </c>
    </row>
    <row r="9" ht="30" customHeight="1" s="46">
      <c r="A9" s="5" t="inlineStr">
        <is>
          <t>C0008</t>
        </is>
      </c>
      <c r="B9" s="5" t="inlineStr">
        <is>
          <t>x_0008</t>
        </is>
      </c>
      <c r="C9" s="5" t="n">
        <v>0</v>
      </c>
      <c r="D9" s="5" t="inlineStr">
        <is>
          <t>Architektenkammer Rheinland-Pfalz</t>
        </is>
      </c>
      <c r="E9" s="5" t="inlineStr">
        <is>
          <t>BRICKMAKERS AG</t>
        </is>
      </c>
      <c r="F9" s="5" t="n">
        <v>3</v>
      </c>
      <c r="G9" s="5" t="n">
        <v>12</v>
      </c>
      <c r="H9" s="5" t="inlineStr">
        <is>
          <t>implementation_anchor</t>
        </is>
      </c>
      <c r="I9" t="inlineStr">
        <is>
          <t>construction_planning_anchor</t>
        </is>
      </c>
      <c r="J9" s="5" t="inlineStr">
        <is>
          <t>profit_anchor</t>
        </is>
      </c>
      <c r="K9" t="inlineStr">
        <is>
          <t>technology_digital_anchor</t>
        </is>
      </c>
      <c r="L9" s="5" t="inlineStr">
        <is>
          <t>technologie</t>
        </is>
      </c>
      <c r="M9" s="5" t="inlineStr">
        <is>
          <t>digitale_bau_verwaltung_planung</t>
        </is>
      </c>
      <c r="N9" s="5" t="inlineStr">
        <is>
          <t>Digitale Bau-, Planungs- und Genehmigungsprozesse</t>
        </is>
      </c>
      <c r="O9" s="5" t="n">
        <v>5</v>
      </c>
      <c r="P9" s="5" t="n">
        <v>4</v>
      </c>
      <c r="Q9" s="5" t="n">
        <v>13</v>
      </c>
      <c r="R9" s="5" t="n">
        <v>4</v>
      </c>
      <c r="S9" s="5" t="n">
        <v>0</v>
      </c>
      <c r="T9" s="5" t="n">
        <v>0</v>
      </c>
      <c r="U9" s="5" t="n">
        <v>2</v>
      </c>
      <c r="V9" s="5" t="n">
        <v>8</v>
      </c>
      <c r="W9" s="5" t="n">
        <v>8</v>
      </c>
      <c r="X9" s="5" t="n">
        <v>0</v>
      </c>
      <c r="Y9" s="5" t="n">
        <v>0</v>
      </c>
      <c r="Z9" s="5" t="n">
        <v>0</v>
      </c>
      <c r="AA9" s="5" t="n">
        <v>0</v>
      </c>
      <c r="AB9" s="5" t="n">
        <v>37.99019</v>
      </c>
      <c r="AC9" s="5" t="inlineStr">
        <is>
          <t>Wie können Bau, Planung, Genehmigung und Verwaltung durch digitale Werkzeuge schneller und rechtssicherer werden?</t>
        </is>
      </c>
      <c r="AD9" s="5" t="inlineStr">
        <is>
          <t>Digitale Bau-, Planungs- und Genehmigungsprozesse: Architektenkammer Rheinland-Pfalz (implementation_anchor, 5) + BRICKMAKERS AG (profit_anchor, 4).</t>
        </is>
      </c>
      <c r="AE9" s="5" t="inlineStr">
        <is>
          <t>Architektenkammer Rheinland-Pfalz | BRICKMAKERS AG</t>
        </is>
      </c>
      <c r="AF9" s="5" t="inlineStr">
        <is>
          <t>digitale-bau-verwaltung-planung-architektenkammer-rheinland-pfalz-brickmakers-ag</t>
        </is>
      </c>
    </row>
    <row r="10" ht="30" customHeight="1" s="46">
      <c r="A10" s="5" t="inlineStr">
        <is>
          <t>C0009</t>
        </is>
      </c>
      <c r="B10" s="5" t="inlineStr">
        <is>
          <t>x_0009</t>
        </is>
      </c>
      <c r="C10" s="5" t="n">
        <v>0</v>
      </c>
      <c r="D10" s="5" t="inlineStr">
        <is>
          <t>Architektenkammer Rheinland-Pfalz</t>
        </is>
      </c>
      <c r="E10" s="5" t="inlineStr">
        <is>
          <t>Empolis Information Management GmbH</t>
        </is>
      </c>
      <c r="F10" s="5" t="n">
        <v>3</v>
      </c>
      <c r="G10" s="5" t="n">
        <v>23</v>
      </c>
      <c r="H10" s="5" t="inlineStr">
        <is>
          <t>implementation_anchor</t>
        </is>
      </c>
      <c r="I10" t="inlineStr">
        <is>
          <t>construction_planning_anchor</t>
        </is>
      </c>
      <c r="J10" s="5" t="inlineStr">
        <is>
          <t>profit_anchor</t>
        </is>
      </c>
      <c r="K10" t="inlineStr">
        <is>
          <t>technology_digital_anchor</t>
        </is>
      </c>
      <c r="L10" s="5" t="inlineStr">
        <is>
          <t>technologie</t>
        </is>
      </c>
      <c r="M10" s="5" t="inlineStr">
        <is>
          <t>digitale_bau_verwaltung_planung</t>
        </is>
      </c>
      <c r="N10" s="5" t="inlineStr">
        <is>
          <t>Digitale Bau-, Planungs- und Genehmigungsprozesse</t>
        </is>
      </c>
      <c r="O10" s="5" t="n">
        <v>5</v>
      </c>
      <c r="P10" s="5" t="n">
        <v>4</v>
      </c>
      <c r="Q10" s="5" t="n">
        <v>13</v>
      </c>
      <c r="R10" s="5" t="n">
        <v>4</v>
      </c>
      <c r="S10" s="5" t="n">
        <v>0</v>
      </c>
      <c r="T10" s="5" t="n">
        <v>0</v>
      </c>
      <c r="U10" s="5" t="n">
        <v>2</v>
      </c>
      <c r="V10" s="5" t="n">
        <v>8</v>
      </c>
      <c r="W10" s="5" t="n">
        <v>8</v>
      </c>
      <c r="X10" s="5" t="n">
        <v>0</v>
      </c>
      <c r="Y10" s="5" t="n">
        <v>0</v>
      </c>
      <c r="Z10" s="5" t="n">
        <v>0</v>
      </c>
      <c r="AA10" s="5" t="n">
        <v>0</v>
      </c>
      <c r="AB10" s="5" t="n">
        <v>37.99019</v>
      </c>
      <c r="AC10" s="5" t="inlineStr">
        <is>
          <t>Wie können Bau, Planung, Genehmigung und Verwaltung durch digitale Werkzeuge schneller und rechtssicherer werden?</t>
        </is>
      </c>
      <c r="AD10" s="5" t="inlineStr">
        <is>
          <t>Digitale Bau-, Planungs- und Genehmigungsprozesse: Architektenkammer Rheinland-Pfalz (implementation_anchor, 5) + Empolis Information Management GmbH (profit_anchor, 4).</t>
        </is>
      </c>
      <c r="AE10" s="5" t="inlineStr">
        <is>
          <t>Architektenkammer Rheinland-Pfalz | Empolis Information Management GmbH</t>
        </is>
      </c>
      <c r="AF10" s="5" t="inlineStr">
        <is>
          <t>digitale-bau-verwaltung-planung-architektenkammer-rheinland-pfalz-empolis-information-managemen</t>
        </is>
      </c>
    </row>
    <row r="11" ht="30" customHeight="1" s="46">
      <c r="A11" s="5" t="inlineStr">
        <is>
          <t>C0010</t>
        </is>
      </c>
      <c r="B11" s="5" t="inlineStr">
        <is>
          <t>x_0010</t>
        </is>
      </c>
      <c r="C11" s="5" t="n">
        <v>0</v>
      </c>
      <c r="D11" s="5" t="inlineStr">
        <is>
          <t>Architektenkammer Rheinland-Pfalz</t>
        </is>
      </c>
      <c r="E11" s="5" t="inlineStr">
        <is>
          <t>Ministerium für Wirtschaft, Verkehr, Landwirtschaft und Weinbau</t>
        </is>
      </c>
      <c r="F11" s="5" t="n">
        <v>3</v>
      </c>
      <c r="G11" s="5" t="n">
        <v>70</v>
      </c>
      <c r="H11" s="5" t="inlineStr">
        <is>
          <t>implementation_anchor</t>
        </is>
      </c>
      <c r="I11" t="inlineStr">
        <is>
          <t>construction_planning_anchor</t>
        </is>
      </c>
      <c r="J11" s="5" t="inlineStr">
        <is>
          <t>profit_anchor</t>
        </is>
      </c>
      <c r="K11" t="inlineStr">
        <is>
          <t>public_policy_anchor</t>
        </is>
      </c>
      <c r="L11" s="5" t="inlineStr">
        <is>
          <t>technologie</t>
        </is>
      </c>
      <c r="M11" s="5" t="inlineStr">
        <is>
          <t>digitale_bau_verwaltung_planung</t>
        </is>
      </c>
      <c r="N11" s="5" t="inlineStr">
        <is>
          <t>Digitale Bau-, Planungs- und Genehmigungsprozesse</t>
        </is>
      </c>
      <c r="O11" s="5" t="n">
        <v>5</v>
      </c>
      <c r="P11" s="5" t="n">
        <v>4</v>
      </c>
      <c r="Q11" s="5" t="n">
        <v>13</v>
      </c>
      <c r="R11" s="5" t="n">
        <v>4</v>
      </c>
      <c r="S11" s="5" t="n">
        <v>0</v>
      </c>
      <c r="T11" s="5" t="n">
        <v>0</v>
      </c>
      <c r="U11" s="5" t="n">
        <v>2</v>
      </c>
      <c r="V11" s="5" t="n">
        <v>8</v>
      </c>
      <c r="W11" s="5" t="n">
        <v>8</v>
      </c>
      <c r="X11" s="5" t="n">
        <v>0</v>
      </c>
      <c r="Y11" s="5" t="n">
        <v>0</v>
      </c>
      <c r="Z11" s="5" t="n">
        <v>0</v>
      </c>
      <c r="AA11" s="5" t="n">
        <v>0</v>
      </c>
      <c r="AB11" s="5" t="n">
        <v>42.223735</v>
      </c>
      <c r="AC11" s="5" t="inlineStr">
        <is>
          <t>Wie können Bau, Planung, Genehmigung und Verwaltung durch digitale Werkzeuge schneller und rechtssicherer werden?</t>
        </is>
      </c>
      <c r="AD11" s="5" t="inlineStr">
        <is>
          <t>Digitale Bau-, Planungs- und Genehmigungsprozesse: Architektenkammer Rheinland-Pfalz (implementation_anchor, 5) + Ministerium für Wirtschaft, Verkehr, Landwirtschaft und Weinbau (profit_anchor, 4).</t>
        </is>
      </c>
      <c r="AE11" s="5" t="inlineStr">
        <is>
          <t>Architektenkammer Rheinland-Pfalz | Ministerium für Wirtschaft, Verkehr, Landwirtschaft und Weinbau</t>
        </is>
      </c>
      <c r="AF11" s="5" t="inlineStr">
        <is>
          <t>digitale-bau-verwaltung-planung-architektenkammer-rheinland-pfalz-ministerium-für-wirtschaft-ve</t>
        </is>
      </c>
    </row>
    <row r="12" ht="30" customHeight="1" s="46">
      <c r="A12" s="5" t="inlineStr">
        <is>
          <t>C0011</t>
        </is>
      </c>
      <c r="B12" s="5" t="inlineStr">
        <is>
          <t>x_0011</t>
        </is>
      </c>
      <c r="C12" s="5" t="n">
        <v>0</v>
      </c>
      <c r="D12" s="5" t="inlineStr">
        <is>
          <t>Aturas GmbH</t>
        </is>
      </c>
      <c r="E12" s="5" t="inlineStr">
        <is>
          <t>Ingenieurkammer Rheinland-Pfalz</t>
        </is>
      </c>
      <c r="F12" s="5" t="n">
        <v>4</v>
      </c>
      <c r="G12" s="5" t="n">
        <v>44</v>
      </c>
      <c r="H12" s="5" t="inlineStr">
        <is>
          <t>profit_anchor</t>
        </is>
      </c>
      <c r="I12" t="inlineStr">
        <is>
          <t>technology_digital_anchor</t>
        </is>
      </c>
      <c r="J12" s="5" t="inlineStr">
        <is>
          <t>implementation_anchor</t>
        </is>
      </c>
      <c r="K12" t="inlineStr">
        <is>
          <t>construction_planning_anchor</t>
        </is>
      </c>
      <c r="L12" s="5" t="inlineStr">
        <is>
          <t>technologie</t>
        </is>
      </c>
      <c r="M12" s="5" t="inlineStr">
        <is>
          <t>digitale_bau_verwaltung_planung</t>
        </is>
      </c>
      <c r="N12" s="5" t="inlineStr">
        <is>
          <t>Digitale Bau-, Planungs- und Genehmigungsprozesse</t>
        </is>
      </c>
      <c r="O12" s="5" t="n">
        <v>4</v>
      </c>
      <c r="P12" s="5" t="n">
        <v>5</v>
      </c>
      <c r="Q12" s="5" t="n">
        <v>13</v>
      </c>
      <c r="R12" s="5" t="n">
        <v>4</v>
      </c>
      <c r="S12" s="5" t="n">
        <v>0</v>
      </c>
      <c r="T12" s="5" t="n">
        <v>0</v>
      </c>
      <c r="U12" s="5" t="n">
        <v>2</v>
      </c>
      <c r="V12" s="5" t="n">
        <v>8</v>
      </c>
      <c r="W12" s="5" t="n">
        <v>8</v>
      </c>
      <c r="X12" s="5" t="n">
        <v>0</v>
      </c>
      <c r="Y12" s="5" t="n">
        <v>0</v>
      </c>
      <c r="Z12" s="5" t="n">
        <v>0</v>
      </c>
      <c r="AA12" s="5" t="n">
        <v>0</v>
      </c>
      <c r="AB12" s="5" t="n">
        <v>37.99019</v>
      </c>
      <c r="AC12" s="5" t="inlineStr">
        <is>
          <t>Wie können Bau, Planung, Genehmigung und Verwaltung durch digitale Werkzeuge schneller und rechtssicherer werden?</t>
        </is>
      </c>
      <c r="AD12" s="5" t="inlineStr">
        <is>
          <t>Digitale Bau-, Planungs- und Genehmigungsprozesse: Aturas GmbH (profit_anchor, 4) + Ingenieurkammer Rheinland-Pfalz (implementation_anchor, 5).</t>
        </is>
      </c>
      <c r="AE12" s="5" t="inlineStr">
        <is>
          <t>Aturas GmbH | Ingenieurkammer Rheinland-Pfalz</t>
        </is>
      </c>
      <c r="AF12" s="5" t="inlineStr">
        <is>
          <t>digitale-bau-verwaltung-planung-aturas-gmbh-ingenieurkammer-rheinland-pfalz</t>
        </is>
      </c>
    </row>
    <row r="13" ht="30" customHeight="1" s="46">
      <c r="A13" s="5" t="inlineStr">
        <is>
          <t>C0012</t>
        </is>
      </c>
      <c r="B13" s="5" t="inlineStr">
        <is>
          <t>x_0012</t>
        </is>
      </c>
      <c r="C13" s="5" t="n">
        <v>0</v>
      </c>
      <c r="D13" s="5" t="inlineStr">
        <is>
          <t>BRICKMAKERS AG</t>
        </is>
      </c>
      <c r="E13" s="5" t="inlineStr">
        <is>
          <t>Ingenieurkammer Rheinland-Pfalz</t>
        </is>
      </c>
      <c r="F13" s="5" t="n">
        <v>12</v>
      </c>
      <c r="G13" s="5" t="n">
        <v>44</v>
      </c>
      <c r="H13" s="5" t="inlineStr">
        <is>
          <t>profit_anchor</t>
        </is>
      </c>
      <c r="I13" t="inlineStr">
        <is>
          <t>technology_digital_anchor</t>
        </is>
      </c>
      <c r="J13" s="5" t="inlineStr">
        <is>
          <t>implementation_anchor</t>
        </is>
      </c>
      <c r="K13" t="inlineStr">
        <is>
          <t>construction_planning_anchor</t>
        </is>
      </c>
      <c r="L13" s="5" t="inlineStr">
        <is>
          <t>technologie</t>
        </is>
      </c>
      <c r="M13" s="5" t="inlineStr">
        <is>
          <t>digitale_bau_verwaltung_planung</t>
        </is>
      </c>
      <c r="N13" s="5" t="inlineStr">
        <is>
          <t>Digitale Bau-, Planungs- und Genehmigungsprozesse</t>
        </is>
      </c>
      <c r="O13" s="5" t="n">
        <v>4</v>
      </c>
      <c r="P13" s="5" t="n">
        <v>5</v>
      </c>
      <c r="Q13" s="5" t="n">
        <v>13</v>
      </c>
      <c r="R13" s="5" t="n">
        <v>4</v>
      </c>
      <c r="S13" s="5" t="n">
        <v>0</v>
      </c>
      <c r="T13" s="5" t="n">
        <v>0</v>
      </c>
      <c r="U13" s="5" t="n">
        <v>2</v>
      </c>
      <c r="V13" s="5" t="n">
        <v>8</v>
      </c>
      <c r="W13" s="5" t="n">
        <v>8</v>
      </c>
      <c r="X13" s="5" t="n">
        <v>0</v>
      </c>
      <c r="Y13" s="5" t="n">
        <v>0</v>
      </c>
      <c r="Z13" s="5" t="n">
        <v>0</v>
      </c>
      <c r="AA13" s="5" t="n">
        <v>0</v>
      </c>
      <c r="AB13" s="5" t="n">
        <v>37.99019</v>
      </c>
      <c r="AC13" s="5" t="inlineStr">
        <is>
          <t>Wie können Bau, Planung, Genehmigung und Verwaltung durch digitale Werkzeuge schneller und rechtssicherer werden?</t>
        </is>
      </c>
      <c r="AD13" s="5" t="inlineStr">
        <is>
          <t>Digitale Bau-, Planungs- und Genehmigungsprozesse: BRICKMAKERS AG (profit_anchor, 4) + Ingenieurkammer Rheinland-Pfalz (implementation_anchor, 5).</t>
        </is>
      </c>
      <c r="AE13" s="5" t="inlineStr">
        <is>
          <t>BRICKMAKERS AG | Ingenieurkammer Rheinland-Pfalz</t>
        </is>
      </c>
      <c r="AF13" s="5" t="inlineStr">
        <is>
          <t>digitale-bau-verwaltung-planung-brickmakers-ag-ingenieurkammer-rheinland-pfalz</t>
        </is>
      </c>
    </row>
    <row r="14" ht="30" customHeight="1" s="46">
      <c r="A14" s="5" t="inlineStr">
        <is>
          <t>C0013</t>
        </is>
      </c>
      <c r="B14" s="5" t="inlineStr">
        <is>
          <t>x_0013</t>
        </is>
      </c>
      <c r="C14" s="5" t="n">
        <v>0</v>
      </c>
      <c r="D14" s="5" t="inlineStr">
        <is>
          <t>Empolis Information Management GmbH</t>
        </is>
      </c>
      <c r="E14" s="5" t="inlineStr">
        <is>
          <t>Ingenieurkammer Rheinland-Pfalz</t>
        </is>
      </c>
      <c r="F14" s="5" t="n">
        <v>23</v>
      </c>
      <c r="G14" s="5" t="n">
        <v>44</v>
      </c>
      <c r="H14" s="5" t="inlineStr">
        <is>
          <t>profit_anchor</t>
        </is>
      </c>
      <c r="I14" t="inlineStr">
        <is>
          <t>technology_digital_anchor</t>
        </is>
      </c>
      <c r="J14" s="5" t="inlineStr">
        <is>
          <t>implementation_anchor</t>
        </is>
      </c>
      <c r="K14" t="inlineStr">
        <is>
          <t>construction_planning_anchor</t>
        </is>
      </c>
      <c r="L14" s="5" t="inlineStr">
        <is>
          <t>technologie</t>
        </is>
      </c>
      <c r="M14" s="5" t="inlineStr">
        <is>
          <t>digitale_bau_verwaltung_planung</t>
        </is>
      </c>
      <c r="N14" s="5" t="inlineStr">
        <is>
          <t>Digitale Bau-, Planungs- und Genehmigungsprozesse</t>
        </is>
      </c>
      <c r="O14" s="5" t="n">
        <v>4</v>
      </c>
      <c r="P14" s="5" t="n">
        <v>5</v>
      </c>
      <c r="Q14" s="5" t="n">
        <v>13</v>
      </c>
      <c r="R14" s="5" t="n">
        <v>4</v>
      </c>
      <c r="S14" s="5" t="n">
        <v>0</v>
      </c>
      <c r="T14" s="5" t="n">
        <v>0</v>
      </c>
      <c r="U14" s="5" t="n">
        <v>2</v>
      </c>
      <c r="V14" s="5" t="n">
        <v>8</v>
      </c>
      <c r="W14" s="5" t="n">
        <v>8</v>
      </c>
      <c r="X14" s="5" t="n">
        <v>0</v>
      </c>
      <c r="Y14" s="5" t="n">
        <v>0</v>
      </c>
      <c r="Z14" s="5" t="n">
        <v>0</v>
      </c>
      <c r="AA14" s="5" t="n">
        <v>0</v>
      </c>
      <c r="AB14" s="5" t="n">
        <v>37.99019</v>
      </c>
      <c r="AC14" s="5" t="inlineStr">
        <is>
          <t>Wie können Bau, Planung, Genehmigung und Verwaltung durch digitale Werkzeuge schneller und rechtssicherer werden?</t>
        </is>
      </c>
      <c r="AD14" s="5" t="inlineStr">
        <is>
          <t>Digitale Bau-, Planungs- und Genehmigungsprozesse: Empolis Information Management GmbH (profit_anchor, 4) + Ingenieurkammer Rheinland-Pfalz (implementation_anchor, 5).</t>
        </is>
      </c>
      <c r="AE14" s="5" t="inlineStr">
        <is>
          <t>Empolis Information Management GmbH | Ingenieurkammer Rheinland-Pfalz</t>
        </is>
      </c>
      <c r="AF14" s="5" t="inlineStr">
        <is>
          <t>digitale-bau-verwaltung-planung-empolis-information-management-gmbh-ingenieurkammer-rheinland-p</t>
        </is>
      </c>
    </row>
    <row r="15" ht="30" customHeight="1" s="46">
      <c r="A15" s="5" t="inlineStr">
        <is>
          <t>C0014</t>
        </is>
      </c>
      <c r="B15" s="5" t="inlineStr">
        <is>
          <t>x_0014</t>
        </is>
      </c>
      <c r="C15" s="5" t="n">
        <v>0</v>
      </c>
      <c r="D15" s="5" t="inlineStr">
        <is>
          <t>Ingenieurkammer Rheinland-Pfalz</t>
        </is>
      </c>
      <c r="E15" s="5" t="inlineStr">
        <is>
          <t>Ministerium für Wirtschaft, Verkehr, Landwirtschaft und Weinbau</t>
        </is>
      </c>
      <c r="F15" s="5" t="n">
        <v>44</v>
      </c>
      <c r="G15" s="5" t="n">
        <v>70</v>
      </c>
      <c r="H15" s="5" t="inlineStr">
        <is>
          <t>implementation_anchor</t>
        </is>
      </c>
      <c r="I15" t="inlineStr">
        <is>
          <t>construction_planning_anchor</t>
        </is>
      </c>
      <c r="J15" s="5" t="inlineStr">
        <is>
          <t>profit_anchor</t>
        </is>
      </c>
      <c r="K15" t="inlineStr">
        <is>
          <t>public_policy_anchor</t>
        </is>
      </c>
      <c r="L15" s="5" t="inlineStr">
        <is>
          <t>technologie</t>
        </is>
      </c>
      <c r="M15" s="5" t="inlineStr">
        <is>
          <t>digitale_bau_verwaltung_planung</t>
        </is>
      </c>
      <c r="N15" s="5" t="inlineStr">
        <is>
          <t>Digitale Bau-, Planungs- und Genehmigungsprozesse</t>
        </is>
      </c>
      <c r="O15" s="5" t="n">
        <v>5</v>
      </c>
      <c r="P15" s="5" t="n">
        <v>4</v>
      </c>
      <c r="Q15" s="5" t="n">
        <v>13</v>
      </c>
      <c r="R15" s="5" t="n">
        <v>4</v>
      </c>
      <c r="S15" s="5" t="n">
        <v>0</v>
      </c>
      <c r="T15" s="5" t="n">
        <v>0</v>
      </c>
      <c r="U15" s="5" t="n">
        <v>2</v>
      </c>
      <c r="V15" s="5" t="n">
        <v>8</v>
      </c>
      <c r="W15" s="5" t="n">
        <v>8</v>
      </c>
      <c r="X15" s="5" t="n">
        <v>0</v>
      </c>
      <c r="Y15" s="5" t="n">
        <v>0</v>
      </c>
      <c r="Z15" s="5" t="n">
        <v>0</v>
      </c>
      <c r="AA15" s="5" t="n">
        <v>0</v>
      </c>
      <c r="AB15" s="5" t="n">
        <v>42.223735</v>
      </c>
      <c r="AC15" s="5" t="inlineStr">
        <is>
          <t>Wie können Bau, Planung, Genehmigung und Verwaltung durch digitale Werkzeuge schneller und rechtssicherer werden?</t>
        </is>
      </c>
      <c r="AD15" s="5" t="inlineStr">
        <is>
          <t>Digitale Bau-, Planungs- und Genehmigungsprozesse: Ingenieurkammer Rheinland-Pfalz (implementation_anchor, 5) + Ministerium für Wirtschaft, Verkehr, Landwirtschaft und Weinbau (profit_anchor, 4).</t>
        </is>
      </c>
      <c r="AE15" s="5" t="inlineStr">
        <is>
          <t>Ingenieurkammer Rheinland-Pfalz | Ministerium für Wirtschaft, Verkehr, Landwirtschaft und Weinbau</t>
        </is>
      </c>
      <c r="AF15" s="5" t="inlineStr">
        <is>
          <t>digitale-bau-verwaltung-planung-ingenieurkammer-rheinland-pfalz-ministerium-für-wirtschaft-verk</t>
        </is>
      </c>
    </row>
    <row r="16" ht="30" customHeight="1" s="46">
      <c r="A16" s="5" t="inlineStr">
        <is>
          <t>C0015</t>
        </is>
      </c>
      <c r="B16" s="5" t="inlineStr">
        <is>
          <t>x_0015</t>
        </is>
      </c>
      <c r="C16" s="5" t="n">
        <v>0</v>
      </c>
      <c r="D16" s="5" t="inlineStr">
        <is>
          <t>Boehringer Ingelheim Pharma GmbH &amp; Co. KG</t>
        </is>
      </c>
      <c r="E16" s="5" t="inlineStr">
        <is>
          <t>Landesärztekammer Rheinland-Pfalz</t>
        </is>
      </c>
      <c r="F16" s="5" t="n">
        <v>11</v>
      </c>
      <c r="G16" s="5" t="n">
        <v>62</v>
      </c>
      <c r="H16" s="5" t="inlineStr">
        <is>
          <t>profit_anchor</t>
        </is>
      </c>
      <c r="I16" t="inlineStr">
        <is>
          <t>health_social_anchor</t>
        </is>
      </c>
      <c r="J16" s="5" t="inlineStr">
        <is>
          <t>implementation_anchor</t>
        </is>
      </c>
      <c r="K16" t="inlineStr">
        <is>
          <t>health_social_anchor</t>
        </is>
      </c>
      <c r="L16" s="5" t="inlineStr">
        <is>
          <t>gesellschaft</t>
        </is>
      </c>
      <c r="M16" s="5" t="inlineStr">
        <is>
          <t>gesundheit_versorgung_praevention</t>
        </is>
      </c>
      <c r="N16" s="5" t="inlineStr">
        <is>
          <t>Gesundheitsversorgung und Prävention</t>
        </is>
      </c>
      <c r="O16" s="5" t="n">
        <v>4</v>
      </c>
      <c r="P16" s="5" t="n">
        <v>5</v>
      </c>
      <c r="Q16" s="5" t="n">
        <v>13</v>
      </c>
      <c r="R16" s="5" t="n">
        <v>4</v>
      </c>
      <c r="S16" s="5" t="n">
        <v>0</v>
      </c>
      <c r="T16" s="5" t="n">
        <v>0</v>
      </c>
      <c r="U16" s="5" t="n">
        <v>2</v>
      </c>
      <c r="V16" s="5" t="n">
        <v>8</v>
      </c>
      <c r="W16" s="5" t="n">
        <v>8</v>
      </c>
      <c r="X16" s="5" t="n">
        <v>0</v>
      </c>
      <c r="Y16" s="5" t="n">
        <v>0</v>
      </c>
      <c r="Z16" s="5" t="n">
        <v>0</v>
      </c>
      <c r="AA16" s="5" t="n">
        <v>0</v>
      </c>
      <c r="AB16" s="5" t="n">
        <v>31.918144</v>
      </c>
      <c r="AC16" s="5" t="inlineStr">
        <is>
          <t>Wie kann Gesundheitsversorgung in Rheinland-Pfalz zugänglich, präventiv und digital unterstützt werden?</t>
        </is>
      </c>
      <c r="AD16" s="5" t="inlineStr">
        <is>
          <t>Gesundheitsversorgung und Prävention: Boehringer Ingelheim Pharma GmbH &amp; Co. KG (profit_anchor, 4) + Landesärztekammer Rheinland-Pfalz (implementation_anchor, 5).</t>
        </is>
      </c>
      <c r="AE16" s="5" t="inlineStr">
        <is>
          <t>Boehringer Ingelheim Pharma GmbH &amp; Co. KG | Landesärztekammer Rheinland-Pfalz</t>
        </is>
      </c>
      <c r="AF16" s="5" t="inlineStr">
        <is>
          <t>gesundheit-versorgung-praevention-boehringer-ingelheim-pharma-gmbh-co-kg-landesärztekammer-rhei</t>
        </is>
      </c>
    </row>
    <row r="17" ht="30" customHeight="1" s="46">
      <c r="A17" s="5" t="inlineStr">
        <is>
          <t>C0016</t>
        </is>
      </c>
      <c r="B17" s="5" t="inlineStr">
        <is>
          <t>x_0016</t>
        </is>
      </c>
      <c r="C17" s="5" t="n">
        <v>0</v>
      </c>
      <c r="D17" s="5" t="inlineStr">
        <is>
          <t>Bauern- und Winzerverband Rheinland-Pfalz Süd e.V.</t>
        </is>
      </c>
      <c r="E17" s="5" t="inlineStr">
        <is>
          <t>Mainzer Stadtwerke AG</t>
        </is>
      </c>
      <c r="F17" s="5" t="n">
        <v>7</v>
      </c>
      <c r="G17" s="5" t="n">
        <v>68</v>
      </c>
      <c r="H17" s="5" t="inlineStr">
        <is>
          <t>implementation_anchor</t>
        </is>
      </c>
      <c r="I17" t="inlineStr">
        <is>
          <t>agriculture_wine_anchor</t>
        </is>
      </c>
      <c r="J17" s="5" t="inlineStr">
        <is>
          <t>profit_anchor</t>
        </is>
      </c>
      <c r="K17" t="inlineStr">
        <is>
          <t>energy_infrastructure_anchor</t>
        </is>
      </c>
      <c r="L17" s="5" t="inlineStr">
        <is>
          <t>nachhaltigkeit</t>
        </is>
      </c>
      <c r="M17" s="5" t="inlineStr">
        <is>
          <t>klima_anpassung_stadt_land</t>
        </is>
      </c>
      <c r="N17" s="5" t="inlineStr">
        <is>
          <t>Klimaanpassung in Stadt und Land</t>
        </is>
      </c>
      <c r="O17" s="5" t="n">
        <v>5</v>
      </c>
      <c r="P17" s="5" t="n">
        <v>4</v>
      </c>
      <c r="Q17" s="5" t="n">
        <v>13</v>
      </c>
      <c r="R17" s="5" t="n">
        <v>4</v>
      </c>
      <c r="S17" s="5" t="n">
        <v>0</v>
      </c>
      <c r="T17" s="5" t="n">
        <v>0</v>
      </c>
      <c r="U17" s="5" t="n">
        <v>2</v>
      </c>
      <c r="V17" s="5" t="n">
        <v>8</v>
      </c>
      <c r="W17" s="5" t="n">
        <v>8</v>
      </c>
      <c r="X17" s="5" t="n">
        <v>0</v>
      </c>
      <c r="Y17" s="5" t="n">
        <v>0</v>
      </c>
      <c r="Z17" s="5" t="n">
        <v>0</v>
      </c>
      <c r="AA17" s="5" t="n">
        <v>0</v>
      </c>
      <c r="AB17" s="5" t="n">
        <v>82.41229300000001</v>
      </c>
      <c r="AC17" s="5" t="inlineStr">
        <is>
          <t>Wie reagieren Kommunen, Bauwirtschaft, Landwirtschaft und Infrastruktur auf Hitze, Starkregen und Flächendruck?</t>
        </is>
      </c>
      <c r="AD17" s="5" t="inlineStr">
        <is>
          <t>Klimaanpassung in Stadt und Land: Bauern- und Winzerverband Rheinland-Pfalz Süd e.V. (implementation_anchor, 5) + Mainzer Stadtwerke AG (profit_anchor, 4).</t>
        </is>
      </c>
      <c r="AE17" s="5" t="inlineStr">
        <is>
          <t>Bauern- und Winzerverband Rheinland-Pfalz Süd e.V. | Mainzer Stadtwerke AG</t>
        </is>
      </c>
      <c r="AF17" s="5" t="inlineStr">
        <is>
          <t>klima-anpassung-stadt-land-bauern-und-winzerverband-rheinland-pfalz-süd-e-v-mainzer-stadtwerke-</t>
        </is>
      </c>
    </row>
    <row r="18" ht="30" customHeight="1" s="46">
      <c r="A18" s="5" t="inlineStr">
        <is>
          <t>C0017</t>
        </is>
      </c>
      <c r="B18" s="5" t="inlineStr">
        <is>
          <t>x_0017</t>
        </is>
      </c>
      <c r="C18" s="5" t="n">
        <v>0</v>
      </c>
      <c r="D18" s="5" t="inlineStr">
        <is>
          <t>Entwicklungsagentur Rheinland-Pfalz e.V.</t>
        </is>
      </c>
      <c r="E18" s="5" t="inlineStr">
        <is>
          <t>Mainzer Stadtwerke AG</t>
        </is>
      </c>
      <c r="F18" s="5" t="n">
        <v>25</v>
      </c>
      <c r="G18" s="5" t="n">
        <v>68</v>
      </c>
      <c r="H18" s="5" t="inlineStr">
        <is>
          <t>implementation_anchor</t>
        </is>
      </c>
      <c r="I18" t="inlineStr">
        <is>
          <t>public_policy_anchor</t>
        </is>
      </c>
      <c r="J18" s="5" t="inlineStr">
        <is>
          <t>profit_anchor</t>
        </is>
      </c>
      <c r="K18" t="inlineStr">
        <is>
          <t>energy_infrastructure_anchor</t>
        </is>
      </c>
      <c r="L18" s="5" t="inlineStr">
        <is>
          <t>nachhaltigkeit</t>
        </is>
      </c>
      <c r="M18" s="5" t="inlineStr">
        <is>
          <t>klima_anpassung_stadt_land</t>
        </is>
      </c>
      <c r="N18" s="5" t="inlineStr">
        <is>
          <t>Klimaanpassung in Stadt und Land</t>
        </is>
      </c>
      <c r="O18" s="5" t="n">
        <v>5</v>
      </c>
      <c r="P18" s="5" t="n">
        <v>4</v>
      </c>
      <c r="Q18" s="5" t="n">
        <v>13</v>
      </c>
      <c r="R18" s="5" t="n">
        <v>4</v>
      </c>
      <c r="S18" s="5" t="n">
        <v>0</v>
      </c>
      <c r="T18" s="5" t="n">
        <v>0</v>
      </c>
      <c r="U18" s="5" t="n">
        <v>2</v>
      </c>
      <c r="V18" s="5" t="n">
        <v>8</v>
      </c>
      <c r="W18" s="5" t="n">
        <v>8</v>
      </c>
      <c r="X18" s="5" t="n">
        <v>0</v>
      </c>
      <c r="Y18" s="5" t="n">
        <v>0</v>
      </c>
      <c r="Z18" s="5" t="n">
        <v>0</v>
      </c>
      <c r="AA18" s="5" t="n">
        <v>0</v>
      </c>
      <c r="AB18" s="5" t="n">
        <v>41.206146</v>
      </c>
      <c r="AC18" s="5" t="inlineStr">
        <is>
          <t>Wie reagieren Kommunen, Bauwirtschaft, Landwirtschaft und Infrastruktur auf Hitze, Starkregen und Flächendruck?</t>
        </is>
      </c>
      <c r="AD18" s="5" t="inlineStr">
        <is>
          <t>Klimaanpassung in Stadt und Land: Entwicklungsagentur Rheinland-Pfalz e.V. (implementation_anchor, 5) + Mainzer Stadtwerke AG (profit_anchor, 4).</t>
        </is>
      </c>
      <c r="AE18" s="5" t="inlineStr">
        <is>
          <t>Entwicklungsagentur Rheinland-Pfalz e.V. | Mainzer Stadtwerke AG</t>
        </is>
      </c>
      <c r="AF18" s="5" t="inlineStr">
        <is>
          <t>klima-anpassung-stadt-land-entwicklungsagentur-rheinland-pfalz-e-v-mainzer-stadtwerke-ag</t>
        </is>
      </c>
    </row>
    <row r="19" ht="30" customHeight="1" s="46">
      <c r="A19" s="5" t="inlineStr">
        <is>
          <t>C0018</t>
        </is>
      </c>
      <c r="B19" s="5" t="inlineStr">
        <is>
          <t>x_0018</t>
        </is>
      </c>
      <c r="C19" s="5" t="n">
        <v>0</v>
      </c>
      <c r="D19" s="5" t="inlineStr">
        <is>
          <t>Architektenkammer Rheinland-Pfalz</t>
        </is>
      </c>
      <c r="E19" s="5" t="inlineStr">
        <is>
          <t>vero – Verband der Bau- und Rohstoffindustrie</t>
        </is>
      </c>
      <c r="F19" s="5" t="n">
        <v>3</v>
      </c>
      <c r="G19" s="5" t="n">
        <v>95</v>
      </c>
      <c r="H19" s="5" t="inlineStr">
        <is>
          <t>implementation_anchor</t>
        </is>
      </c>
      <c r="I19" t="inlineStr">
        <is>
          <t>construction_planning_anchor</t>
        </is>
      </c>
      <c r="J19" s="5" t="inlineStr">
        <is>
          <t>profit_anchor</t>
        </is>
      </c>
      <c r="K19" t="inlineStr">
        <is>
          <t>construction_planning_anchor</t>
        </is>
      </c>
      <c r="L19" s="5" t="inlineStr">
        <is>
          <t>nachhaltigkeit</t>
        </is>
      </c>
      <c r="M19" s="5" t="inlineStr">
        <is>
          <t>kreislaufwirtschaft_bau_ebv</t>
        </is>
      </c>
      <c r="N19" s="5" t="inlineStr">
        <is>
          <t>Kreislaufwirtschaft, Bau und Ersatzbaustoffverordnung</t>
        </is>
      </c>
      <c r="O19" s="5" t="n">
        <v>4</v>
      </c>
      <c r="P19" s="5" t="n">
        <v>5</v>
      </c>
      <c r="Q19" s="5" t="n">
        <v>13</v>
      </c>
      <c r="R19" s="5" t="n">
        <v>4</v>
      </c>
      <c r="S19" s="5" t="n">
        <v>0</v>
      </c>
      <c r="T19" s="5" t="n">
        <v>0</v>
      </c>
      <c r="U19" s="5" t="n">
        <v>2</v>
      </c>
      <c r="V19" s="5" t="n">
        <v>8</v>
      </c>
      <c r="W19" s="5" t="n">
        <v>8</v>
      </c>
      <c r="X19" s="5" t="n">
        <v>0</v>
      </c>
      <c r="Y19" s="5" t="n">
        <v>0</v>
      </c>
      <c r="Z19" s="5" t="n">
        <v>0</v>
      </c>
      <c r="AA19" s="5" t="n">
        <v>0</v>
      </c>
      <c r="AB19" s="5" t="n">
        <v>39.091583</v>
      </c>
      <c r="AC19" s="5" t="inlineStr">
        <is>
          <t>Wie können Bauwirtschaft, Rohstoffindustrie, Kommunen und Verwaltung Kreislaufwirtschaft praktisch und rechtssicher umsetzen?</t>
        </is>
      </c>
      <c r="AD19" s="5" t="inlineStr">
        <is>
          <t>Kreislaufwirtschaft, Bau und Ersatzbaustoffverordnung: Architektenkammer Rheinland-Pfalz (implementation_anchor, 4) + vero – Verband der Bau- und Rohstoffindustrie (profit_anchor, 5).</t>
        </is>
      </c>
      <c r="AE19" s="5" t="inlineStr">
        <is>
          <t>Architektenkammer Rheinland-Pfalz | vero – Verband der Bau- und Rohstoffindustrie</t>
        </is>
      </c>
      <c r="AF19" s="5" t="inlineStr">
        <is>
          <t>kreislaufwirtschaft-bau-ebv-architektenkammer-rheinland-pfalz-vero-verband-der-bau-und-rohstoff</t>
        </is>
      </c>
    </row>
    <row r="20" ht="30" customHeight="1" s="46">
      <c r="A20" s="5" t="inlineStr">
        <is>
          <t>C0019</t>
        </is>
      </c>
      <c r="B20" s="5" t="inlineStr">
        <is>
          <t>x_0019</t>
        </is>
      </c>
      <c r="C20" s="5" t="n">
        <v>0</v>
      </c>
      <c r="D20" s="5" t="inlineStr">
        <is>
          <t>Ingenieurkammer Rheinland-Pfalz</t>
        </is>
      </c>
      <c r="E20" s="5" t="inlineStr">
        <is>
          <t>vero – Verband der Bau- und Rohstoffindustrie</t>
        </is>
      </c>
      <c r="F20" s="5" t="n">
        <v>44</v>
      </c>
      <c r="G20" s="5" t="n">
        <v>95</v>
      </c>
      <c r="H20" s="5" t="inlineStr">
        <is>
          <t>implementation_anchor</t>
        </is>
      </c>
      <c r="I20" t="inlineStr">
        <is>
          <t>construction_planning_anchor</t>
        </is>
      </c>
      <c r="J20" s="5" t="inlineStr">
        <is>
          <t>profit_anchor</t>
        </is>
      </c>
      <c r="K20" t="inlineStr">
        <is>
          <t>construction_planning_anchor</t>
        </is>
      </c>
      <c r="L20" s="5" t="inlineStr">
        <is>
          <t>nachhaltigkeit</t>
        </is>
      </c>
      <c r="M20" s="5" t="inlineStr">
        <is>
          <t>kreislaufwirtschaft_bau_ebv</t>
        </is>
      </c>
      <c r="N20" s="5" t="inlineStr">
        <is>
          <t>Kreislaufwirtschaft, Bau und Ersatzbaustoffverordnung</t>
        </is>
      </c>
      <c r="O20" s="5" t="n">
        <v>4</v>
      </c>
      <c r="P20" s="5" t="n">
        <v>5</v>
      </c>
      <c r="Q20" s="5" t="n">
        <v>13</v>
      </c>
      <c r="R20" s="5" t="n">
        <v>4</v>
      </c>
      <c r="S20" s="5" t="n">
        <v>0</v>
      </c>
      <c r="T20" s="5" t="n">
        <v>0</v>
      </c>
      <c r="U20" s="5" t="n">
        <v>2</v>
      </c>
      <c r="V20" s="5" t="n">
        <v>8</v>
      </c>
      <c r="W20" s="5" t="n">
        <v>8</v>
      </c>
      <c r="X20" s="5" t="n">
        <v>0</v>
      </c>
      <c r="Y20" s="5" t="n">
        <v>0</v>
      </c>
      <c r="Z20" s="5" t="n">
        <v>0</v>
      </c>
      <c r="AA20" s="5" t="n">
        <v>0</v>
      </c>
      <c r="AB20" s="5" t="n">
        <v>39.091583</v>
      </c>
      <c r="AC20" s="5" t="inlineStr">
        <is>
          <t>Wie können Bauwirtschaft, Rohstoffindustrie, Kommunen und Verwaltung Kreislaufwirtschaft praktisch und rechtssicher umsetzen?</t>
        </is>
      </c>
      <c r="AD20" s="5" t="inlineStr">
        <is>
          <t>Kreislaufwirtschaft, Bau und Ersatzbaustoffverordnung: Ingenieurkammer Rheinland-Pfalz (implementation_anchor, 4) + vero – Verband der Bau- und Rohstoffindustrie (profit_anchor, 5).</t>
        </is>
      </c>
      <c r="AE20" s="5" t="inlineStr">
        <is>
          <t>Ingenieurkammer Rheinland-Pfalz | vero – Verband der Bau- und Rohstoffindustrie</t>
        </is>
      </c>
      <c r="AF20" s="5" t="inlineStr">
        <is>
          <t>kreislaufwirtschaft-bau-ebv-ingenieurkammer-rheinland-pfalz-vero-verband-der-bau-und-rohstoffin</t>
        </is>
      </c>
    </row>
    <row r="21" ht="30" customHeight="1" s="46">
      <c r="A21" s="5" t="inlineStr">
        <is>
          <t>C0020</t>
        </is>
      </c>
      <c r="B21" s="5" t="inlineStr">
        <is>
          <t>x_0020</t>
        </is>
      </c>
      <c r="C21" s="5" t="n">
        <v>0</v>
      </c>
      <c r="D21" s="5" t="inlineStr">
        <is>
          <t>Entwicklungsagentur Rheinland-Pfalz e.V.</t>
        </is>
      </c>
      <c r="E21" s="5" t="inlineStr">
        <is>
          <t>Erster FC Kaiserslautern GmbH &amp; Co. KGaA</t>
        </is>
      </c>
      <c r="F21" s="5" t="n">
        <v>25</v>
      </c>
      <c r="G21" s="5" t="n">
        <v>27</v>
      </c>
      <c r="H21" s="5" t="inlineStr">
        <is>
          <t>implementation_anchor</t>
        </is>
      </c>
      <c r="I21" t="inlineStr">
        <is>
          <t>public_policy_anchor</t>
        </is>
      </c>
      <c r="J21" s="5" t="inlineStr">
        <is>
          <t>profit_anchor</t>
        </is>
      </c>
      <c r="K21" t="inlineStr">
        <is>
          <t>sports_regional_identity_anchor</t>
        </is>
      </c>
      <c r="L21" s="5" t="inlineStr">
        <is>
          <t>kultur</t>
        </is>
      </c>
      <c r="M21" s="5" t="inlineStr">
        <is>
          <t>kultur_standort_identitaet</t>
        </is>
      </c>
      <c r="N21" s="5" t="inlineStr">
        <is>
          <t>Kultur, Standortidentität und regionale Attraktivität</t>
        </is>
      </c>
      <c r="O21" s="5" t="n">
        <v>5</v>
      </c>
      <c r="P21" s="5" t="n">
        <v>4</v>
      </c>
      <c r="Q21" s="5" t="n">
        <v>13</v>
      </c>
      <c r="R21" s="5" t="n">
        <v>4</v>
      </c>
      <c r="S21" s="5" t="n">
        <v>0</v>
      </c>
      <c r="T21" s="5" t="n">
        <v>0</v>
      </c>
      <c r="U21" s="5" t="n">
        <v>2</v>
      </c>
      <c r="V21" s="5" t="n">
        <v>8</v>
      </c>
      <c r="W21" s="5" t="n">
        <v>8</v>
      </c>
      <c r="X21" s="5" t="n">
        <v>0</v>
      </c>
      <c r="Y21" s="5" t="n">
        <v>0</v>
      </c>
      <c r="Z21" s="5" t="n">
        <v>0</v>
      </c>
      <c r="AA21" s="5" t="n">
        <v>0</v>
      </c>
      <c r="AB21" s="5" t="n">
        <v>63.836288</v>
      </c>
      <c r="AC21" s="5" t="inlineStr">
        <is>
          <t>Wie stärkt Kultur die Attraktivität von Städten, Regionen und Arbeitgeberstandorten?</t>
        </is>
      </c>
      <c r="AD21" s="5" t="inlineStr">
        <is>
          <t>Kultur, Standortidentität und regionale Attraktivität: Entwicklungsagentur Rheinland-Pfalz e.V. (implementation_anchor, 5) + Erster FC Kaiserslautern GmbH &amp; Co. KGaA (profit_anchor, 4).</t>
        </is>
      </c>
      <c r="AE21" s="5" t="inlineStr">
        <is>
          <t>Entwicklungsagentur Rheinland-Pfalz e.V. | Erster FC Kaiserslautern GmbH &amp; Co. KGaA</t>
        </is>
      </c>
      <c r="AF21" s="5" t="inlineStr">
        <is>
          <t>kultur-standort-identitaet-entwicklungsagentur-rheinland-pfalz-e-v-erster-fc-kaiserslautern-gmb</t>
        </is>
      </c>
    </row>
    <row r="22" ht="30" customHeight="1" s="46">
      <c r="A22" s="5" t="inlineStr">
        <is>
          <t>C0021</t>
        </is>
      </c>
      <c r="B22" s="5" t="inlineStr">
        <is>
          <t>x_0021</t>
        </is>
      </c>
      <c r="C22" s="5" t="n">
        <v>0</v>
      </c>
      <c r="D22" s="5" t="inlineStr">
        <is>
          <t>BRICKMAKERS AG</t>
        </is>
      </c>
      <c r="E22" s="5" t="inlineStr">
        <is>
          <t>Handwerkskammern Rheinland-Pfalz</t>
        </is>
      </c>
      <c r="F22" s="5" t="n">
        <v>12</v>
      </c>
      <c r="G22" s="5" t="n">
        <v>32</v>
      </c>
      <c r="H22" s="5" t="inlineStr">
        <is>
          <t>profit_anchor</t>
        </is>
      </c>
      <c r="I22" t="inlineStr">
        <is>
          <t>technology_digital_anchor</t>
        </is>
      </c>
      <c r="J22" s="5" t="inlineStr">
        <is>
          <t>implementation_anchor</t>
        </is>
      </c>
      <c r="K22" t="inlineStr">
        <is>
          <t>chamber_association_anchor</t>
        </is>
      </c>
      <c r="L22" s="5" t="inlineStr">
        <is>
          <t>wirtschaft</t>
        </is>
      </c>
      <c r="M22" s="5" t="inlineStr">
        <is>
          <t>mittelstand_digitalisierung_produktivitaet</t>
        </is>
      </c>
      <c r="N22" s="5" t="inlineStr">
        <is>
          <t>Mittelstand, Digitalisierung und Produktivität</t>
        </is>
      </c>
      <c r="O22" s="5" t="n">
        <v>5</v>
      </c>
      <c r="P22" s="5" t="n">
        <v>4</v>
      </c>
      <c r="Q22" s="5" t="n">
        <v>13</v>
      </c>
      <c r="R22" s="5" t="n">
        <v>4</v>
      </c>
      <c r="S22" s="5" t="n">
        <v>0</v>
      </c>
      <c r="T22" s="5" t="n">
        <v>0</v>
      </c>
      <c r="U22" s="5" t="n">
        <v>2</v>
      </c>
      <c r="V22" s="5" t="n">
        <v>8</v>
      </c>
      <c r="W22" s="5" t="n">
        <v>8</v>
      </c>
      <c r="X22" s="5" t="n">
        <v>0</v>
      </c>
      <c r="Y22" s="5" t="n">
        <v>0</v>
      </c>
      <c r="Z22" s="5" t="n">
        <v>0</v>
      </c>
      <c r="AA22" s="5" t="n">
        <v>0</v>
      </c>
      <c r="AB22" s="5" t="n">
        <v>46.982236</v>
      </c>
      <c r="AC22" s="5" t="inlineStr">
        <is>
          <t>Wie können mittelständische Unternehmen digitale Werkzeuge praktisch einsetzen, ohne dass daraus nur Pilotprojekte entstehen?</t>
        </is>
      </c>
      <c r="AD22" s="5" t="inlineStr">
        <is>
          <t>Mittelstand, Digitalisierung und Produktivität: BRICKMAKERS AG (profit_anchor, 5) + Handwerkskammern Rheinland-Pfalz (implementation_anchor, 4).</t>
        </is>
      </c>
      <c r="AE22" s="5" t="inlineStr">
        <is>
          <t>BRICKMAKERS AG | Handwerkskammern Rheinland-Pfalz</t>
        </is>
      </c>
      <c r="AF22" s="5" t="inlineStr">
        <is>
          <t>mittelstand-digitalisierung-produktivitaet-brickmakers-ag-handwerkskammern-rheinland-pfalz</t>
        </is>
      </c>
    </row>
    <row r="23" ht="30" customHeight="1" s="46">
      <c r="A23" s="5" t="inlineStr">
        <is>
          <t>C0022</t>
        </is>
      </c>
      <c r="B23" s="5" t="inlineStr">
        <is>
          <t>x_0022</t>
        </is>
      </c>
      <c r="C23" s="5" t="n">
        <v>0</v>
      </c>
      <c r="D23" s="5" t="inlineStr">
        <is>
          <t>Deutsche Telekom AG</t>
        </is>
      </c>
      <c r="E23" s="5" t="inlineStr">
        <is>
          <t>Handwerkskammern Rheinland-Pfalz</t>
        </is>
      </c>
      <c r="F23" s="5" t="n">
        <v>18</v>
      </c>
      <c r="G23" s="5" t="n">
        <v>32</v>
      </c>
      <c r="H23" s="5" t="inlineStr">
        <is>
          <t>profit_anchor</t>
        </is>
      </c>
      <c r="I23" t="inlineStr">
        <is>
          <t>technology_digital_anchor</t>
        </is>
      </c>
      <c r="J23" s="5" t="inlineStr">
        <is>
          <t>implementation_anchor</t>
        </is>
      </c>
      <c r="K23" t="inlineStr">
        <is>
          <t>chamber_association_anchor</t>
        </is>
      </c>
      <c r="L23" s="5" t="inlineStr">
        <is>
          <t>wirtschaft</t>
        </is>
      </c>
      <c r="M23" s="5" t="inlineStr">
        <is>
          <t>mittelstand_digitalisierung_produktivitaet</t>
        </is>
      </c>
      <c r="N23" s="5" t="inlineStr">
        <is>
          <t>Mittelstand, Digitalisierung und Produktivität</t>
        </is>
      </c>
      <c r="O23" s="5" t="n">
        <v>5</v>
      </c>
      <c r="P23" s="5" t="n">
        <v>4</v>
      </c>
      <c r="Q23" s="5" t="n">
        <v>13</v>
      </c>
      <c r="R23" s="5" t="n">
        <v>4</v>
      </c>
      <c r="S23" s="5" t="n">
        <v>0</v>
      </c>
      <c r="T23" s="5" t="n">
        <v>0</v>
      </c>
      <c r="U23" s="5" t="n">
        <v>2</v>
      </c>
      <c r="V23" s="5" t="n">
        <v>8</v>
      </c>
      <c r="W23" s="5" t="n">
        <v>8</v>
      </c>
      <c r="X23" s="5" t="n">
        <v>0</v>
      </c>
      <c r="Y23" s="5" t="n">
        <v>0</v>
      </c>
      <c r="Z23" s="5" t="n">
        <v>0</v>
      </c>
      <c r="AA23" s="5" t="n">
        <v>0</v>
      </c>
      <c r="AB23" s="5" t="n">
        <v>46.982236</v>
      </c>
      <c r="AC23" s="5" t="inlineStr">
        <is>
          <t>Wie können mittelständische Unternehmen digitale Werkzeuge praktisch einsetzen, ohne dass daraus nur Pilotprojekte entstehen?</t>
        </is>
      </c>
      <c r="AD23" s="5" t="inlineStr">
        <is>
          <t>Mittelstand, Digitalisierung und Produktivität: Deutsche Telekom AG (profit_anchor, 5) + Handwerkskammern Rheinland-Pfalz (implementation_anchor, 4).</t>
        </is>
      </c>
      <c r="AE23" s="5" t="inlineStr">
        <is>
          <t>Deutsche Telekom AG | Handwerkskammern Rheinland-Pfalz</t>
        </is>
      </c>
      <c r="AF23" s="5" t="inlineStr">
        <is>
          <t>mittelstand-digitalisierung-produktivitaet-deutsche-telekom-ag-handwerkskammern-rheinland-pfalz</t>
        </is>
      </c>
    </row>
    <row r="24" ht="30" customHeight="1" s="46">
      <c r="A24" s="5" t="inlineStr">
        <is>
          <t>C0023</t>
        </is>
      </c>
      <c r="B24" s="5" t="inlineStr">
        <is>
          <t>x_0023</t>
        </is>
      </c>
      <c r="C24" s="5" t="n">
        <v>0</v>
      </c>
      <c r="D24" s="5" t="inlineStr">
        <is>
          <t>Empolis Information Management GmbH</t>
        </is>
      </c>
      <c r="E24" s="5" t="inlineStr">
        <is>
          <t>Handwerkskammern Rheinland-Pfalz</t>
        </is>
      </c>
      <c r="F24" s="5" t="n">
        <v>23</v>
      </c>
      <c r="G24" s="5" t="n">
        <v>32</v>
      </c>
      <c r="H24" s="5" t="inlineStr">
        <is>
          <t>profit_anchor</t>
        </is>
      </c>
      <c r="I24" t="inlineStr">
        <is>
          <t>technology_digital_anchor</t>
        </is>
      </c>
      <c r="J24" s="5" t="inlineStr">
        <is>
          <t>implementation_anchor</t>
        </is>
      </c>
      <c r="K24" t="inlineStr">
        <is>
          <t>chamber_association_anchor</t>
        </is>
      </c>
      <c r="L24" s="5" t="inlineStr">
        <is>
          <t>wirtschaft</t>
        </is>
      </c>
      <c r="M24" s="5" t="inlineStr">
        <is>
          <t>mittelstand_digitalisierung_produktivitaet</t>
        </is>
      </c>
      <c r="N24" s="5" t="inlineStr">
        <is>
          <t>Mittelstand, Digitalisierung und Produktivität</t>
        </is>
      </c>
      <c r="O24" s="5" t="n">
        <v>5</v>
      </c>
      <c r="P24" s="5" t="n">
        <v>4</v>
      </c>
      <c r="Q24" s="5" t="n">
        <v>13</v>
      </c>
      <c r="R24" s="5" t="n">
        <v>4</v>
      </c>
      <c r="S24" s="5" t="n">
        <v>0</v>
      </c>
      <c r="T24" s="5" t="n">
        <v>0</v>
      </c>
      <c r="U24" s="5" t="n">
        <v>2</v>
      </c>
      <c r="V24" s="5" t="n">
        <v>8</v>
      </c>
      <c r="W24" s="5" t="n">
        <v>8</v>
      </c>
      <c r="X24" s="5" t="n">
        <v>0</v>
      </c>
      <c r="Y24" s="5" t="n">
        <v>0</v>
      </c>
      <c r="Z24" s="5" t="n">
        <v>0</v>
      </c>
      <c r="AA24" s="5" t="n">
        <v>0</v>
      </c>
      <c r="AB24" s="5" t="n">
        <v>46.982236</v>
      </c>
      <c r="AC24" s="5" t="inlineStr">
        <is>
          <t>Wie können mittelständische Unternehmen digitale Werkzeuge praktisch einsetzen, ohne dass daraus nur Pilotprojekte entstehen?</t>
        </is>
      </c>
      <c r="AD24" s="5" t="inlineStr">
        <is>
          <t>Mittelstand, Digitalisierung und Produktivität: Empolis Information Management GmbH (profit_anchor, 5) + Handwerkskammern Rheinland-Pfalz (implementation_anchor, 4).</t>
        </is>
      </c>
      <c r="AE24" s="5" t="inlineStr">
        <is>
          <t>Empolis Information Management GmbH | Handwerkskammern Rheinland-Pfalz</t>
        </is>
      </c>
      <c r="AF24" s="5" t="inlineStr">
        <is>
          <t>mittelstand-digitalisierung-produktivitaet-empolis-information-management-gmbh-handwerkskammern</t>
        </is>
      </c>
    </row>
    <row r="25" ht="30" customHeight="1" s="46">
      <c r="A25" s="5" t="inlineStr">
        <is>
          <t>C0024</t>
        </is>
      </c>
      <c r="B25" s="5" t="inlineStr">
        <is>
          <t>x_0024</t>
        </is>
      </c>
      <c r="C25" s="5" t="n">
        <v>0</v>
      </c>
      <c r="D25" s="5" t="inlineStr">
        <is>
          <t>Handwerkskammern Rheinland-Pfalz</t>
        </is>
      </c>
      <c r="E25" s="5" t="inlineStr">
        <is>
          <t>ITK Engineering GmbH</t>
        </is>
      </c>
      <c r="F25" s="5" t="n">
        <v>32</v>
      </c>
      <c r="G25" s="5" t="n">
        <v>47</v>
      </c>
      <c r="H25" s="5" t="inlineStr">
        <is>
          <t>implementation_anchor</t>
        </is>
      </c>
      <c r="I25" t="inlineStr">
        <is>
          <t>chamber_association_anchor</t>
        </is>
      </c>
      <c r="J25" s="5" t="inlineStr">
        <is>
          <t>profit_anchor</t>
        </is>
      </c>
      <c r="K25" t="inlineStr">
        <is>
          <t>technology_digital_anchor</t>
        </is>
      </c>
      <c r="L25" s="5" t="inlineStr">
        <is>
          <t>wirtschaft</t>
        </is>
      </c>
      <c r="M25" s="5" t="inlineStr">
        <is>
          <t>mittelstand_digitalisierung_produktivitaet</t>
        </is>
      </c>
      <c r="N25" s="5" t="inlineStr">
        <is>
          <t>Mittelstand, Digitalisierung und Produktivität</t>
        </is>
      </c>
      <c r="O25" s="5" t="n">
        <v>4</v>
      </c>
      <c r="P25" s="5" t="n">
        <v>5</v>
      </c>
      <c r="Q25" s="5" t="n">
        <v>13</v>
      </c>
      <c r="R25" s="5" t="n">
        <v>4</v>
      </c>
      <c r="S25" s="5" t="n">
        <v>0</v>
      </c>
      <c r="T25" s="5" t="n">
        <v>0</v>
      </c>
      <c r="U25" s="5" t="n">
        <v>2</v>
      </c>
      <c r="V25" s="5" t="n">
        <v>8</v>
      </c>
      <c r="W25" s="5" t="n">
        <v>8</v>
      </c>
      <c r="X25" s="5" t="n">
        <v>0</v>
      </c>
      <c r="Y25" s="5" t="n">
        <v>0</v>
      </c>
      <c r="Z25" s="5" t="n">
        <v>0</v>
      </c>
      <c r="AA25" s="5" t="n">
        <v>0</v>
      </c>
      <c r="AB25" s="5" t="n">
        <v>46.982236</v>
      </c>
      <c r="AC25" s="5" t="inlineStr">
        <is>
          <t>Wie können mittelständische Unternehmen digitale Werkzeuge praktisch einsetzen, ohne dass daraus nur Pilotprojekte entstehen?</t>
        </is>
      </c>
      <c r="AD25" s="5" t="inlineStr">
        <is>
          <t>Mittelstand, Digitalisierung und Produktivität: Handwerkskammern Rheinland-Pfalz (implementation_anchor, 4) + ITK Engineering GmbH (profit_anchor, 5).</t>
        </is>
      </c>
      <c r="AE25" s="5" t="inlineStr">
        <is>
          <t>Handwerkskammern Rheinland-Pfalz | ITK Engineering GmbH</t>
        </is>
      </c>
      <c r="AF25" s="5" t="inlineStr">
        <is>
          <t>mittelstand-digitalisierung-produktivitaet-handwerkskammern-rheinland-pfalz-itk-engineering-gmb</t>
        </is>
      </c>
    </row>
    <row r="26" ht="30" customHeight="1" s="46">
      <c r="A26" s="5" t="inlineStr">
        <is>
          <t>C0025</t>
        </is>
      </c>
      <c r="B26" s="5" t="inlineStr">
        <is>
          <t>x_0025</t>
        </is>
      </c>
      <c r="C26" s="5" t="n">
        <v>0</v>
      </c>
      <c r="D26" s="5" t="inlineStr">
        <is>
          <t>Bundesagentur für Arbeit, Regionaldirektion Rheinland-Pfalz-Saarland</t>
        </is>
      </c>
      <c r="E26" s="5" t="inlineStr">
        <is>
          <t>Leonardo PersonalKonzept GmbH</t>
        </is>
      </c>
      <c r="F26" s="5" t="n">
        <v>13</v>
      </c>
      <c r="G26" s="5" t="n">
        <v>64</v>
      </c>
      <c r="H26" s="5" t="inlineStr">
        <is>
          <t>implementation_anchor</t>
        </is>
      </c>
      <c r="I26" t="inlineStr">
        <is>
          <t>public_policy_anchor</t>
        </is>
      </c>
      <c r="J26" s="5" t="inlineStr">
        <is>
          <t>profit_anchor</t>
        </is>
      </c>
      <c r="K26" t="inlineStr">
        <is>
          <t>professional_services_anchor</t>
        </is>
      </c>
      <c r="L26" s="5" t="inlineStr">
        <is>
          <t>gesellschaft</t>
        </is>
      </c>
      <c r="M26" s="5" t="inlineStr">
        <is>
          <t>teilhabe_inklusion_arbeitsmarkt</t>
        </is>
      </c>
      <c r="N26" s="5" t="inlineStr">
        <is>
          <t>Teilhabe, Inklusion und Arbeitsmarkt</t>
        </is>
      </c>
      <c r="O26" s="5" t="n">
        <v>5</v>
      </c>
      <c r="P26" s="5" t="n">
        <v>4</v>
      </c>
      <c r="Q26" s="5" t="n">
        <v>13</v>
      </c>
      <c r="R26" s="5" t="n">
        <v>4</v>
      </c>
      <c r="S26" s="5" t="n">
        <v>0</v>
      </c>
      <c r="T26" s="5" t="n">
        <v>0</v>
      </c>
      <c r="U26" s="5" t="n">
        <v>2</v>
      </c>
      <c r="V26" s="5" t="n">
        <v>8</v>
      </c>
      <c r="W26" s="5" t="n">
        <v>8</v>
      </c>
      <c r="X26" s="5" t="n">
        <v>0</v>
      </c>
      <c r="Y26" s="5" t="n">
        <v>0</v>
      </c>
      <c r="Z26" s="5" t="n">
        <v>0</v>
      </c>
      <c r="AA26" s="5" t="n">
        <v>0</v>
      </c>
      <c r="AB26" s="5" t="n">
        <v>47.342258</v>
      </c>
      <c r="AC26" s="5" t="inlineStr">
        <is>
          <t>Wie können Menschen mit Familienpflichten, Behinderung oder schwierigen Erwerbsbiografien besser am Arbeitsmarkt teilnehmen?</t>
        </is>
      </c>
      <c r="AD26" s="5" t="inlineStr">
        <is>
          <t>Teilhabe, Inklusion und Arbeitsmarkt: Bundesagentur für Arbeit, Regionaldirektion Rheinland-Pfalz-Saarland (implementation_anchor, 5) + Leonardo PersonalKonzept GmbH (profit_anchor, 4).</t>
        </is>
      </c>
      <c r="AE26" s="5" t="inlineStr">
        <is>
          <t>Bundesagentur für Arbeit, Regionaldirektion Rheinland-Pfalz-Saarland | Leonardo PersonalKonzept GmbH</t>
        </is>
      </c>
      <c r="AF26" s="5" t="inlineStr">
        <is>
          <t>teilhabe-inklusion-arbeitsmarkt-bundesagentur-für-arbeit-regionaldirektion-rheinland-pfalz-saar</t>
        </is>
      </c>
    </row>
    <row r="27" ht="30" customHeight="1" s="46">
      <c r="A27" s="5" t="inlineStr">
        <is>
          <t>C0026</t>
        </is>
      </c>
      <c r="B27" s="5" t="inlineStr">
        <is>
          <t>x_0026</t>
        </is>
      </c>
      <c r="C27" s="5" t="n">
        <v>0</v>
      </c>
      <c r="D27" s="5" t="inlineStr">
        <is>
          <t>Caritasverband für die Diözese Speyer e.V.</t>
        </is>
      </c>
      <c r="E27" s="5" t="inlineStr">
        <is>
          <t>Leonardo PersonalKonzept GmbH</t>
        </is>
      </c>
      <c r="F27" s="5" t="n">
        <v>14</v>
      </c>
      <c r="G27" s="5" t="n">
        <v>64</v>
      </c>
      <c r="H27" s="5" t="inlineStr">
        <is>
          <t>implementation_anchor</t>
        </is>
      </c>
      <c r="I27" t="inlineStr">
        <is>
          <t>health_social_anchor</t>
        </is>
      </c>
      <c r="J27" s="5" t="inlineStr">
        <is>
          <t>profit_anchor</t>
        </is>
      </c>
      <c r="K27" t="inlineStr">
        <is>
          <t>professional_services_anchor</t>
        </is>
      </c>
      <c r="L27" s="5" t="inlineStr">
        <is>
          <t>gesellschaft</t>
        </is>
      </c>
      <c r="M27" s="5" t="inlineStr">
        <is>
          <t>teilhabe_inklusion_arbeitsmarkt</t>
        </is>
      </c>
      <c r="N27" s="5" t="inlineStr">
        <is>
          <t>Teilhabe, Inklusion und Arbeitsmarkt</t>
        </is>
      </c>
      <c r="O27" s="5" t="n">
        <v>5</v>
      </c>
      <c r="P27" s="5" t="n">
        <v>4</v>
      </c>
      <c r="Q27" s="5" t="n">
        <v>13</v>
      </c>
      <c r="R27" s="5" t="n">
        <v>4</v>
      </c>
      <c r="S27" s="5" t="n">
        <v>0</v>
      </c>
      <c r="T27" s="5" t="n">
        <v>0</v>
      </c>
      <c r="U27" s="5" t="n">
        <v>2</v>
      </c>
      <c r="V27" s="5" t="n">
        <v>8</v>
      </c>
      <c r="W27" s="5" t="n">
        <v>8</v>
      </c>
      <c r="X27" s="5" t="n">
        <v>0</v>
      </c>
      <c r="Y27" s="5" t="n">
        <v>0</v>
      </c>
      <c r="Z27" s="5" t="n">
        <v>0</v>
      </c>
      <c r="AA27" s="5" t="n">
        <v>0</v>
      </c>
      <c r="AB27" s="5" t="n">
        <v>41.616168</v>
      </c>
      <c r="AC27" s="5" t="inlineStr">
        <is>
          <t>Wie können Menschen mit Familienpflichten, Behinderung oder schwierigen Erwerbsbiografien besser am Arbeitsmarkt teilnehmen?</t>
        </is>
      </c>
      <c r="AD27" s="5" t="inlineStr">
        <is>
          <t>Teilhabe, Inklusion und Arbeitsmarkt: Caritasverband für die Diözese Speyer e.V. (implementation_anchor, 5) + Leonardo PersonalKonzept GmbH (profit_anchor, 4).</t>
        </is>
      </c>
      <c r="AE27" s="5" t="inlineStr">
        <is>
          <t>Caritasverband für die Diözese Speyer e.V. | Leonardo PersonalKonzept GmbH</t>
        </is>
      </c>
      <c r="AF27" s="5" t="inlineStr">
        <is>
          <t>teilhabe-inklusion-arbeitsmarkt-caritasverband-für-die-diözese-speyer-e-v-leonardo-personalkonz</t>
        </is>
      </c>
    </row>
    <row r="28" ht="30" customHeight="1" s="46">
      <c r="A28" s="5" t="inlineStr">
        <is>
          <t>C0027</t>
        </is>
      </c>
      <c r="B28" s="5" t="inlineStr">
        <is>
          <t>x_0027</t>
        </is>
      </c>
      <c r="C28" s="5" t="n">
        <v>0</v>
      </c>
      <c r="D28" s="5" t="inlineStr">
        <is>
          <t>BASF SE</t>
        </is>
      </c>
      <c r="E28" s="5" t="inlineStr">
        <is>
          <t>Bundesagentur für Arbeit, Regionaldirektion Rheinland-Pfalz-Saarland</t>
        </is>
      </c>
      <c r="F28" s="5" t="n">
        <v>6</v>
      </c>
      <c r="G28" s="5" t="n">
        <v>13</v>
      </c>
      <c r="H28" s="5" t="inlineStr">
        <is>
          <t>profit_anchor</t>
        </is>
      </c>
      <c r="I28" t="inlineStr">
        <is>
          <t>industry_anchor</t>
        </is>
      </c>
      <c r="J28" s="5" t="inlineStr">
        <is>
          <t>implementation_anchor</t>
        </is>
      </c>
      <c r="K28" t="inlineStr">
        <is>
          <t>public_policy_anchor</t>
        </is>
      </c>
      <c r="L28" s="5" t="inlineStr">
        <is>
          <t>wirtschaft</t>
        </is>
      </c>
      <c r="M28" s="5" t="inlineStr">
        <is>
          <t>arbeitsmarkt_fachkraefte</t>
        </is>
      </c>
      <c r="N28" s="5" t="inlineStr">
        <is>
          <t>Arbeitsmarkt, Fachkräfte und Qualifizierung</t>
        </is>
      </c>
      <c r="O28" s="5" t="n">
        <v>3</v>
      </c>
      <c r="P28" s="5" t="n">
        <v>5</v>
      </c>
      <c r="Q28" s="5" t="n">
        <v>12</v>
      </c>
      <c r="R28" s="5" t="n">
        <v>4</v>
      </c>
      <c r="S28" s="5" t="n">
        <v>0</v>
      </c>
      <c r="T28" s="5" t="n">
        <v>0</v>
      </c>
      <c r="U28" s="5" t="n">
        <v>2</v>
      </c>
      <c r="V28" s="5" t="n">
        <v>8</v>
      </c>
      <c r="W28" s="5" t="n">
        <v>8</v>
      </c>
      <c r="X28" s="5" t="n">
        <v>0</v>
      </c>
      <c r="Y28" s="5" t="n">
        <v>0</v>
      </c>
      <c r="Z28" s="5" t="n">
        <v>0</v>
      </c>
      <c r="AA28" s="5" t="n">
        <v>0</v>
      </c>
      <c r="AB28" s="5" t="n">
        <v>38.54576</v>
      </c>
      <c r="AC28" s="5" t="inlineStr">
        <is>
          <t>Wie sichern Unternehmen, Hochschulen, Kammern und Arbeitsverwaltung Fachkräfte für Transformation, Pflege, Technik und Verwaltung?</t>
        </is>
      </c>
      <c r="AD28" s="5" t="inlineStr">
        <is>
          <t>Arbeitsmarkt, Fachkräfte und Qualifizierung: BASF SE (profit_anchor, 3) + Bundesagentur für Arbeit, Regionaldirektion Rheinland-Pfalz-Saarland (implementation_anchor, 5).</t>
        </is>
      </c>
      <c r="AE28" s="5" t="inlineStr">
        <is>
          <t>BASF SE | Bundesagentur für Arbeit, Regionaldirektion Rheinland-Pfalz-Saarland</t>
        </is>
      </c>
      <c r="AF28" s="5" t="inlineStr">
        <is>
          <t>arbeitsmarkt-fachkraefte-basf-se-bundesagentur-für-arbeit-regionaldirektion-rheinland-pfalz-saa</t>
        </is>
      </c>
    </row>
    <row r="29" ht="30" customHeight="1" s="46">
      <c r="A29" s="5" t="inlineStr">
        <is>
          <t>C0028</t>
        </is>
      </c>
      <c r="B29" s="5" t="inlineStr">
        <is>
          <t>x_0028</t>
        </is>
      </c>
      <c r="C29" s="5" t="n">
        <v>0</v>
      </c>
      <c r="D29" s="5" t="inlineStr">
        <is>
          <t>BASF SE</t>
        </is>
      </c>
      <c r="E29" s="5" t="inlineStr">
        <is>
          <t>Handwerkskammern Rheinland-Pfalz</t>
        </is>
      </c>
      <c r="F29" s="5" t="n">
        <v>6</v>
      </c>
      <c r="G29" s="5" t="n">
        <v>32</v>
      </c>
      <c r="H29" s="5" t="inlineStr">
        <is>
          <t>profit_anchor</t>
        </is>
      </c>
      <c r="I29" t="inlineStr">
        <is>
          <t>industry_anchor</t>
        </is>
      </c>
      <c r="J29" s="5" t="inlineStr">
        <is>
          <t>implementation_anchor</t>
        </is>
      </c>
      <c r="K29" t="inlineStr">
        <is>
          <t>chamber_association_anchor</t>
        </is>
      </c>
      <c r="L29" s="5" t="inlineStr">
        <is>
          <t>wirtschaft</t>
        </is>
      </c>
      <c r="M29" s="5" t="inlineStr">
        <is>
          <t>arbeitsmarkt_fachkraefte</t>
        </is>
      </c>
      <c r="N29" s="5" t="inlineStr">
        <is>
          <t>Arbeitsmarkt, Fachkräfte und Qualifizierung</t>
        </is>
      </c>
      <c r="O29" s="5" t="n">
        <v>3</v>
      </c>
      <c r="P29" s="5" t="n">
        <v>5</v>
      </c>
      <c r="Q29" s="5" t="n">
        <v>12</v>
      </c>
      <c r="R29" s="5" t="n">
        <v>4</v>
      </c>
      <c r="S29" s="5" t="n">
        <v>0</v>
      </c>
      <c r="T29" s="5" t="n">
        <v>0</v>
      </c>
      <c r="U29" s="5" t="n">
        <v>2</v>
      </c>
      <c r="V29" s="5" t="n">
        <v>8</v>
      </c>
      <c r="W29" s="5" t="n">
        <v>8</v>
      </c>
      <c r="X29" s="5" t="n">
        <v>0</v>
      </c>
      <c r="Y29" s="5" t="n">
        <v>0</v>
      </c>
      <c r="Z29" s="5" t="n">
        <v>0</v>
      </c>
      <c r="AA29" s="5" t="n">
        <v>0</v>
      </c>
      <c r="AB29" s="5" t="n">
        <v>44.344873</v>
      </c>
      <c r="AC29" s="5" t="inlineStr">
        <is>
          <t>Wie sichern Unternehmen, Hochschulen, Kammern und Arbeitsverwaltung Fachkräfte für Transformation, Pflege, Technik und Verwaltung?</t>
        </is>
      </c>
      <c r="AD29" s="5" t="inlineStr">
        <is>
          <t>Arbeitsmarkt, Fachkräfte und Qualifizierung: BASF SE (profit_anchor, 3) + Handwerkskammern Rheinland-Pfalz (implementation_anchor, 5).</t>
        </is>
      </c>
      <c r="AE29" s="5" t="inlineStr">
        <is>
          <t>BASF SE | Handwerkskammern Rheinland-Pfalz</t>
        </is>
      </c>
      <c r="AF29" s="5" t="inlineStr">
        <is>
          <t>arbeitsmarkt-fachkraefte-basf-se-handwerkskammern-rheinland-pfalz</t>
        </is>
      </c>
    </row>
    <row r="30" ht="30" customHeight="1" s="46">
      <c r="A30" s="5" t="inlineStr">
        <is>
          <t>C0029</t>
        </is>
      </c>
      <c r="B30" s="5" t="inlineStr">
        <is>
          <t>x_0029</t>
        </is>
      </c>
      <c r="C30" s="5" t="n">
        <v>0</v>
      </c>
      <c r="D30" s="5" t="inlineStr">
        <is>
          <t>Boehringer Ingelheim Pharma GmbH &amp; Co. KG</t>
        </is>
      </c>
      <c r="E30" s="5" t="inlineStr">
        <is>
          <t>Bundesagentur für Arbeit, Regionaldirektion Rheinland-Pfalz-Saarland</t>
        </is>
      </c>
      <c r="F30" s="5" t="n">
        <v>11</v>
      </c>
      <c r="G30" s="5" t="n">
        <v>13</v>
      </c>
      <c r="H30" s="5" t="inlineStr">
        <is>
          <t>profit_anchor</t>
        </is>
      </c>
      <c r="I30" t="inlineStr">
        <is>
          <t>health_social_anchor</t>
        </is>
      </c>
      <c r="J30" s="5" t="inlineStr">
        <is>
          <t>implementation_anchor</t>
        </is>
      </c>
      <c r="K30" t="inlineStr">
        <is>
          <t>public_policy_anchor</t>
        </is>
      </c>
      <c r="L30" s="5" t="inlineStr">
        <is>
          <t>wirtschaft</t>
        </is>
      </c>
      <c r="M30" s="5" t="inlineStr">
        <is>
          <t>arbeitsmarkt_fachkraefte</t>
        </is>
      </c>
      <c r="N30" s="5" t="inlineStr">
        <is>
          <t>Arbeitsmarkt, Fachkräfte und Qualifizierung</t>
        </is>
      </c>
      <c r="O30" s="5" t="n">
        <v>3</v>
      </c>
      <c r="P30" s="5" t="n">
        <v>5</v>
      </c>
      <c r="Q30" s="5" t="n">
        <v>12</v>
      </c>
      <c r="R30" s="5" t="n">
        <v>4</v>
      </c>
      <c r="S30" s="5" t="n">
        <v>0</v>
      </c>
      <c r="T30" s="5" t="n">
        <v>0</v>
      </c>
      <c r="U30" s="5" t="n">
        <v>2</v>
      </c>
      <c r="V30" s="5" t="n">
        <v>8</v>
      </c>
      <c r="W30" s="5" t="n">
        <v>8</v>
      </c>
      <c r="X30" s="5" t="n">
        <v>0</v>
      </c>
      <c r="Y30" s="5" t="n">
        <v>0</v>
      </c>
      <c r="Z30" s="5" t="n">
        <v>0</v>
      </c>
      <c r="AA30" s="5" t="n">
        <v>0</v>
      </c>
      <c r="AB30" s="5" t="n">
        <v>37.974681</v>
      </c>
      <c r="AC30" s="5" t="inlineStr">
        <is>
          <t>Wie sichern Unternehmen, Hochschulen, Kammern und Arbeitsverwaltung Fachkräfte für Transformation, Pflege, Technik und Verwaltung?</t>
        </is>
      </c>
      <c r="AD30" s="5" t="inlineStr">
        <is>
          <t>Arbeitsmarkt, Fachkräfte und Qualifizierung: Boehringer Ingelheim Pharma GmbH &amp; Co. KG (profit_anchor, 3) + Bundesagentur für Arbeit, Regionaldirektion Rheinland-Pfalz-Saarland (implementation_anchor, 5).</t>
        </is>
      </c>
      <c r="AE30" s="5" t="inlineStr">
        <is>
          <t>Boehringer Ingelheim Pharma GmbH &amp; Co. KG | Bundesagentur für Arbeit, Regionaldirektion Rheinland-Pfalz-Saarland</t>
        </is>
      </c>
      <c r="AF30" s="5" t="inlineStr">
        <is>
          <t>arbeitsmarkt-fachkraefte-boehringer-ingelheim-pharma-gmbh-co-kg-bundesagentur-für-arbeit-region</t>
        </is>
      </c>
    </row>
    <row r="31" ht="30" customHeight="1" s="46">
      <c r="A31" s="5" t="inlineStr">
        <is>
          <t>C0030</t>
        </is>
      </c>
      <c r="B31" s="5" t="inlineStr">
        <is>
          <t>x_0030</t>
        </is>
      </c>
      <c r="C31" s="5" t="n">
        <v>0</v>
      </c>
      <c r="D31" s="5" t="inlineStr">
        <is>
          <t>Boehringer Ingelheim Pharma GmbH &amp; Co. KG</t>
        </is>
      </c>
      <c r="E31" s="5" t="inlineStr">
        <is>
          <t>Handwerkskammern Rheinland-Pfalz</t>
        </is>
      </c>
      <c r="F31" s="5" t="n">
        <v>11</v>
      </c>
      <c r="G31" s="5" t="n">
        <v>32</v>
      </c>
      <c r="H31" s="5" t="inlineStr">
        <is>
          <t>profit_anchor</t>
        </is>
      </c>
      <c r="I31" t="inlineStr">
        <is>
          <t>health_social_anchor</t>
        </is>
      </c>
      <c r="J31" s="5" t="inlineStr">
        <is>
          <t>implementation_anchor</t>
        </is>
      </c>
      <c r="K31" t="inlineStr">
        <is>
          <t>chamber_association_anchor</t>
        </is>
      </c>
      <c r="L31" s="5" t="inlineStr">
        <is>
          <t>wirtschaft</t>
        </is>
      </c>
      <c r="M31" s="5" t="inlineStr">
        <is>
          <t>arbeitsmarkt_fachkraefte</t>
        </is>
      </c>
      <c r="N31" s="5" t="inlineStr">
        <is>
          <t>Arbeitsmarkt, Fachkräfte und Qualifizierung</t>
        </is>
      </c>
      <c r="O31" s="5" t="n">
        <v>3</v>
      </c>
      <c r="P31" s="5" t="n">
        <v>5</v>
      </c>
      <c r="Q31" s="5" t="n">
        <v>12</v>
      </c>
      <c r="R31" s="5" t="n">
        <v>4</v>
      </c>
      <c r="S31" s="5" t="n">
        <v>0</v>
      </c>
      <c r="T31" s="5" t="n">
        <v>0</v>
      </c>
      <c r="U31" s="5" t="n">
        <v>2</v>
      </c>
      <c r="V31" s="5" t="n">
        <v>8</v>
      </c>
      <c r="W31" s="5" t="n">
        <v>8</v>
      </c>
      <c r="X31" s="5" t="n">
        <v>0</v>
      </c>
      <c r="Y31" s="5" t="n">
        <v>0</v>
      </c>
      <c r="Z31" s="5" t="n">
        <v>0</v>
      </c>
      <c r="AA31" s="5" t="n">
        <v>0</v>
      </c>
      <c r="AB31" s="5" t="n">
        <v>43.849384</v>
      </c>
      <c r="AC31" s="5" t="inlineStr">
        <is>
          <t>Wie sichern Unternehmen, Hochschulen, Kammern und Arbeitsverwaltung Fachkräfte für Transformation, Pflege, Technik und Verwaltung?</t>
        </is>
      </c>
      <c r="AD31" s="5" t="inlineStr">
        <is>
          <t>Arbeitsmarkt, Fachkräfte und Qualifizierung: Boehringer Ingelheim Pharma GmbH &amp; Co. KG (profit_anchor, 3) + Handwerkskammern Rheinland-Pfalz (implementation_anchor, 5).</t>
        </is>
      </c>
      <c r="AE31" s="5" t="inlineStr">
        <is>
          <t>Boehringer Ingelheim Pharma GmbH &amp; Co. KG | Handwerkskammern Rheinland-Pfalz</t>
        </is>
      </c>
      <c r="AF31" s="5" t="inlineStr">
        <is>
          <t>arbeitsmarkt-fachkraefte-boehringer-ingelheim-pharma-gmbh-co-kg-handwerkskammern-rheinland-pfal</t>
        </is>
      </c>
    </row>
    <row r="32" ht="30" customHeight="1" s="46">
      <c r="A32" s="5" t="inlineStr">
        <is>
          <t>C0031</t>
        </is>
      </c>
      <c r="B32" s="5" t="inlineStr">
        <is>
          <t>x_0031</t>
        </is>
      </c>
      <c r="C32" s="5" t="n">
        <v>0</v>
      </c>
      <c r="D32" s="5" t="inlineStr">
        <is>
          <t>Bundesagentur für Arbeit, Regionaldirektion Rheinland-Pfalz-Saarland</t>
        </is>
      </c>
      <c r="E32" s="5" t="inlineStr">
        <is>
          <t>Duale Hochschule Rheinland-Pfalz</t>
        </is>
      </c>
      <c r="F32" s="5" t="n">
        <v>13</v>
      </c>
      <c r="G32" s="5" t="n">
        <v>21</v>
      </c>
      <c r="H32" s="5" t="inlineStr">
        <is>
          <t>implementation_anchor</t>
        </is>
      </c>
      <c r="I32" t="inlineStr">
        <is>
          <t>public_policy_anchor</t>
        </is>
      </c>
      <c r="J32" s="5" t="inlineStr">
        <is>
          <t>academic_support</t>
        </is>
      </c>
      <c r="K32" t="inlineStr">
        <is>
          <t>university_applied_sciences</t>
        </is>
      </c>
      <c r="L32" s="5" t="inlineStr">
        <is>
          <t>wirtschaft</t>
        </is>
      </c>
      <c r="M32" s="5" t="inlineStr">
        <is>
          <t>arbeitsmarkt_fachkraefte</t>
        </is>
      </c>
      <c r="N32" s="5" t="inlineStr">
        <is>
          <t>Arbeitsmarkt, Fachkräfte und Qualifizierung</t>
        </is>
      </c>
      <c r="O32" s="5" t="n">
        <v>5</v>
      </c>
      <c r="P32" s="5" t="n">
        <v>5</v>
      </c>
      <c r="Q32" s="5" t="n">
        <v>14</v>
      </c>
      <c r="R32" s="5" t="n">
        <v>4</v>
      </c>
      <c r="S32" s="5" t="n">
        <v>0</v>
      </c>
      <c r="T32" s="5" t="n">
        <v>0</v>
      </c>
      <c r="U32" s="5" t="n">
        <v>2</v>
      </c>
      <c r="V32" s="5" t="n">
        <v>7</v>
      </c>
      <c r="W32" s="5" t="n">
        <v>7</v>
      </c>
      <c r="X32" s="5" t="n">
        <v>0</v>
      </c>
      <c r="Y32" s="5" t="n">
        <v>0</v>
      </c>
      <c r="Z32" s="5" t="n">
        <v>0</v>
      </c>
      <c r="AA32" s="5" t="n">
        <v>0</v>
      </c>
      <c r="AB32" s="5" t="n">
        <v>43.811832</v>
      </c>
      <c r="AC32" s="5" t="inlineStr">
        <is>
          <t>Wie sichern Unternehmen, Hochschulen, Kammern und Arbeitsverwaltung Fachkräfte für Transformation, Pflege, Technik und Verwaltung?</t>
        </is>
      </c>
      <c r="AD32" s="5" t="inlineStr">
        <is>
          <t>Arbeitsmarkt, Fachkräfte und Qualifizierung: Bundesagentur für Arbeit, Regionaldirektion Rheinland-Pfalz-Saarland (implementation_anchor, 5) + Duale Hochschule Rheinland-Pfalz (academic_support, 5).</t>
        </is>
      </c>
      <c r="AE32" s="5" t="inlineStr">
        <is>
          <t>Bundesagentur für Arbeit, Regionaldirektion Rheinland-Pfalz-Saarland | Duale Hochschule Rheinland-Pfalz</t>
        </is>
      </c>
      <c r="AF32" s="5" t="inlineStr">
        <is>
          <t>arbeitsmarkt-fachkraefte-bundesagentur-für-arbeit-regionaldirektion-rheinland-pfalz-saarland-du</t>
        </is>
      </c>
    </row>
    <row r="33" ht="30" customHeight="1" s="46">
      <c r="A33" s="5" t="inlineStr">
        <is>
          <t>C0032</t>
        </is>
      </c>
      <c r="B33" s="5" t="inlineStr">
        <is>
          <t>x_0032</t>
        </is>
      </c>
      <c r="C33" s="5" t="n">
        <v>0</v>
      </c>
      <c r="D33" s="5" t="inlineStr">
        <is>
          <t>Bundesagentur für Arbeit, Regionaldirektion Rheinland-Pfalz-Saarland</t>
        </is>
      </c>
      <c r="E33" s="5" t="inlineStr">
        <is>
          <t>GLOBUS Markthallen Holding GmbH &amp; Co. KG</t>
        </is>
      </c>
      <c r="F33" s="5" t="n">
        <v>13</v>
      </c>
      <c r="G33" s="5" t="n">
        <v>31</v>
      </c>
      <c r="H33" s="5" t="inlineStr">
        <is>
          <t>implementation_anchor</t>
        </is>
      </c>
      <c r="I33" t="inlineStr">
        <is>
          <t>public_policy_anchor</t>
        </is>
      </c>
      <c r="J33" s="5" t="inlineStr">
        <is>
          <t>profit_anchor</t>
        </is>
      </c>
      <c r="K33" t="inlineStr">
        <is>
          <t>food_beverage_consumer_anchor</t>
        </is>
      </c>
      <c r="L33" s="5" t="inlineStr">
        <is>
          <t>wirtschaft</t>
        </is>
      </c>
      <c r="M33" s="5" t="inlineStr">
        <is>
          <t>arbeitsmarkt_fachkraefte</t>
        </is>
      </c>
      <c r="N33" s="5" t="inlineStr">
        <is>
          <t>Arbeitsmarkt, Fachkräfte und Qualifizierung</t>
        </is>
      </c>
      <c r="O33" s="5" t="n">
        <v>5</v>
      </c>
      <c r="P33" s="5" t="n">
        <v>3</v>
      </c>
      <c r="Q33" s="5" t="n">
        <v>12</v>
      </c>
      <c r="R33" s="5" t="n">
        <v>4</v>
      </c>
      <c r="S33" s="5" t="n">
        <v>0</v>
      </c>
      <c r="T33" s="5" t="n">
        <v>0</v>
      </c>
      <c r="U33" s="5" t="n">
        <v>2</v>
      </c>
      <c r="V33" s="5" t="n">
        <v>8</v>
      </c>
      <c r="W33" s="5" t="n">
        <v>8</v>
      </c>
      <c r="X33" s="5" t="n">
        <v>0</v>
      </c>
      <c r="Y33" s="5" t="n">
        <v>0</v>
      </c>
      <c r="Z33" s="5" t="n">
        <v>0</v>
      </c>
      <c r="AA33" s="5" t="n">
        <v>0</v>
      </c>
      <c r="AB33" s="5" t="n">
        <v>45.989622</v>
      </c>
      <c r="AC33" s="5" t="inlineStr">
        <is>
          <t>Wie sichern Unternehmen, Hochschulen, Kammern und Arbeitsverwaltung Fachkräfte für Transformation, Pflege, Technik und Verwaltung?</t>
        </is>
      </c>
      <c r="AD33" s="5" t="inlineStr">
        <is>
          <t>Arbeitsmarkt, Fachkräfte und Qualifizierung: Bundesagentur für Arbeit, Regionaldirektion Rheinland-Pfalz-Saarland (implementation_anchor, 5) + GLOBUS Markthallen Holding GmbH &amp; Co. KG (profit_anchor, 3).</t>
        </is>
      </c>
      <c r="AE33" s="5" t="inlineStr">
        <is>
          <t>Bundesagentur für Arbeit, Regionaldirektion Rheinland-Pfalz-Saarland | GLOBUS Markthallen Holding GmbH &amp; Co. KG</t>
        </is>
      </c>
      <c r="AF33" s="5" t="inlineStr">
        <is>
          <t>arbeitsmarkt-fachkraefte-bundesagentur-für-arbeit-regionaldirektion-rheinland-pfalz-saarland-gl</t>
        </is>
      </c>
    </row>
    <row r="34" ht="30" customHeight="1" s="46">
      <c r="A34" s="5" t="inlineStr">
        <is>
          <t>C0033</t>
        </is>
      </c>
      <c r="B34" s="5" t="inlineStr">
        <is>
          <t>x_0033</t>
        </is>
      </c>
      <c r="C34" s="5" t="n">
        <v>0</v>
      </c>
      <c r="D34" s="5" t="inlineStr">
        <is>
          <t>Caritasverband für die Diözese Speyer e.V.</t>
        </is>
      </c>
      <c r="E34" s="5" t="inlineStr">
        <is>
          <t>Leonardo PersonalKonzept GmbH</t>
        </is>
      </c>
      <c r="F34" s="5" t="n">
        <v>14</v>
      </c>
      <c r="G34" s="5" t="n">
        <v>64</v>
      </c>
      <c r="H34" s="5" t="inlineStr">
        <is>
          <t>implementation_anchor</t>
        </is>
      </c>
      <c r="I34" t="inlineStr">
        <is>
          <t>health_social_anchor</t>
        </is>
      </c>
      <c r="J34" s="5" t="inlineStr">
        <is>
          <t>profit_anchor</t>
        </is>
      </c>
      <c r="K34" t="inlineStr">
        <is>
          <t>professional_services_anchor</t>
        </is>
      </c>
      <c r="L34" s="5" t="inlineStr">
        <is>
          <t>wirtschaft</t>
        </is>
      </c>
      <c r="M34" s="5" t="inlineStr">
        <is>
          <t>arbeitsmarkt_fachkraefte</t>
        </is>
      </c>
      <c r="N34" s="5" t="inlineStr">
        <is>
          <t>Arbeitsmarkt, Fachkräfte und Qualifizierung</t>
        </is>
      </c>
      <c r="O34" s="5" t="n">
        <v>4</v>
      </c>
      <c r="P34" s="5" t="n">
        <v>4</v>
      </c>
      <c r="Q34" s="5" t="n">
        <v>12</v>
      </c>
      <c r="R34" s="5" t="n">
        <v>4</v>
      </c>
      <c r="S34" s="5" t="n">
        <v>0</v>
      </c>
      <c r="T34" s="5" t="n">
        <v>0</v>
      </c>
      <c r="U34" s="5" t="n">
        <v>2</v>
      </c>
      <c r="V34" s="5" t="n">
        <v>8</v>
      </c>
      <c r="W34" s="5" t="n">
        <v>8</v>
      </c>
      <c r="X34" s="5" t="n">
        <v>0</v>
      </c>
      <c r="Y34" s="5" t="n">
        <v>0</v>
      </c>
      <c r="Z34" s="5" t="n">
        <v>0</v>
      </c>
      <c r="AA34" s="5" t="n">
        <v>0</v>
      </c>
      <c r="AB34" s="5" t="n">
        <v>40.427135</v>
      </c>
      <c r="AC34" s="5" t="inlineStr">
        <is>
          <t>Wie sichern Unternehmen, Hochschulen, Kammern und Arbeitsverwaltung Fachkräfte für Transformation, Pflege, Technik und Verwaltung?</t>
        </is>
      </c>
      <c r="AD34" s="5" t="inlineStr">
        <is>
          <t>Arbeitsmarkt, Fachkräfte und Qualifizierung: Caritasverband für die Diözese Speyer e.V. (implementation_anchor, 4) + Leonardo PersonalKonzept GmbH (profit_anchor, 4).</t>
        </is>
      </c>
      <c r="AE34" s="5" t="inlineStr">
        <is>
          <t>Caritasverband für die Diözese Speyer e.V. | Leonardo PersonalKonzept GmbH</t>
        </is>
      </c>
      <c r="AF34" s="5" t="inlineStr">
        <is>
          <t>arbeitsmarkt-fachkraefte-caritasverband-für-die-diözese-speyer-e-v-leonardo-personalkonzept-gmb</t>
        </is>
      </c>
    </row>
    <row r="35" ht="30" customHeight="1" s="46">
      <c r="A35" s="5" t="inlineStr">
        <is>
          <t>C0034</t>
        </is>
      </c>
      <c r="B35" s="5" t="inlineStr">
        <is>
          <t>x_0034</t>
        </is>
      </c>
      <c r="C35" s="5" t="n">
        <v>0</v>
      </c>
      <c r="D35" s="5" t="inlineStr">
        <is>
          <t>Caritasverband für die Diözese Speyer e.V.</t>
        </is>
      </c>
      <c r="E35" s="5" t="inlineStr">
        <is>
          <t>Ministerium für Wirtschaft, Verkehr, Landwirtschaft und Weinbau</t>
        </is>
      </c>
      <c r="F35" s="5" t="n">
        <v>14</v>
      </c>
      <c r="G35" s="5" t="n">
        <v>70</v>
      </c>
      <c r="H35" s="5" t="inlineStr">
        <is>
          <t>implementation_anchor</t>
        </is>
      </c>
      <c r="I35" t="inlineStr">
        <is>
          <t>health_social_anchor</t>
        </is>
      </c>
      <c r="J35" s="5" t="inlineStr">
        <is>
          <t>profit_anchor</t>
        </is>
      </c>
      <c r="K35" t="inlineStr">
        <is>
          <t>public_policy_anchor</t>
        </is>
      </c>
      <c r="L35" s="5" t="inlineStr">
        <is>
          <t>wirtschaft</t>
        </is>
      </c>
      <c r="M35" s="5" t="inlineStr">
        <is>
          <t>arbeitsmarkt_fachkraefte</t>
        </is>
      </c>
      <c r="N35" s="5" t="inlineStr">
        <is>
          <t>Arbeitsmarkt, Fachkräfte und Qualifizierung</t>
        </is>
      </c>
      <c r="O35" s="5" t="n">
        <v>4</v>
      </c>
      <c r="P35" s="5" t="n">
        <v>4</v>
      </c>
      <c r="Q35" s="5" t="n">
        <v>12</v>
      </c>
      <c r="R35" s="5" t="n">
        <v>4</v>
      </c>
      <c r="S35" s="5" t="n">
        <v>0</v>
      </c>
      <c r="T35" s="5" t="n">
        <v>0</v>
      </c>
      <c r="U35" s="5" t="n">
        <v>2</v>
      </c>
      <c r="V35" s="5" t="n">
        <v>8</v>
      </c>
      <c r="W35" s="5" t="n">
        <v>8</v>
      </c>
      <c r="X35" s="5" t="n">
        <v>0</v>
      </c>
      <c r="Y35" s="5" t="n">
        <v>0</v>
      </c>
      <c r="Z35" s="5" t="n">
        <v>0</v>
      </c>
      <c r="AA35" s="5" t="n">
        <v>0</v>
      </c>
      <c r="AB35" s="5" t="n">
        <v>37.974681</v>
      </c>
      <c r="AC35" s="5" t="inlineStr">
        <is>
          <t>Wie sichern Unternehmen, Hochschulen, Kammern und Arbeitsverwaltung Fachkräfte für Transformation, Pflege, Technik und Verwaltung?</t>
        </is>
      </c>
      <c r="AD35" s="5" t="inlineStr">
        <is>
          <t>Arbeitsmarkt, Fachkräfte und Qualifizierung: Caritasverband für die Diözese Speyer e.V. (implementation_anchor, 4) + Ministerium für Wirtschaft, Verkehr, Landwirtschaft und Weinbau (profit_anchor, 4).</t>
        </is>
      </c>
      <c r="AE35" s="5" t="inlineStr">
        <is>
          <t>Caritasverband für die Diözese Speyer e.V. | Ministerium für Wirtschaft, Verkehr, Landwirtschaft und Weinbau</t>
        </is>
      </c>
      <c r="AF35" s="5" t="inlineStr">
        <is>
          <t>arbeitsmarkt-fachkraefte-caritasverband-für-die-diözese-speyer-e-v-ministerium-für-wirtschaft-v</t>
        </is>
      </c>
    </row>
    <row r="36" ht="30" customHeight="1" s="46">
      <c r="A36" s="5" t="inlineStr">
        <is>
          <t>C0035</t>
        </is>
      </c>
      <c r="B36" s="5" t="inlineStr">
        <is>
          <t>x_0035</t>
        </is>
      </c>
      <c r="C36" s="5" t="n">
        <v>0</v>
      </c>
      <c r="D36" s="5" t="inlineStr">
        <is>
          <t>Duale Hochschule Rheinland-Pfalz</t>
        </is>
      </c>
      <c r="E36" s="5" t="inlineStr">
        <is>
          <t>Handwerkskammern Rheinland-Pfalz</t>
        </is>
      </c>
      <c r="F36" s="5" t="n">
        <v>21</v>
      </c>
      <c r="G36" s="5" t="n">
        <v>32</v>
      </c>
      <c r="H36" s="5" t="inlineStr">
        <is>
          <t>academic_support</t>
        </is>
      </c>
      <c r="I36" t="inlineStr">
        <is>
          <t>university_applied_sciences</t>
        </is>
      </c>
      <c r="J36" s="5" t="inlineStr">
        <is>
          <t>implementation_anchor</t>
        </is>
      </c>
      <c r="K36" t="inlineStr">
        <is>
          <t>chamber_association_anchor</t>
        </is>
      </c>
      <c r="L36" s="5" t="inlineStr">
        <is>
          <t>wirtschaft</t>
        </is>
      </c>
      <c r="M36" s="5" t="inlineStr">
        <is>
          <t>arbeitsmarkt_fachkraefte</t>
        </is>
      </c>
      <c r="N36" s="5" t="inlineStr">
        <is>
          <t>Arbeitsmarkt, Fachkräfte und Qualifizierung</t>
        </is>
      </c>
      <c r="O36" s="5" t="n">
        <v>5</v>
      </c>
      <c r="P36" s="5" t="n">
        <v>5</v>
      </c>
      <c r="Q36" s="5" t="n">
        <v>14</v>
      </c>
      <c r="R36" s="5" t="n">
        <v>4</v>
      </c>
      <c r="S36" s="5" t="n">
        <v>0</v>
      </c>
      <c r="T36" s="5" t="n">
        <v>0</v>
      </c>
      <c r="U36" s="5" t="n">
        <v>2</v>
      </c>
      <c r="V36" s="5" t="n">
        <v>7</v>
      </c>
      <c r="W36" s="5" t="n">
        <v>7</v>
      </c>
      <c r="X36" s="5" t="n">
        <v>0</v>
      </c>
      <c r="Y36" s="5" t="n">
        <v>0</v>
      </c>
      <c r="Z36" s="5" t="n">
        <v>0</v>
      </c>
      <c r="AA36" s="5" t="n">
        <v>0</v>
      </c>
      <c r="AB36" s="5" t="n">
        <v>50.403212</v>
      </c>
      <c r="AC36" s="5" t="inlineStr">
        <is>
          <t>Wie sichern Unternehmen, Hochschulen, Kammern und Arbeitsverwaltung Fachkräfte für Transformation, Pflege, Technik und Verwaltung?</t>
        </is>
      </c>
      <c r="AD36" s="5" t="inlineStr">
        <is>
          <t>Arbeitsmarkt, Fachkräfte und Qualifizierung: Duale Hochschule Rheinland-Pfalz (academic_support, 5) + Handwerkskammern Rheinland-Pfalz (implementation_anchor, 5).</t>
        </is>
      </c>
      <c r="AE36" s="5" t="inlineStr">
        <is>
          <t>Duale Hochschule Rheinland-Pfalz | Handwerkskammern Rheinland-Pfalz</t>
        </is>
      </c>
      <c r="AF36" s="5" t="inlineStr">
        <is>
          <t>arbeitsmarkt-fachkraefte-duale-hochschule-rheinland-pfalz-handwerkskammern-rheinland-pfalz</t>
        </is>
      </c>
    </row>
    <row r="37" ht="30" customHeight="1" s="46">
      <c r="A37" s="5" t="inlineStr">
        <is>
          <t>C0036</t>
        </is>
      </c>
      <c r="B37" s="5" t="inlineStr">
        <is>
          <t>x_0036</t>
        </is>
      </c>
      <c r="C37" s="5" t="n">
        <v>0</v>
      </c>
      <c r="D37" s="5" t="inlineStr">
        <is>
          <t>GLOBUS Markthallen Holding GmbH &amp; Co. KG</t>
        </is>
      </c>
      <c r="E37" s="5" t="inlineStr">
        <is>
          <t>Handwerkskammern Rheinland-Pfalz</t>
        </is>
      </c>
      <c r="F37" s="5" t="n">
        <v>31</v>
      </c>
      <c r="G37" s="5" t="n">
        <v>32</v>
      </c>
      <c r="H37" s="5" t="inlineStr">
        <is>
          <t>profit_anchor</t>
        </is>
      </c>
      <c r="I37" t="inlineStr">
        <is>
          <t>food_beverage_consumer_anchor</t>
        </is>
      </c>
      <c r="J37" s="5" t="inlineStr">
        <is>
          <t>implementation_anchor</t>
        </is>
      </c>
      <c r="K37" t="inlineStr">
        <is>
          <t>chamber_association_anchor</t>
        </is>
      </c>
      <c r="L37" s="5" t="inlineStr">
        <is>
          <t>wirtschaft</t>
        </is>
      </c>
      <c r="M37" s="5" t="inlineStr">
        <is>
          <t>arbeitsmarkt_fachkraefte</t>
        </is>
      </c>
      <c r="N37" s="5" t="inlineStr">
        <is>
          <t>Arbeitsmarkt, Fachkräfte und Qualifizierung</t>
        </is>
      </c>
      <c r="O37" s="5" t="n">
        <v>3</v>
      </c>
      <c r="P37" s="5" t="n">
        <v>5</v>
      </c>
      <c r="Q37" s="5" t="n">
        <v>12</v>
      </c>
      <c r="R37" s="5" t="n">
        <v>4</v>
      </c>
      <c r="S37" s="5" t="n">
        <v>0</v>
      </c>
      <c r="T37" s="5" t="n">
        <v>0</v>
      </c>
      <c r="U37" s="5" t="n">
        <v>2</v>
      </c>
      <c r="V37" s="5" t="n">
        <v>8</v>
      </c>
      <c r="W37" s="5" t="n">
        <v>8</v>
      </c>
      <c r="X37" s="5" t="n">
        <v>0</v>
      </c>
      <c r="Y37" s="5" t="n">
        <v>0</v>
      </c>
      <c r="Z37" s="5" t="n">
        <v>0</v>
      </c>
      <c r="AA37" s="5" t="n">
        <v>0</v>
      </c>
      <c r="AB37" s="5" t="n">
        <v>50.94838</v>
      </c>
      <c r="AC37" s="5" t="inlineStr">
        <is>
          <t>Wie sichern Unternehmen, Hochschulen, Kammern und Arbeitsverwaltung Fachkräfte für Transformation, Pflege, Technik und Verwaltung?</t>
        </is>
      </c>
      <c r="AD37" s="5" t="inlineStr">
        <is>
          <t>Arbeitsmarkt, Fachkräfte und Qualifizierung: GLOBUS Markthallen Holding GmbH &amp; Co. KG (profit_anchor, 3) + Handwerkskammern Rheinland-Pfalz (implementation_anchor, 5).</t>
        </is>
      </c>
      <c r="AE37" s="5" t="inlineStr">
        <is>
          <t>GLOBUS Markthallen Holding GmbH &amp; Co. KG | Handwerkskammern Rheinland-Pfalz</t>
        </is>
      </c>
      <c r="AF37" s="5" t="inlineStr">
        <is>
          <t>arbeitsmarkt-fachkraefte-globus-markthallen-holding-gmbh-co-kg-handwerkskammern-rheinland-pfalz</t>
        </is>
      </c>
    </row>
    <row r="38" ht="30" customHeight="1" s="46">
      <c r="A38" s="5" t="inlineStr">
        <is>
          <t>C0037</t>
        </is>
      </c>
      <c r="B38" s="5" t="inlineStr">
        <is>
          <t>x_0037</t>
        </is>
      </c>
      <c r="C38" s="5" t="n">
        <v>0</v>
      </c>
      <c r="D38" s="5" t="inlineStr">
        <is>
          <t>Architektenkammer Rheinland-Pfalz</t>
        </is>
      </c>
      <c r="E38" s="5" t="inlineStr">
        <is>
          <t>Hochschule Mainz</t>
        </is>
      </c>
      <c r="F38" s="5" t="n">
        <v>3</v>
      </c>
      <c r="G38" s="5" t="n">
        <v>39</v>
      </c>
      <c r="H38" s="5" t="inlineStr">
        <is>
          <t>implementation_anchor</t>
        </is>
      </c>
      <c r="I38" t="inlineStr">
        <is>
          <t>construction_planning_anchor</t>
        </is>
      </c>
      <c r="J38" s="5" t="inlineStr">
        <is>
          <t>academic_support</t>
        </is>
      </c>
      <c r="K38" t="inlineStr">
        <is>
          <t>university_applied_sciences</t>
        </is>
      </c>
      <c r="L38" s="5" t="inlineStr">
        <is>
          <t>technologie</t>
        </is>
      </c>
      <c r="M38" s="5" t="inlineStr">
        <is>
          <t>digitale_bau_verwaltung_planung</t>
        </is>
      </c>
      <c r="N38" s="5" t="inlineStr">
        <is>
          <t>Digitale Bau-, Planungs- und Genehmigungsprozesse</t>
        </is>
      </c>
      <c r="O38" s="5" t="n">
        <v>5</v>
      </c>
      <c r="P38" s="5" t="n">
        <v>5</v>
      </c>
      <c r="Q38" s="5" t="n">
        <v>14</v>
      </c>
      <c r="R38" s="5" t="n">
        <v>4</v>
      </c>
      <c r="S38" s="5" t="n">
        <v>0</v>
      </c>
      <c r="T38" s="5" t="n">
        <v>0</v>
      </c>
      <c r="U38" s="5" t="n">
        <v>2</v>
      </c>
      <c r="V38" s="5" t="n">
        <v>7</v>
      </c>
      <c r="W38" s="5" t="n">
        <v>7</v>
      </c>
      <c r="X38" s="5" t="n">
        <v>0</v>
      </c>
      <c r="Y38" s="5" t="n">
        <v>0</v>
      </c>
      <c r="Z38" s="5" t="n">
        <v>0</v>
      </c>
      <c r="AA38" s="5" t="n">
        <v>0</v>
      </c>
      <c r="AB38" s="5" t="n">
        <v>40.112006</v>
      </c>
      <c r="AC38" s="5" t="inlineStr">
        <is>
          <t>Wie können Bau, Planung, Genehmigung und Verwaltung durch digitale Werkzeuge schneller und rechtssicherer werden?</t>
        </is>
      </c>
      <c r="AD38" s="5" t="inlineStr">
        <is>
          <t>Digitale Bau-, Planungs- und Genehmigungsprozesse: Architektenkammer Rheinland-Pfalz (implementation_anchor, 5) + Hochschule Mainz (academic_support, 5).</t>
        </is>
      </c>
      <c r="AE38" s="5" t="inlineStr">
        <is>
          <t>Architektenkammer Rheinland-Pfalz | Hochschule Mainz</t>
        </is>
      </c>
      <c r="AF38" s="5" t="inlineStr">
        <is>
          <t>digitale-bau-verwaltung-planung-architektenkammer-rheinland-pfalz-hochschule-mainz</t>
        </is>
      </c>
    </row>
    <row r="39" ht="30" customHeight="1" s="46">
      <c r="A39" s="5" t="inlineStr">
        <is>
          <t>C0038</t>
        </is>
      </c>
      <c r="B39" s="5" t="inlineStr">
        <is>
          <t>x_0038</t>
        </is>
      </c>
      <c r="C39" s="5" t="n">
        <v>0</v>
      </c>
      <c r="D39" s="5" t="inlineStr">
        <is>
          <t>Architektenkammer Rheinland-Pfalz</t>
        </is>
      </c>
      <c r="E39" s="5" t="inlineStr">
        <is>
          <t>Karl Gemünden GmbH &amp; Co. KG</t>
        </is>
      </c>
      <c r="F39" s="5" t="n">
        <v>3</v>
      </c>
      <c r="G39" s="5" t="n">
        <v>52</v>
      </c>
      <c r="H39" s="5" t="inlineStr">
        <is>
          <t>implementation_anchor</t>
        </is>
      </c>
      <c r="I39" t="inlineStr">
        <is>
          <t>construction_planning_anchor</t>
        </is>
      </c>
      <c r="J39" s="5" t="inlineStr">
        <is>
          <t>profit_anchor</t>
        </is>
      </c>
      <c r="K39" t="inlineStr">
        <is>
          <t>construction_planning_anchor</t>
        </is>
      </c>
      <c r="L39" s="5" t="inlineStr">
        <is>
          <t>technologie</t>
        </is>
      </c>
      <c r="M39" s="5" t="inlineStr">
        <is>
          <t>digitale_bau_verwaltung_planung</t>
        </is>
      </c>
      <c r="N39" s="5" t="inlineStr">
        <is>
          <t>Digitale Bau-, Planungs- und Genehmigungsprozesse</t>
        </is>
      </c>
      <c r="O39" s="5" t="n">
        <v>5</v>
      </c>
      <c r="P39" s="5" t="n">
        <v>3</v>
      </c>
      <c r="Q39" s="5" t="n">
        <v>12</v>
      </c>
      <c r="R39" s="5" t="n">
        <v>4</v>
      </c>
      <c r="S39" s="5" t="n">
        <v>0</v>
      </c>
      <c r="T39" s="5" t="n">
        <v>0</v>
      </c>
      <c r="U39" s="5" t="n">
        <v>2</v>
      </c>
      <c r="V39" s="5" t="n">
        <v>8</v>
      </c>
      <c r="W39" s="5" t="n">
        <v>8</v>
      </c>
      <c r="X39" s="5" t="n">
        <v>0</v>
      </c>
      <c r="Y39" s="5" t="n">
        <v>0</v>
      </c>
      <c r="Z39" s="5" t="n">
        <v>0</v>
      </c>
      <c r="AA39" s="5" t="n">
        <v>0</v>
      </c>
      <c r="AB39" s="5" t="n">
        <v>37.974681</v>
      </c>
      <c r="AC39" s="5" t="inlineStr">
        <is>
          <t>Wie können Bau, Planung, Genehmigung und Verwaltung durch digitale Werkzeuge schneller und rechtssicherer werden?</t>
        </is>
      </c>
      <c r="AD39" s="5" t="inlineStr">
        <is>
          <t>Digitale Bau-, Planungs- und Genehmigungsprozesse: Architektenkammer Rheinland-Pfalz (implementation_anchor, 5) + Karl Gemünden GmbH &amp; Co. KG (profit_anchor, 3).</t>
        </is>
      </c>
      <c r="AE39" s="5" t="inlineStr">
        <is>
          <t>Architektenkammer Rheinland-Pfalz | Karl Gemünden GmbH &amp; Co. KG</t>
        </is>
      </c>
      <c r="AF39" s="5" t="inlineStr">
        <is>
          <t>digitale-bau-verwaltung-planung-architektenkammer-rheinland-pfalz-karl-gemünden-gmbh-co-kg</t>
        </is>
      </c>
    </row>
    <row r="40" ht="30" customHeight="1" s="46">
      <c r="A40" s="5" t="inlineStr">
        <is>
          <t>C0039</t>
        </is>
      </c>
      <c r="B40" s="5" t="inlineStr">
        <is>
          <t>x_0039</t>
        </is>
      </c>
      <c r="C40" s="5" t="n">
        <v>0</v>
      </c>
      <c r="D40" s="5" t="inlineStr">
        <is>
          <t>Entwicklungsagentur Rheinland-Pfalz e.V.</t>
        </is>
      </c>
      <c r="E40" s="5" t="inlineStr">
        <is>
          <t>vero – Verband der Bau- und Rohstoffindustrie</t>
        </is>
      </c>
      <c r="F40" s="5" t="n">
        <v>25</v>
      </c>
      <c r="G40" s="5" t="n">
        <v>95</v>
      </c>
      <c r="H40" s="5" t="inlineStr">
        <is>
          <t>implementation_anchor</t>
        </is>
      </c>
      <c r="I40" t="inlineStr">
        <is>
          <t>public_policy_anchor</t>
        </is>
      </c>
      <c r="J40" s="5" t="inlineStr">
        <is>
          <t>profit_anchor</t>
        </is>
      </c>
      <c r="K40" t="inlineStr">
        <is>
          <t>construction_planning_anchor</t>
        </is>
      </c>
      <c r="L40" s="5" t="inlineStr">
        <is>
          <t>technologie</t>
        </is>
      </c>
      <c r="M40" s="5" t="inlineStr">
        <is>
          <t>digitale_bau_verwaltung_planung</t>
        </is>
      </c>
      <c r="N40" s="5" t="inlineStr">
        <is>
          <t>Digitale Bau-, Planungs- und Genehmigungsprozesse</t>
        </is>
      </c>
      <c r="O40" s="5" t="n">
        <v>3</v>
      </c>
      <c r="P40" s="5" t="n">
        <v>5</v>
      </c>
      <c r="Q40" s="5" t="n">
        <v>12</v>
      </c>
      <c r="R40" s="5" t="n">
        <v>4</v>
      </c>
      <c r="S40" s="5" t="n">
        <v>0</v>
      </c>
      <c r="T40" s="5" t="n">
        <v>0</v>
      </c>
      <c r="U40" s="5" t="n">
        <v>2</v>
      </c>
      <c r="V40" s="5" t="n">
        <v>8</v>
      </c>
      <c r="W40" s="5" t="n">
        <v>8</v>
      </c>
      <c r="X40" s="5" t="n">
        <v>0</v>
      </c>
      <c r="Y40" s="5" t="n">
        <v>0</v>
      </c>
      <c r="Z40" s="5" t="n">
        <v>0</v>
      </c>
      <c r="AA40" s="5" t="n">
        <v>0</v>
      </c>
      <c r="AB40" s="5" t="n">
        <v>41.017343</v>
      </c>
      <c r="AC40" s="5" t="inlineStr">
        <is>
          <t>Wie können Bau, Planung, Genehmigung und Verwaltung durch digitale Werkzeuge schneller und rechtssicherer werden?</t>
        </is>
      </c>
      <c r="AD40" s="5" t="inlineStr">
        <is>
          <t>Digitale Bau-, Planungs- und Genehmigungsprozesse: Entwicklungsagentur Rheinland-Pfalz e.V. (implementation_anchor, 3) + vero – Verband der Bau- und Rohstoffindustrie (profit_anchor, 5).</t>
        </is>
      </c>
      <c r="AE40" s="5" t="inlineStr">
        <is>
          <t>Entwicklungsagentur Rheinland-Pfalz e.V. | vero – Verband der Bau- und Rohstoffindustrie</t>
        </is>
      </c>
      <c r="AF40" s="5" t="inlineStr">
        <is>
          <t>digitale-bau-verwaltung-planung-entwicklungsagentur-rheinland-pfalz-e-v-vero-verband-der-bau-un</t>
        </is>
      </c>
    </row>
    <row r="41" ht="30" customHeight="1" s="46">
      <c r="A41" s="5" t="inlineStr">
        <is>
          <t>C0040</t>
        </is>
      </c>
      <c r="B41" s="5" t="inlineStr">
        <is>
          <t>x_0040</t>
        </is>
      </c>
      <c r="C41" s="5" t="n">
        <v>0</v>
      </c>
      <c r="D41" s="5" t="inlineStr">
        <is>
          <t>Hochschule Mainz</t>
        </is>
      </c>
      <c r="E41" s="5" t="inlineStr">
        <is>
          <t>Ingenieurkammer Rheinland-Pfalz</t>
        </is>
      </c>
      <c r="F41" s="5" t="n">
        <v>39</v>
      </c>
      <c r="G41" s="5" t="n">
        <v>44</v>
      </c>
      <c r="H41" s="5" t="inlineStr">
        <is>
          <t>academic_support</t>
        </is>
      </c>
      <c r="I41" t="inlineStr">
        <is>
          <t>university_applied_sciences</t>
        </is>
      </c>
      <c r="J41" s="5" t="inlineStr">
        <is>
          <t>implementation_anchor</t>
        </is>
      </c>
      <c r="K41" t="inlineStr">
        <is>
          <t>construction_planning_anchor</t>
        </is>
      </c>
      <c r="L41" s="5" t="inlineStr">
        <is>
          <t>technologie</t>
        </is>
      </c>
      <c r="M41" s="5" t="inlineStr">
        <is>
          <t>digitale_bau_verwaltung_planung</t>
        </is>
      </c>
      <c r="N41" s="5" t="inlineStr">
        <is>
          <t>Digitale Bau-, Planungs- und Genehmigungsprozesse</t>
        </is>
      </c>
      <c r="O41" s="5" t="n">
        <v>5</v>
      </c>
      <c r="P41" s="5" t="n">
        <v>5</v>
      </c>
      <c r="Q41" s="5" t="n">
        <v>14</v>
      </c>
      <c r="R41" s="5" t="n">
        <v>4</v>
      </c>
      <c r="S41" s="5" t="n">
        <v>0</v>
      </c>
      <c r="T41" s="5" t="n">
        <v>0</v>
      </c>
      <c r="U41" s="5" t="n">
        <v>2</v>
      </c>
      <c r="V41" s="5" t="n">
        <v>7</v>
      </c>
      <c r="W41" s="5" t="n">
        <v>7</v>
      </c>
      <c r="X41" s="5" t="n">
        <v>0</v>
      </c>
      <c r="Y41" s="5" t="n">
        <v>0</v>
      </c>
      <c r="Z41" s="5" t="n">
        <v>0</v>
      </c>
      <c r="AA41" s="5" t="n">
        <v>0</v>
      </c>
      <c r="AB41" s="5" t="n">
        <v>40.112006</v>
      </c>
      <c r="AC41" s="5" t="inlineStr">
        <is>
          <t>Wie können Bau, Planung, Genehmigung und Verwaltung durch digitale Werkzeuge schneller und rechtssicherer werden?</t>
        </is>
      </c>
      <c r="AD41" s="5" t="inlineStr">
        <is>
          <t>Digitale Bau-, Planungs- und Genehmigungsprozesse: Hochschule Mainz (academic_support, 5) + Ingenieurkammer Rheinland-Pfalz (implementation_anchor, 5).</t>
        </is>
      </c>
      <c r="AE41" s="5" t="inlineStr">
        <is>
          <t>Hochschule Mainz | Ingenieurkammer Rheinland-Pfalz</t>
        </is>
      </c>
      <c r="AF41" s="5" t="inlineStr">
        <is>
          <t>digitale-bau-verwaltung-planung-hochschule-mainz-ingenieurkammer-rheinland-pfalz</t>
        </is>
      </c>
    </row>
    <row r="42" ht="30" customHeight="1" s="46">
      <c r="A42" s="5" t="inlineStr">
        <is>
          <t>C0041</t>
        </is>
      </c>
      <c r="B42" s="5" t="inlineStr">
        <is>
          <t>x_0041</t>
        </is>
      </c>
      <c r="C42" s="5" t="n">
        <v>0</v>
      </c>
      <c r="D42" s="5" t="inlineStr">
        <is>
          <t>Ingenieurkammer Rheinland-Pfalz</t>
        </is>
      </c>
      <c r="E42" s="5" t="inlineStr">
        <is>
          <t>Karl Gemünden GmbH &amp; Co. KG</t>
        </is>
      </c>
      <c r="F42" s="5" t="n">
        <v>44</v>
      </c>
      <c r="G42" s="5" t="n">
        <v>52</v>
      </c>
      <c r="H42" s="5" t="inlineStr">
        <is>
          <t>implementation_anchor</t>
        </is>
      </c>
      <c r="I42" t="inlineStr">
        <is>
          <t>construction_planning_anchor</t>
        </is>
      </c>
      <c r="J42" s="5" t="inlineStr">
        <is>
          <t>profit_anchor</t>
        </is>
      </c>
      <c r="K42" t="inlineStr">
        <is>
          <t>construction_planning_anchor</t>
        </is>
      </c>
      <c r="L42" s="5" t="inlineStr">
        <is>
          <t>technologie</t>
        </is>
      </c>
      <c r="M42" s="5" t="inlineStr">
        <is>
          <t>digitale_bau_verwaltung_planung</t>
        </is>
      </c>
      <c r="N42" s="5" t="inlineStr">
        <is>
          <t>Digitale Bau-, Planungs- und Genehmigungsprozesse</t>
        </is>
      </c>
      <c r="O42" s="5" t="n">
        <v>5</v>
      </c>
      <c r="P42" s="5" t="n">
        <v>3</v>
      </c>
      <c r="Q42" s="5" t="n">
        <v>12</v>
      </c>
      <c r="R42" s="5" t="n">
        <v>4</v>
      </c>
      <c r="S42" s="5" t="n">
        <v>0</v>
      </c>
      <c r="T42" s="5" t="n">
        <v>0</v>
      </c>
      <c r="U42" s="5" t="n">
        <v>2</v>
      </c>
      <c r="V42" s="5" t="n">
        <v>8</v>
      </c>
      <c r="W42" s="5" t="n">
        <v>8</v>
      </c>
      <c r="X42" s="5" t="n">
        <v>0</v>
      </c>
      <c r="Y42" s="5" t="n">
        <v>0</v>
      </c>
      <c r="Z42" s="5" t="n">
        <v>0</v>
      </c>
      <c r="AA42" s="5" t="n">
        <v>0</v>
      </c>
      <c r="AB42" s="5" t="n">
        <v>37.974681</v>
      </c>
      <c r="AC42" s="5" t="inlineStr">
        <is>
          <t>Wie können Bau, Planung, Genehmigung und Verwaltung durch digitale Werkzeuge schneller und rechtssicherer werden?</t>
        </is>
      </c>
      <c r="AD42" s="5" t="inlineStr">
        <is>
          <t>Digitale Bau-, Planungs- und Genehmigungsprozesse: Ingenieurkammer Rheinland-Pfalz (implementation_anchor, 5) + Karl Gemünden GmbH &amp; Co. KG (profit_anchor, 3).</t>
        </is>
      </c>
      <c r="AE42" s="5" t="inlineStr">
        <is>
          <t>Ingenieurkammer Rheinland-Pfalz | Karl Gemünden GmbH &amp; Co. KG</t>
        </is>
      </c>
      <c r="AF42" s="5" t="inlineStr">
        <is>
          <t>digitale-bau-verwaltung-planung-ingenieurkammer-rheinland-pfalz-karl-gemünden-gmbh-co-kg</t>
        </is>
      </c>
    </row>
    <row r="43" ht="30" customHeight="1" s="46">
      <c r="A43" s="5" t="inlineStr">
        <is>
          <t>C0042</t>
        </is>
      </c>
      <c r="B43" s="5" t="inlineStr">
        <is>
          <t>x_0042</t>
        </is>
      </c>
      <c r="C43" s="5" t="n">
        <v>0</v>
      </c>
      <c r="D43" s="5" t="inlineStr">
        <is>
          <t>Handwerkskammern Rheinland-Pfalz</t>
        </is>
      </c>
      <c r="E43" s="5" t="inlineStr">
        <is>
          <t>Landesbank Baden-Württemberg (LBBW)</t>
        </is>
      </c>
      <c r="F43" s="5" t="n">
        <v>32</v>
      </c>
      <c r="G43" s="5" t="n">
        <v>60</v>
      </c>
      <c r="H43" s="5" t="inlineStr">
        <is>
          <t>implementation_anchor</t>
        </is>
      </c>
      <c r="I43" t="inlineStr">
        <is>
          <t>chamber_association_anchor</t>
        </is>
      </c>
      <c r="J43" s="5" t="inlineStr">
        <is>
          <t>profit_anchor</t>
        </is>
      </c>
      <c r="K43" t="inlineStr">
        <is>
          <t>bank_finance_anchor</t>
        </is>
      </c>
      <c r="L43" s="5" t="inlineStr">
        <is>
          <t>wirtschaft</t>
        </is>
      </c>
      <c r="M43" s="5" t="inlineStr">
        <is>
          <t>finanzierung_foerderung_transformation</t>
        </is>
      </c>
      <c r="N43" s="5" t="inlineStr">
        <is>
          <t>Finanzierung und Förderung von Transformation</t>
        </is>
      </c>
      <c r="O43" s="5" t="n">
        <v>3</v>
      </c>
      <c r="P43" s="5" t="n">
        <v>5</v>
      </c>
      <c r="Q43" s="5" t="n">
        <v>12</v>
      </c>
      <c r="R43" s="5" t="n">
        <v>4</v>
      </c>
      <c r="S43" s="5" t="n">
        <v>0</v>
      </c>
      <c r="T43" s="5" t="n">
        <v>0</v>
      </c>
      <c r="U43" s="5" t="n">
        <v>2</v>
      </c>
      <c r="V43" s="5" t="n">
        <v>8</v>
      </c>
      <c r="W43" s="5" t="n">
        <v>8</v>
      </c>
      <c r="X43" s="5" t="n">
        <v>0</v>
      </c>
      <c r="Y43" s="5" t="n">
        <v>0</v>
      </c>
      <c r="Z43" s="5" t="n">
        <v>0</v>
      </c>
      <c r="AA43" s="5" t="n">
        <v>0</v>
      </c>
      <c r="AB43" s="5" t="n">
        <v>47.603781</v>
      </c>
      <c r="AC43" s="5" t="inlineStr">
        <is>
          <t>Wie kommen Investitionen, Fördermittel, Banken und Unternehmensstrategien schneller zusammen?</t>
        </is>
      </c>
      <c r="AD43" s="5" t="inlineStr">
        <is>
          <t>Finanzierung und Förderung von Transformation: Handwerkskammern Rheinland-Pfalz (implementation_anchor, 3) + Landesbank Baden-Württemberg (LBBW) (profit_anchor, 5).</t>
        </is>
      </c>
      <c r="AE43" s="5" t="inlineStr">
        <is>
          <t>Handwerkskammern Rheinland-Pfalz | Landesbank Baden-Württemberg (LBBW)</t>
        </is>
      </c>
      <c r="AF43" s="5" t="inlineStr">
        <is>
          <t>finanzierung-foerderung-transformation-handwerkskammern-rheinland-pfalz-landesbank-baden-württe</t>
        </is>
      </c>
    </row>
    <row r="44" ht="30" customHeight="1" s="46">
      <c r="A44" s="5" t="inlineStr">
        <is>
          <t>C0043</t>
        </is>
      </c>
      <c r="B44" s="5" t="inlineStr">
        <is>
          <t>x_0043</t>
        </is>
      </c>
      <c r="C44" s="5" t="n">
        <v>0</v>
      </c>
      <c r="D44" s="5" t="inlineStr">
        <is>
          <t>Handwerkskammern Rheinland-Pfalz</t>
        </is>
      </c>
      <c r="E44" s="5" t="inlineStr">
        <is>
          <t>Ministerium für Wirtschaft, Verkehr, Landwirtschaft und Weinbau</t>
        </is>
      </c>
      <c r="F44" s="5" t="n">
        <v>32</v>
      </c>
      <c r="G44" s="5" t="n">
        <v>70</v>
      </c>
      <c r="H44" s="5" t="inlineStr">
        <is>
          <t>implementation_anchor</t>
        </is>
      </c>
      <c r="I44" t="inlineStr">
        <is>
          <t>chamber_association_anchor</t>
        </is>
      </c>
      <c r="J44" s="5" t="inlineStr">
        <is>
          <t>profit_anchor</t>
        </is>
      </c>
      <c r="K44" t="inlineStr">
        <is>
          <t>public_policy_anchor</t>
        </is>
      </c>
      <c r="L44" s="5" t="inlineStr">
        <is>
          <t>wirtschaft</t>
        </is>
      </c>
      <c r="M44" s="5" t="inlineStr">
        <is>
          <t>finanzierung_foerderung_transformation</t>
        </is>
      </c>
      <c r="N44" s="5" t="inlineStr">
        <is>
          <t>Finanzierung und Förderung von Transformation</t>
        </is>
      </c>
      <c r="O44" s="5" t="n">
        <v>3</v>
      </c>
      <c r="P44" s="5" t="n">
        <v>5</v>
      </c>
      <c r="Q44" s="5" t="n">
        <v>12</v>
      </c>
      <c r="R44" s="5" t="n">
        <v>4</v>
      </c>
      <c r="S44" s="5" t="n">
        <v>0</v>
      </c>
      <c r="T44" s="5" t="n">
        <v>0</v>
      </c>
      <c r="U44" s="5" t="n">
        <v>2</v>
      </c>
      <c r="V44" s="5" t="n">
        <v>8</v>
      </c>
      <c r="W44" s="5" t="n">
        <v>8</v>
      </c>
      <c r="X44" s="5" t="n">
        <v>0</v>
      </c>
      <c r="Y44" s="5" t="n">
        <v>0</v>
      </c>
      <c r="Z44" s="5" t="n">
        <v>0</v>
      </c>
      <c r="AA44" s="5" t="n">
        <v>0</v>
      </c>
      <c r="AB44" s="5" t="n">
        <v>49.025102</v>
      </c>
      <c r="AC44" s="5" t="inlineStr">
        <is>
          <t>Wie kommen Investitionen, Fördermittel, Banken und Unternehmensstrategien schneller zusammen?</t>
        </is>
      </c>
      <c r="AD44" s="5" t="inlineStr">
        <is>
          <t>Finanzierung und Förderung von Transformation: Handwerkskammern Rheinland-Pfalz (implementation_anchor, 3) + Ministerium für Wirtschaft, Verkehr, Landwirtschaft und Weinbau (profit_anchor, 5).</t>
        </is>
      </c>
      <c r="AE44" s="5" t="inlineStr">
        <is>
          <t>Handwerkskammern Rheinland-Pfalz | Ministerium für Wirtschaft, Verkehr, Landwirtschaft und Weinbau</t>
        </is>
      </c>
      <c r="AF44" s="5" t="inlineStr">
        <is>
          <t>finanzierung-foerderung-transformation-handwerkskammern-rheinland-pfalz-ministerium-für-wirtsch</t>
        </is>
      </c>
    </row>
    <row r="45" ht="30" customHeight="1" s="46">
      <c r="A45" s="5" t="inlineStr">
        <is>
          <t>C0044</t>
        </is>
      </c>
      <c r="B45" s="5" t="inlineStr">
        <is>
          <t>x_0044</t>
        </is>
      </c>
      <c r="C45" s="5" t="n">
        <v>0</v>
      </c>
      <c r="D45" s="5" t="inlineStr">
        <is>
          <t>Handwerkskammern Rheinland-Pfalz</t>
        </is>
      </c>
      <c r="E45" s="5" t="inlineStr">
        <is>
          <t>Sparkassenverband Rheinland-Pfalz</t>
        </is>
      </c>
      <c r="F45" s="5" t="n">
        <v>32</v>
      </c>
      <c r="G45" s="5" t="n">
        <v>82</v>
      </c>
      <c r="H45" s="5" t="inlineStr">
        <is>
          <t>implementation_anchor</t>
        </is>
      </c>
      <c r="I45" t="inlineStr">
        <is>
          <t>chamber_association_anchor</t>
        </is>
      </c>
      <c r="J45" s="5" t="inlineStr">
        <is>
          <t>profit_anchor</t>
        </is>
      </c>
      <c r="K45" t="inlineStr">
        <is>
          <t>bank_finance_anchor</t>
        </is>
      </c>
      <c r="L45" s="5" t="inlineStr">
        <is>
          <t>wirtschaft</t>
        </is>
      </c>
      <c r="M45" s="5" t="inlineStr">
        <is>
          <t>finanzierung_foerderung_transformation</t>
        </is>
      </c>
      <c r="N45" s="5" t="inlineStr">
        <is>
          <t>Finanzierung und Förderung von Transformation</t>
        </is>
      </c>
      <c r="O45" s="5" t="n">
        <v>3</v>
      </c>
      <c r="P45" s="5" t="n">
        <v>5</v>
      </c>
      <c r="Q45" s="5" t="n">
        <v>12</v>
      </c>
      <c r="R45" s="5" t="n">
        <v>4</v>
      </c>
      <c r="S45" s="5" t="n">
        <v>0</v>
      </c>
      <c r="T45" s="5" t="n">
        <v>0</v>
      </c>
      <c r="U45" s="5" t="n">
        <v>2</v>
      </c>
      <c r="V45" s="5" t="n">
        <v>8</v>
      </c>
      <c r="W45" s="5" t="n">
        <v>8</v>
      </c>
      <c r="X45" s="5" t="n">
        <v>0</v>
      </c>
      <c r="Y45" s="5" t="n">
        <v>0</v>
      </c>
      <c r="Z45" s="5" t="n">
        <v>0</v>
      </c>
      <c r="AA45" s="5" t="n">
        <v>0</v>
      </c>
      <c r="AB45" s="5" t="n">
        <v>47.603781</v>
      </c>
      <c r="AC45" s="5" t="inlineStr">
        <is>
          <t>Wie kommen Investitionen, Fördermittel, Banken und Unternehmensstrategien schneller zusammen?</t>
        </is>
      </c>
      <c r="AD45" s="5" t="inlineStr">
        <is>
          <t>Finanzierung und Förderung von Transformation: Handwerkskammern Rheinland-Pfalz (implementation_anchor, 3) + Sparkassenverband Rheinland-Pfalz (profit_anchor, 5).</t>
        </is>
      </c>
      <c r="AE45" s="5" t="inlineStr">
        <is>
          <t>Handwerkskammern Rheinland-Pfalz | Sparkassenverband Rheinland-Pfalz</t>
        </is>
      </c>
      <c r="AF45" s="5" t="inlineStr">
        <is>
          <t>finanzierung-foerderung-transformation-handwerkskammern-rheinland-pfalz-sparkassenverband-rhein</t>
        </is>
      </c>
    </row>
    <row r="46" ht="30" customHeight="1" s="46">
      <c r="A46" s="5" t="inlineStr">
        <is>
          <t>C0045</t>
        </is>
      </c>
      <c r="B46" s="5" t="inlineStr">
        <is>
          <t>x_0045</t>
        </is>
      </c>
      <c r="C46" s="5" t="n">
        <v>0</v>
      </c>
      <c r="D46" s="5" t="inlineStr">
        <is>
          <t>Boehringer Ingelheim Pharma GmbH &amp; Co. KG</t>
        </is>
      </c>
      <c r="E46" s="5" t="inlineStr">
        <is>
          <t>Caritasverband für die Diözese Speyer e.V.</t>
        </is>
      </c>
      <c r="F46" s="5" t="n">
        <v>11</v>
      </c>
      <c r="G46" s="5" t="n">
        <v>14</v>
      </c>
      <c r="H46" s="5" t="inlineStr">
        <is>
          <t>profit_anchor</t>
        </is>
      </c>
      <c r="I46" t="inlineStr">
        <is>
          <t>health_social_anchor</t>
        </is>
      </c>
      <c r="J46" s="5" t="inlineStr">
        <is>
          <t>implementation_anchor</t>
        </is>
      </c>
      <c r="K46" t="inlineStr">
        <is>
          <t>health_social_anchor</t>
        </is>
      </c>
      <c r="L46" s="5" t="inlineStr">
        <is>
          <t>gesellschaft</t>
        </is>
      </c>
      <c r="M46" s="5" t="inlineStr">
        <is>
          <t>gesundheit_versorgung_praevention</t>
        </is>
      </c>
      <c r="N46" s="5" t="inlineStr">
        <is>
          <t>Gesundheitsversorgung und Prävention</t>
        </is>
      </c>
      <c r="O46" s="5" t="n">
        <v>4</v>
      </c>
      <c r="P46" s="5" t="n">
        <v>4</v>
      </c>
      <c r="Q46" s="5" t="n">
        <v>12</v>
      </c>
      <c r="R46" s="5" t="n">
        <v>4</v>
      </c>
      <c r="S46" s="5" t="n">
        <v>0</v>
      </c>
      <c r="T46" s="5" t="n">
        <v>0</v>
      </c>
      <c r="U46" s="5" t="n">
        <v>2</v>
      </c>
      <c r="V46" s="5" t="n">
        <v>8</v>
      </c>
      <c r="W46" s="5" t="n">
        <v>8</v>
      </c>
      <c r="X46" s="5" t="n">
        <v>0</v>
      </c>
      <c r="Y46" s="5" t="n">
        <v>0</v>
      </c>
      <c r="Z46" s="5" t="n">
        <v>0</v>
      </c>
      <c r="AA46" s="5" t="n">
        <v>0</v>
      </c>
      <c r="AB46" s="5" t="n">
        <v>31.006197</v>
      </c>
      <c r="AC46" s="5" t="inlineStr">
        <is>
          <t>Wie kann Gesundheitsversorgung in Rheinland-Pfalz zugänglich, präventiv und digital unterstützt werden?</t>
        </is>
      </c>
      <c r="AD46" s="5" t="inlineStr">
        <is>
          <t>Gesundheitsversorgung und Prävention: Boehringer Ingelheim Pharma GmbH &amp; Co. KG (profit_anchor, 4) + Caritasverband für die Diözese Speyer e.V. (implementation_anchor, 4).</t>
        </is>
      </c>
      <c r="AE46" s="5" t="inlineStr">
        <is>
          <t>Boehringer Ingelheim Pharma GmbH &amp; Co. KG | Caritasverband für die Diözese Speyer e.V.</t>
        </is>
      </c>
      <c r="AF46" s="5" t="inlineStr">
        <is>
          <t>gesundheit-versorgung-praevention-boehringer-ingelheim-pharma-gmbh-co-kg-caritasverband-für-die</t>
        </is>
      </c>
    </row>
    <row r="47" ht="30" customHeight="1" s="46">
      <c r="A47" s="5" t="inlineStr">
        <is>
          <t>C0046</t>
        </is>
      </c>
      <c r="B47" s="5" t="inlineStr">
        <is>
          <t>x_0046</t>
        </is>
      </c>
      <c r="C47" s="5" t="n">
        <v>0</v>
      </c>
      <c r="D47" s="5" t="inlineStr">
        <is>
          <t>Boehringer Ingelheim Pharma GmbH &amp; Co. KG</t>
        </is>
      </c>
      <c r="E47" s="5" t="inlineStr">
        <is>
          <t>LandesPsychotherapeutenKammer Rheinland-Pfalz</t>
        </is>
      </c>
      <c r="F47" s="5" t="n">
        <v>11</v>
      </c>
      <c r="G47" s="5" t="n">
        <v>61</v>
      </c>
      <c r="H47" s="5" t="inlineStr">
        <is>
          <t>profit_anchor</t>
        </is>
      </c>
      <c r="I47" t="inlineStr">
        <is>
          <t>health_social_anchor</t>
        </is>
      </c>
      <c r="J47" s="5" t="inlineStr">
        <is>
          <t>implementation_anchor</t>
        </is>
      </c>
      <c r="K47" t="inlineStr">
        <is>
          <t>health_social_anchor</t>
        </is>
      </c>
      <c r="L47" s="5" t="inlineStr">
        <is>
          <t>gesellschaft</t>
        </is>
      </c>
      <c r="M47" s="5" t="inlineStr">
        <is>
          <t>gesundheit_versorgung_praevention</t>
        </is>
      </c>
      <c r="N47" s="5" t="inlineStr">
        <is>
          <t>Gesundheitsversorgung und Prävention</t>
        </is>
      </c>
      <c r="O47" s="5" t="n">
        <v>4</v>
      </c>
      <c r="P47" s="5" t="n">
        <v>4</v>
      </c>
      <c r="Q47" s="5" t="n">
        <v>12</v>
      </c>
      <c r="R47" s="5" t="n">
        <v>4</v>
      </c>
      <c r="S47" s="5" t="n">
        <v>0</v>
      </c>
      <c r="T47" s="5" t="n">
        <v>0</v>
      </c>
      <c r="U47" s="5" t="n">
        <v>2</v>
      </c>
      <c r="V47" s="5" t="n">
        <v>8</v>
      </c>
      <c r="W47" s="5" t="n">
        <v>8</v>
      </c>
      <c r="X47" s="5" t="n">
        <v>0</v>
      </c>
      <c r="Y47" s="5" t="n">
        <v>0</v>
      </c>
      <c r="Z47" s="5" t="n">
        <v>0</v>
      </c>
      <c r="AA47" s="5" t="n">
        <v>0</v>
      </c>
      <c r="AB47" s="5" t="n">
        <v>31.006197</v>
      </c>
      <c r="AC47" s="5" t="inlineStr">
        <is>
          <t>Wie kann Gesundheitsversorgung in Rheinland-Pfalz zugänglich, präventiv und digital unterstützt werden?</t>
        </is>
      </c>
      <c r="AD47" s="5" t="inlineStr">
        <is>
          <t>Gesundheitsversorgung und Prävention: Boehringer Ingelheim Pharma GmbH &amp; Co. KG (profit_anchor, 4) + LandesPsychotherapeutenKammer Rheinland-Pfalz (implementation_anchor, 4).</t>
        </is>
      </c>
      <c r="AE47" s="5" t="inlineStr">
        <is>
          <t>Boehringer Ingelheim Pharma GmbH &amp; Co. KG | LandesPsychotherapeutenKammer Rheinland-Pfalz</t>
        </is>
      </c>
      <c r="AF47" s="5" t="inlineStr">
        <is>
          <t>gesundheit-versorgung-praevention-boehringer-ingelheim-pharma-gmbh-co-kg-landespsychotherapeute</t>
        </is>
      </c>
    </row>
    <row r="48" ht="30" customHeight="1" s="46">
      <c r="A48" s="5" t="inlineStr">
        <is>
          <t>C0047</t>
        </is>
      </c>
      <c r="B48" s="5" t="inlineStr">
        <is>
          <t>x_0047</t>
        </is>
      </c>
      <c r="C48" s="5" t="n">
        <v>0</v>
      </c>
      <c r="D48" s="5" t="inlineStr">
        <is>
          <t>BASF SE</t>
        </is>
      </c>
      <c r="E48" s="5" t="inlineStr">
        <is>
          <t>Handwerkskammern Rheinland-Pfalz</t>
        </is>
      </c>
      <c r="F48" s="5" t="n">
        <v>6</v>
      </c>
      <c r="G48" s="5" t="n">
        <v>32</v>
      </c>
      <c r="H48" s="5" t="inlineStr">
        <is>
          <t>profit_anchor</t>
        </is>
      </c>
      <c r="I48" t="inlineStr">
        <is>
          <t>industry_anchor</t>
        </is>
      </c>
      <c r="J48" s="5" t="inlineStr">
        <is>
          <t>implementation_anchor</t>
        </is>
      </c>
      <c r="K48" t="inlineStr">
        <is>
          <t>chamber_association_anchor</t>
        </is>
      </c>
      <c r="L48" s="5" t="inlineStr">
        <is>
          <t>wissen</t>
        </is>
      </c>
      <c r="M48" s="5" t="inlineStr">
        <is>
          <t>hochschule_wirtschaft_transfer</t>
        </is>
      </c>
      <c r="N48" s="5" t="inlineStr">
        <is>
          <t>Hochschule-Wirtschaft-Transfer</t>
        </is>
      </c>
      <c r="O48" s="5" t="n">
        <v>4</v>
      </c>
      <c r="P48" s="5" t="n">
        <v>4</v>
      </c>
      <c r="Q48" s="5" t="n">
        <v>12</v>
      </c>
      <c r="R48" s="5" t="n">
        <v>4</v>
      </c>
      <c r="S48" s="5" t="n">
        <v>0</v>
      </c>
      <c r="T48" s="5" t="n">
        <v>0</v>
      </c>
      <c r="U48" s="5" t="n">
        <v>2</v>
      </c>
      <c r="V48" s="5" t="n">
        <v>8</v>
      </c>
      <c r="W48" s="5" t="n">
        <v>8</v>
      </c>
      <c r="X48" s="5" t="n">
        <v>0</v>
      </c>
      <c r="Y48" s="5" t="n">
        <v>0</v>
      </c>
      <c r="Z48" s="5" t="n">
        <v>0</v>
      </c>
      <c r="AA48" s="5" t="n">
        <v>0</v>
      </c>
      <c r="AB48" s="5" t="n">
        <v>44.344873</v>
      </c>
      <c r="AC48" s="5" t="inlineStr">
        <is>
          <t>Wie kommen Forschung, Unternehmen und öffentliche Akteure schneller in gemeinsame Umsetzungsprojekte?</t>
        </is>
      </c>
      <c r="AD48" s="5" t="inlineStr">
        <is>
          <t>Hochschule-Wirtschaft-Transfer: BASF SE (profit_anchor, 4) + Handwerkskammern Rheinland-Pfalz (implementation_anchor, 4).</t>
        </is>
      </c>
      <c r="AE48" s="5" t="inlineStr">
        <is>
          <t>BASF SE | Handwerkskammern Rheinland-Pfalz</t>
        </is>
      </c>
      <c r="AF48" s="5" t="inlineStr">
        <is>
          <t>hochschule-wirtschaft-transfer-basf-se-handwerkskammern-rheinland-pfalz</t>
        </is>
      </c>
    </row>
    <row r="49" ht="30" customHeight="1" s="46">
      <c r="A49" s="5" t="inlineStr">
        <is>
          <t>C0048</t>
        </is>
      </c>
      <c r="B49" s="5" t="inlineStr">
        <is>
          <t>x_0048</t>
        </is>
      </c>
      <c r="C49" s="5" t="n">
        <v>0</v>
      </c>
      <c r="D49" s="5" t="inlineStr">
        <is>
          <t>BRICKMAKERS AG</t>
        </is>
      </c>
      <c r="E49" s="5" t="inlineStr">
        <is>
          <t>Handwerkskammern Rheinland-Pfalz</t>
        </is>
      </c>
      <c r="F49" s="5" t="n">
        <v>12</v>
      </c>
      <c r="G49" s="5" t="n">
        <v>32</v>
      </c>
      <c r="H49" s="5" t="inlineStr">
        <is>
          <t>profit_anchor</t>
        </is>
      </c>
      <c r="I49" t="inlineStr">
        <is>
          <t>technology_digital_anchor</t>
        </is>
      </c>
      <c r="J49" s="5" t="inlineStr">
        <is>
          <t>implementation_anchor</t>
        </is>
      </c>
      <c r="K49" t="inlineStr">
        <is>
          <t>chamber_association_anchor</t>
        </is>
      </c>
      <c r="L49" s="5" t="inlineStr">
        <is>
          <t>wissen</t>
        </is>
      </c>
      <c r="M49" s="5" t="inlineStr">
        <is>
          <t>hochschule_wirtschaft_transfer</t>
        </is>
      </c>
      <c r="N49" s="5" t="inlineStr">
        <is>
          <t>Hochschule-Wirtschaft-Transfer</t>
        </is>
      </c>
      <c r="O49" s="5" t="n">
        <v>4</v>
      </c>
      <c r="P49" s="5" t="n">
        <v>4</v>
      </c>
      <c r="Q49" s="5" t="n">
        <v>12</v>
      </c>
      <c r="R49" s="5" t="n">
        <v>4</v>
      </c>
      <c r="S49" s="5" t="n">
        <v>0</v>
      </c>
      <c r="T49" s="5" t="n">
        <v>0</v>
      </c>
      <c r="U49" s="5" t="n">
        <v>2</v>
      </c>
      <c r="V49" s="5" t="n">
        <v>8</v>
      </c>
      <c r="W49" s="5" t="n">
        <v>8</v>
      </c>
      <c r="X49" s="5" t="n">
        <v>0</v>
      </c>
      <c r="Y49" s="5" t="n">
        <v>0</v>
      </c>
      <c r="Z49" s="5" t="n">
        <v>0</v>
      </c>
      <c r="AA49" s="5" t="n">
        <v>0</v>
      </c>
      <c r="AB49" s="5" t="n">
        <v>45.639886</v>
      </c>
      <c r="AC49" s="5" t="inlineStr">
        <is>
          <t>Wie kommen Forschung, Unternehmen und öffentliche Akteure schneller in gemeinsame Umsetzungsprojekte?</t>
        </is>
      </c>
      <c r="AD49" s="5" t="inlineStr">
        <is>
          <t>Hochschule-Wirtschaft-Transfer: BRICKMAKERS AG (profit_anchor, 4) + Handwerkskammern Rheinland-Pfalz (implementation_anchor, 4).</t>
        </is>
      </c>
      <c r="AE49" s="5" t="inlineStr">
        <is>
          <t>BRICKMAKERS AG | Handwerkskammern Rheinland-Pfalz</t>
        </is>
      </c>
      <c r="AF49" s="5" t="inlineStr">
        <is>
          <t>hochschule-wirtschaft-transfer-brickmakers-ag-handwerkskammern-rheinland-pfalz</t>
        </is>
      </c>
    </row>
    <row r="50" ht="30" customHeight="1" s="46">
      <c r="A50" s="5" t="inlineStr">
        <is>
          <t>C0049</t>
        </is>
      </c>
      <c r="B50" s="5" t="inlineStr">
        <is>
          <t>x_0049</t>
        </is>
      </c>
      <c r="C50" s="5" t="n">
        <v>0</v>
      </c>
      <c r="D50" s="5" t="inlineStr">
        <is>
          <t>Boehringer Ingelheim Pharma GmbH &amp; Co. KG</t>
        </is>
      </c>
      <c r="E50" s="5" t="inlineStr">
        <is>
          <t>Handwerkskammern Rheinland-Pfalz</t>
        </is>
      </c>
      <c r="F50" s="5" t="n">
        <v>11</v>
      </c>
      <c r="G50" s="5" t="n">
        <v>32</v>
      </c>
      <c r="H50" s="5" t="inlineStr">
        <is>
          <t>profit_anchor</t>
        </is>
      </c>
      <c r="I50" t="inlineStr">
        <is>
          <t>health_social_anchor</t>
        </is>
      </c>
      <c r="J50" s="5" t="inlineStr">
        <is>
          <t>implementation_anchor</t>
        </is>
      </c>
      <c r="K50" t="inlineStr">
        <is>
          <t>chamber_association_anchor</t>
        </is>
      </c>
      <c r="L50" s="5" t="inlineStr">
        <is>
          <t>wissen</t>
        </is>
      </c>
      <c r="M50" s="5" t="inlineStr">
        <is>
          <t>hochschule_wirtschaft_transfer</t>
        </is>
      </c>
      <c r="N50" s="5" t="inlineStr">
        <is>
          <t>Hochschule-Wirtschaft-Transfer</t>
        </is>
      </c>
      <c r="O50" s="5" t="n">
        <v>4</v>
      </c>
      <c r="P50" s="5" t="n">
        <v>4</v>
      </c>
      <c r="Q50" s="5" t="n">
        <v>12</v>
      </c>
      <c r="R50" s="5" t="n">
        <v>4</v>
      </c>
      <c r="S50" s="5" t="n">
        <v>0</v>
      </c>
      <c r="T50" s="5" t="n">
        <v>0</v>
      </c>
      <c r="U50" s="5" t="n">
        <v>2</v>
      </c>
      <c r="V50" s="5" t="n">
        <v>8</v>
      </c>
      <c r="W50" s="5" t="n">
        <v>8</v>
      </c>
      <c r="X50" s="5" t="n">
        <v>0</v>
      </c>
      <c r="Y50" s="5" t="n">
        <v>0</v>
      </c>
      <c r="Z50" s="5" t="n">
        <v>0</v>
      </c>
      <c r="AA50" s="5" t="n">
        <v>0</v>
      </c>
      <c r="AB50" s="5" t="n">
        <v>43.849384</v>
      </c>
      <c r="AC50" s="5" t="inlineStr">
        <is>
          <t>Wie kommen Forschung, Unternehmen und öffentliche Akteure schneller in gemeinsame Umsetzungsprojekte?</t>
        </is>
      </c>
      <c r="AD50" s="5" t="inlineStr">
        <is>
          <t>Hochschule-Wirtschaft-Transfer: Boehringer Ingelheim Pharma GmbH &amp; Co. KG (profit_anchor, 4) + Handwerkskammern Rheinland-Pfalz (implementation_anchor, 4).</t>
        </is>
      </c>
      <c r="AE50" s="5" t="inlineStr">
        <is>
          <t>Boehringer Ingelheim Pharma GmbH &amp; Co. KG | Handwerkskammern Rheinland-Pfalz</t>
        </is>
      </c>
      <c r="AF50" s="5" t="inlineStr">
        <is>
          <t>hochschule-wirtschaft-transfer-boehringer-ingelheim-pharma-gmbh-co-kg-handwerkskammern-rheinlan</t>
        </is>
      </c>
    </row>
    <row r="51" ht="30" customHeight="1" s="46">
      <c r="A51" s="5" t="inlineStr">
        <is>
          <t>C0050</t>
        </is>
      </c>
      <c r="B51" s="5" t="inlineStr">
        <is>
          <t>x_0050</t>
        </is>
      </c>
      <c r="C51" s="5" t="n">
        <v>0</v>
      </c>
      <c r="D51" s="5" t="inlineStr">
        <is>
          <t>Handwerkskammern Rheinland-Pfalz</t>
        </is>
      </c>
      <c r="E51" s="5" t="inlineStr">
        <is>
          <t>ITK Engineering GmbH</t>
        </is>
      </c>
      <c r="F51" s="5" t="n">
        <v>32</v>
      </c>
      <c r="G51" s="5" t="n">
        <v>47</v>
      </c>
      <c r="H51" s="5" t="inlineStr">
        <is>
          <t>implementation_anchor</t>
        </is>
      </c>
      <c r="I51" t="inlineStr">
        <is>
          <t>chamber_association_anchor</t>
        </is>
      </c>
      <c r="J51" s="5" t="inlineStr">
        <is>
          <t>profit_anchor</t>
        </is>
      </c>
      <c r="K51" t="inlineStr">
        <is>
          <t>technology_digital_anchor</t>
        </is>
      </c>
      <c r="L51" s="5" t="inlineStr">
        <is>
          <t>wissen</t>
        </is>
      </c>
      <c r="M51" s="5" t="inlineStr">
        <is>
          <t>hochschule_wirtschaft_transfer</t>
        </is>
      </c>
      <c r="N51" s="5" t="inlineStr">
        <is>
          <t>Hochschule-Wirtschaft-Transfer</t>
        </is>
      </c>
      <c r="O51" s="5" t="n">
        <v>4</v>
      </c>
      <c r="P51" s="5" t="n">
        <v>4</v>
      </c>
      <c r="Q51" s="5" t="n">
        <v>12</v>
      </c>
      <c r="R51" s="5" t="n">
        <v>4</v>
      </c>
      <c r="S51" s="5" t="n">
        <v>0</v>
      </c>
      <c r="T51" s="5" t="n">
        <v>0</v>
      </c>
      <c r="U51" s="5" t="n">
        <v>2</v>
      </c>
      <c r="V51" s="5" t="n">
        <v>8</v>
      </c>
      <c r="W51" s="5" t="n">
        <v>8</v>
      </c>
      <c r="X51" s="5" t="n">
        <v>0</v>
      </c>
      <c r="Y51" s="5" t="n">
        <v>0</v>
      </c>
      <c r="Z51" s="5" t="n">
        <v>0</v>
      </c>
      <c r="AA51" s="5" t="n">
        <v>0</v>
      </c>
      <c r="AB51" s="5" t="n">
        <v>45.639886</v>
      </c>
      <c r="AC51" s="5" t="inlineStr">
        <is>
          <t>Wie kommen Forschung, Unternehmen und öffentliche Akteure schneller in gemeinsame Umsetzungsprojekte?</t>
        </is>
      </c>
      <c r="AD51" s="5" t="inlineStr">
        <is>
          <t>Hochschule-Wirtschaft-Transfer: Handwerkskammern Rheinland-Pfalz (implementation_anchor, 4) + ITK Engineering GmbH (profit_anchor, 4).</t>
        </is>
      </c>
      <c r="AE51" s="5" t="inlineStr">
        <is>
          <t>Handwerkskammern Rheinland-Pfalz | ITK Engineering GmbH</t>
        </is>
      </c>
      <c r="AF51" s="5" t="inlineStr">
        <is>
          <t>hochschule-wirtschaft-transfer-handwerkskammern-rheinland-pfalz-itk-engineering-gmbh</t>
        </is>
      </c>
    </row>
    <row r="52" ht="30" customHeight="1" s="46">
      <c r="A52" s="5" t="inlineStr">
        <is>
          <t>C0051</t>
        </is>
      </c>
      <c r="B52" s="5" t="inlineStr">
        <is>
          <t>x_0051</t>
        </is>
      </c>
      <c r="C52" s="5" t="n">
        <v>0</v>
      </c>
      <c r="D52" s="5" t="inlineStr">
        <is>
          <t>Handwerkskammern Rheinland-Pfalz</t>
        </is>
      </c>
      <c r="E52" s="5" t="inlineStr">
        <is>
          <t>SCHOTT AG</t>
        </is>
      </c>
      <c r="F52" s="5" t="n">
        <v>32</v>
      </c>
      <c r="G52" s="5" t="n">
        <v>78</v>
      </c>
      <c r="H52" s="5" t="inlineStr">
        <is>
          <t>implementation_anchor</t>
        </is>
      </c>
      <c r="I52" t="inlineStr">
        <is>
          <t>chamber_association_anchor</t>
        </is>
      </c>
      <c r="J52" s="5" t="inlineStr">
        <is>
          <t>profit_anchor</t>
        </is>
      </c>
      <c r="K52" t="inlineStr">
        <is>
          <t>industry_anchor</t>
        </is>
      </c>
      <c r="L52" s="5" t="inlineStr">
        <is>
          <t>wissen</t>
        </is>
      </c>
      <c r="M52" s="5" t="inlineStr">
        <is>
          <t>hochschule_wirtschaft_transfer</t>
        </is>
      </c>
      <c r="N52" s="5" t="inlineStr">
        <is>
          <t>Hochschule-Wirtschaft-Transfer</t>
        </is>
      </c>
      <c r="O52" s="5" t="n">
        <v>4</v>
      </c>
      <c r="P52" s="5" t="n">
        <v>4</v>
      </c>
      <c r="Q52" s="5" t="n">
        <v>12</v>
      </c>
      <c r="R52" s="5" t="n">
        <v>4</v>
      </c>
      <c r="S52" s="5" t="n">
        <v>0</v>
      </c>
      <c r="T52" s="5" t="n">
        <v>0</v>
      </c>
      <c r="U52" s="5" t="n">
        <v>2</v>
      </c>
      <c r="V52" s="5" t="n">
        <v>8</v>
      </c>
      <c r="W52" s="5" t="n">
        <v>8</v>
      </c>
      <c r="X52" s="5" t="n">
        <v>0</v>
      </c>
      <c r="Y52" s="5" t="n">
        <v>0</v>
      </c>
      <c r="Z52" s="5" t="n">
        <v>0</v>
      </c>
      <c r="AA52" s="5" t="n">
        <v>0</v>
      </c>
      <c r="AB52" s="5" t="n">
        <v>44.344873</v>
      </c>
      <c r="AC52" s="5" t="inlineStr">
        <is>
          <t>Wie kommen Forschung, Unternehmen und öffentliche Akteure schneller in gemeinsame Umsetzungsprojekte?</t>
        </is>
      </c>
      <c r="AD52" s="5" t="inlineStr">
        <is>
          <t>Hochschule-Wirtschaft-Transfer: Handwerkskammern Rheinland-Pfalz (implementation_anchor, 4) + SCHOTT AG (profit_anchor, 4).</t>
        </is>
      </c>
      <c r="AE52" s="5" t="inlineStr">
        <is>
          <t>Handwerkskammern Rheinland-Pfalz | SCHOTT AG</t>
        </is>
      </c>
      <c r="AF52" s="5" t="inlineStr">
        <is>
          <t>hochschule-wirtschaft-transfer-handwerkskammern-rheinland-pfalz-schott-ag</t>
        </is>
      </c>
    </row>
    <row r="53" ht="30" customHeight="1" s="46">
      <c r="A53" s="5" t="inlineStr">
        <is>
          <t>C0052</t>
        </is>
      </c>
      <c r="B53" s="5" t="inlineStr">
        <is>
          <t>x_0052</t>
        </is>
      </c>
      <c r="C53" s="5" t="n">
        <v>0</v>
      </c>
      <c r="D53" s="5" t="inlineStr">
        <is>
          <t>Architektenkammer Rheinland-Pfalz</t>
        </is>
      </c>
      <c r="E53" s="5" t="inlineStr">
        <is>
          <t>Mainzer Stadtwerke AG</t>
        </is>
      </c>
      <c r="F53" s="5" t="n">
        <v>3</v>
      </c>
      <c r="G53" s="5" t="n">
        <v>68</v>
      </c>
      <c r="H53" s="5" t="inlineStr">
        <is>
          <t>implementation_anchor</t>
        </is>
      </c>
      <c r="I53" t="inlineStr">
        <is>
          <t>construction_planning_anchor</t>
        </is>
      </c>
      <c r="J53" s="5" t="inlineStr">
        <is>
          <t>profit_anchor</t>
        </is>
      </c>
      <c r="K53" t="inlineStr">
        <is>
          <t>energy_infrastructure_anchor</t>
        </is>
      </c>
      <c r="L53" s="5" t="inlineStr">
        <is>
          <t>nachhaltigkeit</t>
        </is>
      </c>
      <c r="M53" s="5" t="inlineStr">
        <is>
          <t>klima_anpassung_stadt_land</t>
        </is>
      </c>
      <c r="N53" s="5" t="inlineStr">
        <is>
          <t>Klimaanpassung in Stadt und Land</t>
        </is>
      </c>
      <c r="O53" s="5" t="n">
        <v>4</v>
      </c>
      <c r="P53" s="5" t="n">
        <v>4</v>
      </c>
      <c r="Q53" s="5" t="n">
        <v>12</v>
      </c>
      <c r="R53" s="5" t="n">
        <v>4</v>
      </c>
      <c r="S53" s="5" t="n">
        <v>0</v>
      </c>
      <c r="T53" s="5" t="n">
        <v>0</v>
      </c>
      <c r="U53" s="5" t="n">
        <v>2</v>
      </c>
      <c r="V53" s="5" t="n">
        <v>8</v>
      </c>
      <c r="W53" s="5" t="n">
        <v>8</v>
      </c>
      <c r="X53" s="5" t="n">
        <v>0</v>
      </c>
      <c r="Y53" s="5" t="n">
        <v>0</v>
      </c>
      <c r="Z53" s="5" t="n">
        <v>0</v>
      </c>
      <c r="AA53" s="5" t="n">
        <v>0</v>
      </c>
      <c r="AB53" s="5" t="n">
        <v>36.904756</v>
      </c>
      <c r="AC53" s="5" t="inlineStr">
        <is>
          <t>Wie reagieren Kommunen, Bauwirtschaft, Landwirtschaft und Infrastruktur auf Hitze, Starkregen und Flächendruck?</t>
        </is>
      </c>
      <c r="AD53" s="5" t="inlineStr">
        <is>
          <t>Klimaanpassung in Stadt und Land: Architektenkammer Rheinland-Pfalz (implementation_anchor, 4) + Mainzer Stadtwerke AG (profit_anchor, 4).</t>
        </is>
      </c>
      <c r="AE53" s="5" t="inlineStr">
        <is>
          <t>Architektenkammer Rheinland-Pfalz | Mainzer Stadtwerke AG</t>
        </is>
      </c>
      <c r="AF53" s="5" t="inlineStr">
        <is>
          <t>klima-anpassung-stadt-land-architektenkammer-rheinland-pfalz-mainzer-stadtwerke-ag</t>
        </is>
      </c>
    </row>
    <row r="54" ht="30" customHeight="1" s="46">
      <c r="A54" s="5" t="inlineStr">
        <is>
          <t>C0053</t>
        </is>
      </c>
      <c r="B54" s="5" t="inlineStr">
        <is>
          <t>x_0053</t>
        </is>
      </c>
      <c r="C54" s="5" t="n">
        <v>0</v>
      </c>
      <c r="D54" s="5" t="inlineStr">
        <is>
          <t>Bauern- und Winzerverband Rheinland-Pfalz Süd e.V.</t>
        </is>
      </c>
      <c r="E54" s="5" t="inlineStr">
        <is>
          <t>JUWI GmbH</t>
        </is>
      </c>
      <c r="F54" s="5" t="n">
        <v>7</v>
      </c>
      <c r="G54" s="5" t="n">
        <v>51</v>
      </c>
      <c r="H54" s="5" t="inlineStr">
        <is>
          <t>implementation_anchor</t>
        </is>
      </c>
      <c r="I54" t="inlineStr">
        <is>
          <t>agriculture_wine_anchor</t>
        </is>
      </c>
      <c r="J54" s="5" t="inlineStr">
        <is>
          <t>profit_anchor</t>
        </is>
      </c>
      <c r="K54" t="inlineStr">
        <is>
          <t>energy_infrastructure_anchor</t>
        </is>
      </c>
      <c r="L54" s="5" t="inlineStr">
        <is>
          <t>nachhaltigkeit</t>
        </is>
      </c>
      <c r="M54" s="5" t="inlineStr">
        <is>
          <t>klima_anpassung_stadt_land</t>
        </is>
      </c>
      <c r="N54" s="5" t="inlineStr">
        <is>
          <t>Klimaanpassung in Stadt und Land</t>
        </is>
      </c>
      <c r="O54" s="5" t="n">
        <v>5</v>
      </c>
      <c r="P54" s="5" t="n">
        <v>3</v>
      </c>
      <c r="Q54" s="5" t="n">
        <v>12</v>
      </c>
      <c r="R54" s="5" t="n">
        <v>4</v>
      </c>
      <c r="S54" s="5" t="n">
        <v>0</v>
      </c>
      <c r="T54" s="5" t="n">
        <v>0</v>
      </c>
      <c r="U54" s="5" t="n">
        <v>2</v>
      </c>
      <c r="V54" s="5" t="n">
        <v>8</v>
      </c>
      <c r="W54" s="5" t="n">
        <v>8</v>
      </c>
      <c r="X54" s="5" t="n">
        <v>0</v>
      </c>
      <c r="Y54" s="5" t="n">
        <v>0</v>
      </c>
      <c r="Z54" s="5" t="n">
        <v>0</v>
      </c>
      <c r="AA54" s="5" t="n">
        <v>0</v>
      </c>
      <c r="AB54" s="5" t="n">
        <v>80.05765599999999</v>
      </c>
      <c r="AC54" s="5" t="inlineStr">
        <is>
          <t>Wie reagieren Kommunen, Bauwirtschaft, Landwirtschaft und Infrastruktur auf Hitze, Starkregen und Flächendruck?</t>
        </is>
      </c>
      <c r="AD54" s="5" t="inlineStr">
        <is>
          <t>Klimaanpassung in Stadt und Land: Bauern- und Winzerverband Rheinland-Pfalz Süd e.V. (implementation_anchor, 5) + JUWI GmbH (profit_anchor, 3).</t>
        </is>
      </c>
      <c r="AE54" s="5" t="inlineStr">
        <is>
          <t>Bauern- und Winzerverband Rheinland-Pfalz Süd e.V. | JUWI GmbH</t>
        </is>
      </c>
      <c r="AF54" s="5" t="inlineStr">
        <is>
          <t>klima-anpassung-stadt-land-bauern-und-winzerverband-rheinland-pfalz-süd-e-v-juwi-gmbh</t>
        </is>
      </c>
    </row>
    <row r="55" ht="30" customHeight="1" s="46">
      <c r="A55" s="5" t="inlineStr">
        <is>
          <t>C0054</t>
        </is>
      </c>
      <c r="B55" s="5" t="inlineStr">
        <is>
          <t>x_0054</t>
        </is>
      </c>
      <c r="C55" s="5" t="n">
        <v>0</v>
      </c>
      <c r="D55" s="5" t="inlineStr">
        <is>
          <t>Bauern- und Winzerverband Rheinland-Pfalz Süd e.V.</t>
        </is>
      </c>
      <c r="E55" s="5" t="inlineStr">
        <is>
          <t>Pfalzwerke AG</t>
        </is>
      </c>
      <c r="F55" s="5" t="n">
        <v>7</v>
      </c>
      <c r="G55" s="5" t="n">
        <v>72</v>
      </c>
      <c r="H55" s="5" t="inlineStr">
        <is>
          <t>implementation_anchor</t>
        </is>
      </c>
      <c r="I55" t="inlineStr">
        <is>
          <t>agriculture_wine_anchor</t>
        </is>
      </c>
      <c r="J55" s="5" t="inlineStr">
        <is>
          <t>profit_anchor</t>
        </is>
      </c>
      <c r="K55" t="inlineStr">
        <is>
          <t>energy_infrastructure_anchor</t>
        </is>
      </c>
      <c r="L55" s="5" t="inlineStr">
        <is>
          <t>nachhaltigkeit</t>
        </is>
      </c>
      <c r="M55" s="5" t="inlineStr">
        <is>
          <t>klima_anpassung_stadt_land</t>
        </is>
      </c>
      <c r="N55" s="5" t="inlineStr">
        <is>
          <t>Klimaanpassung in Stadt und Land</t>
        </is>
      </c>
      <c r="O55" s="5" t="n">
        <v>5</v>
      </c>
      <c r="P55" s="5" t="n">
        <v>3</v>
      </c>
      <c r="Q55" s="5" t="n">
        <v>12</v>
      </c>
      <c r="R55" s="5" t="n">
        <v>4</v>
      </c>
      <c r="S55" s="5" t="n">
        <v>0</v>
      </c>
      <c r="T55" s="5" t="n">
        <v>0</v>
      </c>
      <c r="U55" s="5" t="n">
        <v>2</v>
      </c>
      <c r="V55" s="5" t="n">
        <v>8</v>
      </c>
      <c r="W55" s="5" t="n">
        <v>8</v>
      </c>
      <c r="X55" s="5" t="n">
        <v>0</v>
      </c>
      <c r="Y55" s="5" t="n">
        <v>0</v>
      </c>
      <c r="Z55" s="5" t="n">
        <v>0</v>
      </c>
      <c r="AA55" s="5" t="n">
        <v>0</v>
      </c>
      <c r="AB55" s="5" t="n">
        <v>80.05765599999999</v>
      </c>
      <c r="AC55" s="5" t="inlineStr">
        <is>
          <t>Wie reagieren Kommunen, Bauwirtschaft, Landwirtschaft und Infrastruktur auf Hitze, Starkregen und Flächendruck?</t>
        </is>
      </c>
      <c r="AD55" s="5" t="inlineStr">
        <is>
          <t>Klimaanpassung in Stadt und Land: Bauern- und Winzerverband Rheinland-Pfalz Süd e.V. (implementation_anchor, 5) + Pfalzwerke AG (profit_anchor, 3).</t>
        </is>
      </c>
      <c r="AE55" s="5" t="inlineStr">
        <is>
          <t>Bauern- und Winzerverband Rheinland-Pfalz Süd e.V. | Pfalzwerke AG</t>
        </is>
      </c>
      <c r="AF55" s="5" t="inlineStr">
        <is>
          <t>klima-anpassung-stadt-land-bauern-und-winzerverband-rheinland-pfalz-süd-e-v-pfalzwerke-ag</t>
        </is>
      </c>
    </row>
    <row r="56" ht="30" customHeight="1" s="46">
      <c r="A56" s="5" t="inlineStr">
        <is>
          <t>C0055</t>
        </is>
      </c>
      <c r="B56" s="5" t="inlineStr">
        <is>
          <t>x_0055</t>
        </is>
      </c>
      <c r="C56" s="5" t="n">
        <v>0</v>
      </c>
      <c r="D56" s="5" t="inlineStr">
        <is>
          <t>Bauern- und Winzerverband Rheinland-Pfalz Süd e.V.</t>
        </is>
      </c>
      <c r="E56" s="5" t="inlineStr">
        <is>
          <t>Transdev GmbH</t>
        </is>
      </c>
      <c r="F56" s="5" t="n">
        <v>7</v>
      </c>
      <c r="G56" s="5" t="n">
        <v>90</v>
      </c>
      <c r="H56" s="5" t="inlineStr">
        <is>
          <t>implementation_anchor</t>
        </is>
      </c>
      <c r="I56" t="inlineStr">
        <is>
          <t>agriculture_wine_anchor</t>
        </is>
      </c>
      <c r="J56" s="5" t="inlineStr">
        <is>
          <t>profit_anchor</t>
        </is>
      </c>
      <c r="K56" t="inlineStr">
        <is>
          <t>energy_infrastructure_anchor</t>
        </is>
      </c>
      <c r="L56" s="5" t="inlineStr">
        <is>
          <t>nachhaltigkeit</t>
        </is>
      </c>
      <c r="M56" s="5" t="inlineStr">
        <is>
          <t>klima_anpassung_stadt_land</t>
        </is>
      </c>
      <c r="N56" s="5" t="inlineStr">
        <is>
          <t>Klimaanpassung in Stadt und Land</t>
        </is>
      </c>
      <c r="O56" s="5" t="n">
        <v>5</v>
      </c>
      <c r="P56" s="5" t="n">
        <v>3</v>
      </c>
      <c r="Q56" s="5" t="n">
        <v>12</v>
      </c>
      <c r="R56" s="5" t="n">
        <v>4</v>
      </c>
      <c r="S56" s="5" t="n">
        <v>0</v>
      </c>
      <c r="T56" s="5" t="n">
        <v>0</v>
      </c>
      <c r="U56" s="5" t="n">
        <v>2</v>
      </c>
      <c r="V56" s="5" t="n">
        <v>8</v>
      </c>
      <c r="W56" s="5" t="n">
        <v>8</v>
      </c>
      <c r="X56" s="5" t="n">
        <v>0</v>
      </c>
      <c r="Y56" s="5" t="n">
        <v>0</v>
      </c>
      <c r="Z56" s="5" t="n">
        <v>0</v>
      </c>
      <c r="AA56" s="5" t="n">
        <v>0</v>
      </c>
      <c r="AB56" s="5" t="n">
        <v>80.05765599999999</v>
      </c>
      <c r="AC56" s="5" t="inlineStr">
        <is>
          <t>Wie reagieren Kommunen, Bauwirtschaft, Landwirtschaft und Infrastruktur auf Hitze, Starkregen und Flächendruck?</t>
        </is>
      </c>
      <c r="AD56" s="5" t="inlineStr">
        <is>
          <t>Klimaanpassung in Stadt und Land: Bauern- und Winzerverband Rheinland-Pfalz Süd e.V. (implementation_anchor, 5) + Transdev GmbH (profit_anchor, 3).</t>
        </is>
      </c>
      <c r="AE56" s="5" t="inlineStr">
        <is>
          <t>Bauern- und Winzerverband Rheinland-Pfalz Süd e.V. | Transdev GmbH</t>
        </is>
      </c>
      <c r="AF56" s="5" t="inlineStr">
        <is>
          <t>klima-anpassung-stadt-land-bauern-und-winzerverband-rheinland-pfalz-süd-e-v-transdev-gmbh</t>
        </is>
      </c>
    </row>
    <row r="57" ht="30" customHeight="1" s="46">
      <c r="A57" s="5" t="inlineStr">
        <is>
          <t>C0056</t>
        </is>
      </c>
      <c r="B57" s="5" t="inlineStr">
        <is>
          <t>x_0056</t>
        </is>
      </c>
      <c r="C57" s="5" t="n">
        <v>0</v>
      </c>
      <c r="D57" s="5" t="inlineStr">
        <is>
          <t>Bauern- und Winzerverband Rheinland-Pfalz Süd e.V.</t>
        </is>
      </c>
      <c r="E57" s="5" t="inlineStr">
        <is>
          <t>Westenergie AG</t>
        </is>
      </c>
      <c r="F57" s="5" t="n">
        <v>7</v>
      </c>
      <c r="G57" s="5" t="n">
        <v>98</v>
      </c>
      <c r="H57" s="5" t="inlineStr">
        <is>
          <t>implementation_anchor</t>
        </is>
      </c>
      <c r="I57" t="inlineStr">
        <is>
          <t>agriculture_wine_anchor</t>
        </is>
      </c>
      <c r="J57" s="5" t="inlineStr">
        <is>
          <t>profit_anchor</t>
        </is>
      </c>
      <c r="K57" t="inlineStr">
        <is>
          <t>energy_infrastructure_anchor</t>
        </is>
      </c>
      <c r="L57" s="5" t="inlineStr">
        <is>
          <t>nachhaltigkeit</t>
        </is>
      </c>
      <c r="M57" s="5" t="inlineStr">
        <is>
          <t>klima_anpassung_stadt_land</t>
        </is>
      </c>
      <c r="N57" s="5" t="inlineStr">
        <is>
          <t>Klimaanpassung in Stadt und Land</t>
        </is>
      </c>
      <c r="O57" s="5" t="n">
        <v>5</v>
      </c>
      <c r="P57" s="5" t="n">
        <v>3</v>
      </c>
      <c r="Q57" s="5" t="n">
        <v>12</v>
      </c>
      <c r="R57" s="5" t="n">
        <v>4</v>
      </c>
      <c r="S57" s="5" t="n">
        <v>0</v>
      </c>
      <c r="T57" s="5" t="n">
        <v>0</v>
      </c>
      <c r="U57" s="5" t="n">
        <v>2</v>
      </c>
      <c r="V57" s="5" t="n">
        <v>8</v>
      </c>
      <c r="W57" s="5" t="n">
        <v>8</v>
      </c>
      <c r="X57" s="5" t="n">
        <v>0</v>
      </c>
      <c r="Y57" s="5" t="n">
        <v>0</v>
      </c>
      <c r="Z57" s="5" t="n">
        <v>0</v>
      </c>
      <c r="AA57" s="5" t="n">
        <v>0</v>
      </c>
      <c r="AB57" s="5" t="n">
        <v>80.05765599999999</v>
      </c>
      <c r="AC57" s="5" t="inlineStr">
        <is>
          <t>Wie reagieren Kommunen, Bauwirtschaft, Landwirtschaft und Infrastruktur auf Hitze, Starkregen und Flächendruck?</t>
        </is>
      </c>
      <c r="AD57" s="5" t="inlineStr">
        <is>
          <t>Klimaanpassung in Stadt und Land: Bauern- und Winzerverband Rheinland-Pfalz Süd e.V. (implementation_anchor, 5) + Westenergie AG (profit_anchor, 3).</t>
        </is>
      </c>
      <c r="AE57" s="5" t="inlineStr">
        <is>
          <t>Bauern- und Winzerverband Rheinland-Pfalz Süd e.V. | Westenergie AG</t>
        </is>
      </c>
      <c r="AF57" s="5" t="inlineStr">
        <is>
          <t>klima-anpassung-stadt-land-bauern-und-winzerverband-rheinland-pfalz-süd-e-v-westenergie-ag</t>
        </is>
      </c>
    </row>
    <row r="58" ht="30" customHeight="1" s="46">
      <c r="A58" s="5" t="inlineStr">
        <is>
          <t>C0057</t>
        </is>
      </c>
      <c r="B58" s="5" t="inlineStr">
        <is>
          <t>x_0057</t>
        </is>
      </c>
      <c r="C58" s="5" t="n">
        <v>0</v>
      </c>
      <c r="D58" s="5" t="inlineStr">
        <is>
          <t>Entwicklungsagentur Rheinland-Pfalz e.V.</t>
        </is>
      </c>
      <c r="E58" s="5" t="inlineStr">
        <is>
          <t>JUWI GmbH</t>
        </is>
      </c>
      <c r="F58" s="5" t="n">
        <v>25</v>
      </c>
      <c r="G58" s="5" t="n">
        <v>51</v>
      </c>
      <c r="H58" s="5" t="inlineStr">
        <is>
          <t>implementation_anchor</t>
        </is>
      </c>
      <c r="I58" t="inlineStr">
        <is>
          <t>public_policy_anchor</t>
        </is>
      </c>
      <c r="J58" s="5" t="inlineStr">
        <is>
          <t>profit_anchor</t>
        </is>
      </c>
      <c r="K58" t="inlineStr">
        <is>
          <t>energy_infrastructure_anchor</t>
        </is>
      </c>
      <c r="L58" s="5" t="inlineStr">
        <is>
          <t>nachhaltigkeit</t>
        </is>
      </c>
      <c r="M58" s="5" t="inlineStr">
        <is>
          <t>klima_anpassung_stadt_land</t>
        </is>
      </c>
      <c r="N58" s="5" t="inlineStr">
        <is>
          <t>Klimaanpassung in Stadt und Land</t>
        </is>
      </c>
      <c r="O58" s="5" t="n">
        <v>5</v>
      </c>
      <c r="P58" s="5" t="n">
        <v>3</v>
      </c>
      <c r="Q58" s="5" t="n">
        <v>12</v>
      </c>
      <c r="R58" s="5" t="n">
        <v>4</v>
      </c>
      <c r="S58" s="5" t="n">
        <v>0</v>
      </c>
      <c r="T58" s="5" t="n">
        <v>0</v>
      </c>
      <c r="U58" s="5" t="n">
        <v>2</v>
      </c>
      <c r="V58" s="5" t="n">
        <v>8</v>
      </c>
      <c r="W58" s="5" t="n">
        <v>8</v>
      </c>
      <c r="X58" s="5" t="n">
        <v>0</v>
      </c>
      <c r="Y58" s="5" t="n">
        <v>0</v>
      </c>
      <c r="Z58" s="5" t="n">
        <v>0</v>
      </c>
      <c r="AA58" s="5" t="n">
        <v>0</v>
      </c>
      <c r="AB58" s="5" t="n">
        <v>40.028828</v>
      </c>
      <c r="AC58" s="5" t="inlineStr">
        <is>
          <t>Wie reagieren Kommunen, Bauwirtschaft, Landwirtschaft und Infrastruktur auf Hitze, Starkregen und Flächendruck?</t>
        </is>
      </c>
      <c r="AD58" s="5" t="inlineStr">
        <is>
          <t>Klimaanpassung in Stadt und Land: Entwicklungsagentur Rheinland-Pfalz e.V. (implementation_anchor, 5) + JUWI GmbH (profit_anchor, 3).</t>
        </is>
      </c>
      <c r="AE58" s="5" t="inlineStr">
        <is>
          <t>Entwicklungsagentur Rheinland-Pfalz e.V. | JUWI GmbH</t>
        </is>
      </c>
      <c r="AF58" s="5" t="inlineStr">
        <is>
          <t>klima-anpassung-stadt-land-entwicklungsagentur-rheinland-pfalz-e-v-juwi-gmbh</t>
        </is>
      </c>
    </row>
    <row r="59" ht="30" customHeight="1" s="46">
      <c r="A59" s="5" t="inlineStr">
        <is>
          <t>C0058</t>
        </is>
      </c>
      <c r="B59" s="5" t="inlineStr">
        <is>
          <t>x_0058</t>
        </is>
      </c>
      <c r="C59" s="5" t="n">
        <v>0</v>
      </c>
      <c r="D59" s="5" t="inlineStr">
        <is>
          <t>Entwicklungsagentur Rheinland-Pfalz e.V.</t>
        </is>
      </c>
      <c r="E59" s="5" t="inlineStr">
        <is>
          <t>Pfalzwerke AG</t>
        </is>
      </c>
      <c r="F59" s="5" t="n">
        <v>25</v>
      </c>
      <c r="G59" s="5" t="n">
        <v>72</v>
      </c>
      <c r="H59" s="5" t="inlineStr">
        <is>
          <t>implementation_anchor</t>
        </is>
      </c>
      <c r="I59" t="inlineStr">
        <is>
          <t>public_policy_anchor</t>
        </is>
      </c>
      <c r="J59" s="5" t="inlineStr">
        <is>
          <t>profit_anchor</t>
        </is>
      </c>
      <c r="K59" t="inlineStr">
        <is>
          <t>energy_infrastructure_anchor</t>
        </is>
      </c>
      <c r="L59" s="5" t="inlineStr">
        <is>
          <t>nachhaltigkeit</t>
        </is>
      </c>
      <c r="M59" s="5" t="inlineStr">
        <is>
          <t>klima_anpassung_stadt_land</t>
        </is>
      </c>
      <c r="N59" s="5" t="inlineStr">
        <is>
          <t>Klimaanpassung in Stadt und Land</t>
        </is>
      </c>
      <c r="O59" s="5" t="n">
        <v>5</v>
      </c>
      <c r="P59" s="5" t="n">
        <v>3</v>
      </c>
      <c r="Q59" s="5" t="n">
        <v>12</v>
      </c>
      <c r="R59" s="5" t="n">
        <v>4</v>
      </c>
      <c r="S59" s="5" t="n">
        <v>0</v>
      </c>
      <c r="T59" s="5" t="n">
        <v>0</v>
      </c>
      <c r="U59" s="5" t="n">
        <v>2</v>
      </c>
      <c r="V59" s="5" t="n">
        <v>8</v>
      </c>
      <c r="W59" s="5" t="n">
        <v>8</v>
      </c>
      <c r="X59" s="5" t="n">
        <v>0</v>
      </c>
      <c r="Y59" s="5" t="n">
        <v>0</v>
      </c>
      <c r="Z59" s="5" t="n">
        <v>0</v>
      </c>
      <c r="AA59" s="5" t="n">
        <v>0</v>
      </c>
      <c r="AB59" s="5" t="n">
        <v>40.028828</v>
      </c>
      <c r="AC59" s="5" t="inlineStr">
        <is>
          <t>Wie reagieren Kommunen, Bauwirtschaft, Landwirtschaft und Infrastruktur auf Hitze, Starkregen und Flächendruck?</t>
        </is>
      </c>
      <c r="AD59" s="5" t="inlineStr">
        <is>
          <t>Klimaanpassung in Stadt und Land: Entwicklungsagentur Rheinland-Pfalz e.V. (implementation_anchor, 5) + Pfalzwerke AG (profit_anchor, 3).</t>
        </is>
      </c>
      <c r="AE59" s="5" t="inlineStr">
        <is>
          <t>Entwicklungsagentur Rheinland-Pfalz e.V. | Pfalzwerke AG</t>
        </is>
      </c>
      <c r="AF59" s="5" t="inlineStr">
        <is>
          <t>klima-anpassung-stadt-land-entwicklungsagentur-rheinland-pfalz-e-v-pfalzwerke-ag</t>
        </is>
      </c>
    </row>
    <row r="60" ht="30" customHeight="1" s="46">
      <c r="A60" s="5" t="inlineStr">
        <is>
          <t>C0059</t>
        </is>
      </c>
      <c r="B60" s="5" t="inlineStr">
        <is>
          <t>x_0059</t>
        </is>
      </c>
      <c r="C60" s="5" t="n">
        <v>0</v>
      </c>
      <c r="D60" s="5" t="inlineStr">
        <is>
          <t>Entwicklungsagentur Rheinland-Pfalz e.V.</t>
        </is>
      </c>
      <c r="E60" s="5" t="inlineStr">
        <is>
          <t>Transdev GmbH</t>
        </is>
      </c>
      <c r="F60" s="5" t="n">
        <v>25</v>
      </c>
      <c r="G60" s="5" t="n">
        <v>90</v>
      </c>
      <c r="H60" s="5" t="inlineStr">
        <is>
          <t>implementation_anchor</t>
        </is>
      </c>
      <c r="I60" t="inlineStr">
        <is>
          <t>public_policy_anchor</t>
        </is>
      </c>
      <c r="J60" s="5" t="inlineStr">
        <is>
          <t>profit_anchor</t>
        </is>
      </c>
      <c r="K60" t="inlineStr">
        <is>
          <t>energy_infrastructure_anchor</t>
        </is>
      </c>
      <c r="L60" s="5" t="inlineStr">
        <is>
          <t>nachhaltigkeit</t>
        </is>
      </c>
      <c r="M60" s="5" t="inlineStr">
        <is>
          <t>klima_anpassung_stadt_land</t>
        </is>
      </c>
      <c r="N60" s="5" t="inlineStr">
        <is>
          <t>Klimaanpassung in Stadt und Land</t>
        </is>
      </c>
      <c r="O60" s="5" t="n">
        <v>5</v>
      </c>
      <c r="P60" s="5" t="n">
        <v>3</v>
      </c>
      <c r="Q60" s="5" t="n">
        <v>12</v>
      </c>
      <c r="R60" s="5" t="n">
        <v>4</v>
      </c>
      <c r="S60" s="5" t="n">
        <v>0</v>
      </c>
      <c r="T60" s="5" t="n">
        <v>0</v>
      </c>
      <c r="U60" s="5" t="n">
        <v>2</v>
      </c>
      <c r="V60" s="5" t="n">
        <v>8</v>
      </c>
      <c r="W60" s="5" t="n">
        <v>8</v>
      </c>
      <c r="X60" s="5" t="n">
        <v>0</v>
      </c>
      <c r="Y60" s="5" t="n">
        <v>0</v>
      </c>
      <c r="Z60" s="5" t="n">
        <v>0</v>
      </c>
      <c r="AA60" s="5" t="n">
        <v>0</v>
      </c>
      <c r="AB60" s="5" t="n">
        <v>40.028828</v>
      </c>
      <c r="AC60" s="5" t="inlineStr">
        <is>
          <t>Wie reagieren Kommunen, Bauwirtschaft, Landwirtschaft und Infrastruktur auf Hitze, Starkregen und Flächendruck?</t>
        </is>
      </c>
      <c r="AD60" s="5" t="inlineStr">
        <is>
          <t>Klimaanpassung in Stadt und Land: Entwicklungsagentur Rheinland-Pfalz e.V. (implementation_anchor, 5) + Transdev GmbH (profit_anchor, 3).</t>
        </is>
      </c>
      <c r="AE60" s="5" t="inlineStr">
        <is>
          <t>Entwicklungsagentur Rheinland-Pfalz e.V. | Transdev GmbH</t>
        </is>
      </c>
      <c r="AF60" s="5" t="inlineStr">
        <is>
          <t>klima-anpassung-stadt-land-entwicklungsagentur-rheinland-pfalz-e-v-transdev-gmbh</t>
        </is>
      </c>
    </row>
    <row r="61" ht="30" customHeight="1" s="46">
      <c r="A61" s="5" t="inlineStr">
        <is>
          <t>C0060</t>
        </is>
      </c>
      <c r="B61" s="5" t="inlineStr">
        <is>
          <t>x_0060</t>
        </is>
      </c>
      <c r="C61" s="5" t="n">
        <v>0</v>
      </c>
      <c r="D61" s="5" t="inlineStr">
        <is>
          <t>Entwicklungsagentur Rheinland-Pfalz e.V.</t>
        </is>
      </c>
      <c r="E61" s="5" t="inlineStr">
        <is>
          <t>Westenergie AG</t>
        </is>
      </c>
      <c r="F61" s="5" t="n">
        <v>25</v>
      </c>
      <c r="G61" s="5" t="n">
        <v>98</v>
      </c>
      <c r="H61" s="5" t="inlineStr">
        <is>
          <t>implementation_anchor</t>
        </is>
      </c>
      <c r="I61" t="inlineStr">
        <is>
          <t>public_policy_anchor</t>
        </is>
      </c>
      <c r="J61" s="5" t="inlineStr">
        <is>
          <t>profit_anchor</t>
        </is>
      </c>
      <c r="K61" t="inlineStr">
        <is>
          <t>energy_infrastructure_anchor</t>
        </is>
      </c>
      <c r="L61" s="5" t="inlineStr">
        <is>
          <t>nachhaltigkeit</t>
        </is>
      </c>
      <c r="M61" s="5" t="inlineStr">
        <is>
          <t>klima_anpassung_stadt_land</t>
        </is>
      </c>
      <c r="N61" s="5" t="inlineStr">
        <is>
          <t>Klimaanpassung in Stadt und Land</t>
        </is>
      </c>
      <c r="O61" s="5" t="n">
        <v>5</v>
      </c>
      <c r="P61" s="5" t="n">
        <v>3</v>
      </c>
      <c r="Q61" s="5" t="n">
        <v>12</v>
      </c>
      <c r="R61" s="5" t="n">
        <v>4</v>
      </c>
      <c r="S61" s="5" t="n">
        <v>0</v>
      </c>
      <c r="T61" s="5" t="n">
        <v>0</v>
      </c>
      <c r="U61" s="5" t="n">
        <v>2</v>
      </c>
      <c r="V61" s="5" t="n">
        <v>8</v>
      </c>
      <c r="W61" s="5" t="n">
        <v>8</v>
      </c>
      <c r="X61" s="5" t="n">
        <v>0</v>
      </c>
      <c r="Y61" s="5" t="n">
        <v>0</v>
      </c>
      <c r="Z61" s="5" t="n">
        <v>0</v>
      </c>
      <c r="AA61" s="5" t="n">
        <v>0</v>
      </c>
      <c r="AB61" s="5" t="n">
        <v>40.028828</v>
      </c>
      <c r="AC61" s="5" t="inlineStr">
        <is>
          <t>Wie reagieren Kommunen, Bauwirtschaft, Landwirtschaft und Infrastruktur auf Hitze, Starkregen und Flächendruck?</t>
        </is>
      </c>
      <c r="AD61" s="5" t="inlineStr">
        <is>
          <t>Klimaanpassung in Stadt und Land: Entwicklungsagentur Rheinland-Pfalz e.V. (implementation_anchor, 5) + Westenergie AG (profit_anchor, 3).</t>
        </is>
      </c>
      <c r="AE61" s="5" t="inlineStr">
        <is>
          <t>Entwicklungsagentur Rheinland-Pfalz e.V. | Westenergie AG</t>
        </is>
      </c>
      <c r="AF61" s="5" t="inlineStr">
        <is>
          <t>klima-anpassung-stadt-land-entwicklungsagentur-rheinland-pfalz-e-v-westenergie-ag</t>
        </is>
      </c>
    </row>
    <row r="62" ht="30" customHeight="1" s="46">
      <c r="A62" s="5" t="inlineStr">
        <is>
          <t>C0061</t>
        </is>
      </c>
      <c r="B62" s="5" t="inlineStr">
        <is>
          <t>x_0061</t>
        </is>
      </c>
      <c r="C62" s="5" t="n">
        <v>0</v>
      </c>
      <c r="D62" s="5" t="inlineStr">
        <is>
          <t>Ingenieurkammer Rheinland-Pfalz</t>
        </is>
      </c>
      <c r="E62" s="5" t="inlineStr">
        <is>
          <t>Mainzer Stadtwerke AG</t>
        </is>
      </c>
      <c r="F62" s="5" t="n">
        <v>44</v>
      </c>
      <c r="G62" s="5" t="n">
        <v>68</v>
      </c>
      <c r="H62" s="5" t="inlineStr">
        <is>
          <t>implementation_anchor</t>
        </is>
      </c>
      <c r="I62" t="inlineStr">
        <is>
          <t>construction_planning_anchor</t>
        </is>
      </c>
      <c r="J62" s="5" t="inlineStr">
        <is>
          <t>profit_anchor</t>
        </is>
      </c>
      <c r="K62" t="inlineStr">
        <is>
          <t>energy_infrastructure_anchor</t>
        </is>
      </c>
      <c r="L62" s="5" t="inlineStr">
        <is>
          <t>nachhaltigkeit</t>
        </is>
      </c>
      <c r="M62" s="5" t="inlineStr">
        <is>
          <t>klima_anpassung_stadt_land</t>
        </is>
      </c>
      <c r="N62" s="5" t="inlineStr">
        <is>
          <t>Klimaanpassung in Stadt und Land</t>
        </is>
      </c>
      <c r="O62" s="5" t="n">
        <v>4</v>
      </c>
      <c r="P62" s="5" t="n">
        <v>4</v>
      </c>
      <c r="Q62" s="5" t="n">
        <v>12</v>
      </c>
      <c r="R62" s="5" t="n">
        <v>4</v>
      </c>
      <c r="S62" s="5" t="n">
        <v>0</v>
      </c>
      <c r="T62" s="5" t="n">
        <v>0</v>
      </c>
      <c r="U62" s="5" t="n">
        <v>2</v>
      </c>
      <c r="V62" s="5" t="n">
        <v>8</v>
      </c>
      <c r="W62" s="5" t="n">
        <v>8</v>
      </c>
      <c r="X62" s="5" t="n">
        <v>0</v>
      </c>
      <c r="Y62" s="5" t="n">
        <v>0</v>
      </c>
      <c r="Z62" s="5" t="n">
        <v>0</v>
      </c>
      <c r="AA62" s="5" t="n">
        <v>0</v>
      </c>
      <c r="AB62" s="5" t="n">
        <v>36.904756</v>
      </c>
      <c r="AC62" s="5" t="inlineStr">
        <is>
          <t>Wie reagieren Kommunen, Bauwirtschaft, Landwirtschaft und Infrastruktur auf Hitze, Starkregen und Flächendruck?</t>
        </is>
      </c>
      <c r="AD62" s="5" t="inlineStr">
        <is>
          <t>Klimaanpassung in Stadt und Land: Ingenieurkammer Rheinland-Pfalz (implementation_anchor, 4) + Mainzer Stadtwerke AG (profit_anchor, 4).</t>
        </is>
      </c>
      <c r="AE62" s="5" t="inlineStr">
        <is>
          <t>Ingenieurkammer Rheinland-Pfalz | Mainzer Stadtwerke AG</t>
        </is>
      </c>
      <c r="AF62" s="5" t="inlineStr">
        <is>
          <t>klima-anpassung-stadt-land-ingenieurkammer-rheinland-pfalz-mainzer-stadtwerke-ag</t>
        </is>
      </c>
    </row>
    <row r="63" ht="30" customHeight="1" s="46">
      <c r="A63" s="5" t="inlineStr">
        <is>
          <t>C0062</t>
        </is>
      </c>
      <c r="B63" s="5" t="inlineStr">
        <is>
          <t>x_0062</t>
        </is>
      </c>
      <c r="C63" s="5" t="n">
        <v>0</v>
      </c>
      <c r="D63" s="5" t="inlineStr">
        <is>
          <t>Architektenkammer Rheinland-Pfalz</t>
        </is>
      </c>
      <c r="E63" s="5" t="inlineStr">
        <is>
          <t>Karl Gemünden GmbH &amp; Co. KG</t>
        </is>
      </c>
      <c r="F63" s="5" t="n">
        <v>3</v>
      </c>
      <c r="G63" s="5" t="n">
        <v>52</v>
      </c>
      <c r="H63" s="5" t="inlineStr">
        <is>
          <t>implementation_anchor</t>
        </is>
      </c>
      <c r="I63" t="inlineStr">
        <is>
          <t>construction_planning_anchor</t>
        </is>
      </c>
      <c r="J63" s="5" t="inlineStr">
        <is>
          <t>profit_anchor</t>
        </is>
      </c>
      <c r="K63" t="inlineStr">
        <is>
          <t>construction_planning_anchor</t>
        </is>
      </c>
      <c r="L63" s="5" t="inlineStr">
        <is>
          <t>nachhaltigkeit</t>
        </is>
      </c>
      <c r="M63" s="5" t="inlineStr">
        <is>
          <t>kreislaufwirtschaft_bau_ebv</t>
        </is>
      </c>
      <c r="N63" s="5" t="inlineStr">
        <is>
          <t>Kreislaufwirtschaft, Bau und Ersatzbaustoffverordnung</t>
        </is>
      </c>
      <c r="O63" s="5" t="n">
        <v>4</v>
      </c>
      <c r="P63" s="5" t="n">
        <v>4</v>
      </c>
      <c r="Q63" s="5" t="n">
        <v>12</v>
      </c>
      <c r="R63" s="5" t="n">
        <v>4</v>
      </c>
      <c r="S63" s="5" t="n">
        <v>0</v>
      </c>
      <c r="T63" s="5" t="n">
        <v>0</v>
      </c>
      <c r="U63" s="5" t="n">
        <v>2</v>
      </c>
      <c r="V63" s="5" t="n">
        <v>8</v>
      </c>
      <c r="W63" s="5" t="n">
        <v>8</v>
      </c>
      <c r="X63" s="5" t="n">
        <v>0</v>
      </c>
      <c r="Y63" s="5" t="n">
        <v>0</v>
      </c>
      <c r="Z63" s="5" t="n">
        <v>0</v>
      </c>
      <c r="AA63" s="5" t="n">
        <v>0</v>
      </c>
      <c r="AB63" s="5" t="n">
        <v>37.974681</v>
      </c>
      <c r="AC63" s="5" t="inlineStr">
        <is>
          <t>Wie können Bauwirtschaft, Rohstoffindustrie, Kommunen und Verwaltung Kreislaufwirtschaft praktisch und rechtssicher umsetzen?</t>
        </is>
      </c>
      <c r="AD63" s="5" t="inlineStr">
        <is>
          <t>Kreislaufwirtschaft, Bau und Ersatzbaustoffverordnung: Architektenkammer Rheinland-Pfalz (implementation_anchor, 4) + Karl Gemünden GmbH &amp; Co. KG (profit_anchor, 4).</t>
        </is>
      </c>
      <c r="AE63" s="5" t="inlineStr">
        <is>
          <t>Architektenkammer Rheinland-Pfalz | Karl Gemünden GmbH &amp; Co. KG</t>
        </is>
      </c>
      <c r="AF63" s="5" t="inlineStr">
        <is>
          <t>kreislaufwirtschaft-bau-ebv-architektenkammer-rheinland-pfalz-karl-gemünden-gmbh-co-kg</t>
        </is>
      </c>
    </row>
    <row r="64" ht="30" customHeight="1" s="46">
      <c r="A64" s="5" t="inlineStr">
        <is>
          <t>C0063</t>
        </is>
      </c>
      <c r="B64" s="5" t="inlineStr">
        <is>
          <t>x_0063</t>
        </is>
      </c>
      <c r="C64" s="5" t="n">
        <v>0</v>
      </c>
      <c r="D64" s="5" t="inlineStr">
        <is>
          <t>Ingenieurkammer Rheinland-Pfalz</t>
        </is>
      </c>
      <c r="E64" s="5" t="inlineStr">
        <is>
          <t>Karl Gemünden GmbH &amp; Co. KG</t>
        </is>
      </c>
      <c r="F64" s="5" t="n">
        <v>44</v>
      </c>
      <c r="G64" s="5" t="n">
        <v>52</v>
      </c>
      <c r="H64" s="5" t="inlineStr">
        <is>
          <t>implementation_anchor</t>
        </is>
      </c>
      <c r="I64" t="inlineStr">
        <is>
          <t>construction_planning_anchor</t>
        </is>
      </c>
      <c r="J64" s="5" t="inlineStr">
        <is>
          <t>profit_anchor</t>
        </is>
      </c>
      <c r="K64" t="inlineStr">
        <is>
          <t>construction_planning_anchor</t>
        </is>
      </c>
      <c r="L64" s="5" t="inlineStr">
        <is>
          <t>nachhaltigkeit</t>
        </is>
      </c>
      <c r="M64" s="5" t="inlineStr">
        <is>
          <t>kreislaufwirtschaft_bau_ebv</t>
        </is>
      </c>
      <c r="N64" s="5" t="inlineStr">
        <is>
          <t>Kreislaufwirtschaft, Bau und Ersatzbaustoffverordnung</t>
        </is>
      </c>
      <c r="O64" s="5" t="n">
        <v>4</v>
      </c>
      <c r="P64" s="5" t="n">
        <v>4</v>
      </c>
      <c r="Q64" s="5" t="n">
        <v>12</v>
      </c>
      <c r="R64" s="5" t="n">
        <v>4</v>
      </c>
      <c r="S64" s="5" t="n">
        <v>0</v>
      </c>
      <c r="T64" s="5" t="n">
        <v>0</v>
      </c>
      <c r="U64" s="5" t="n">
        <v>2</v>
      </c>
      <c r="V64" s="5" t="n">
        <v>8</v>
      </c>
      <c r="W64" s="5" t="n">
        <v>8</v>
      </c>
      <c r="X64" s="5" t="n">
        <v>0</v>
      </c>
      <c r="Y64" s="5" t="n">
        <v>0</v>
      </c>
      <c r="Z64" s="5" t="n">
        <v>0</v>
      </c>
      <c r="AA64" s="5" t="n">
        <v>0</v>
      </c>
      <c r="AB64" s="5" t="n">
        <v>37.974681</v>
      </c>
      <c r="AC64" s="5" t="inlineStr">
        <is>
          <t>Wie können Bauwirtschaft, Rohstoffindustrie, Kommunen und Verwaltung Kreislaufwirtschaft praktisch und rechtssicher umsetzen?</t>
        </is>
      </c>
      <c r="AD64" s="5" t="inlineStr">
        <is>
          <t>Kreislaufwirtschaft, Bau und Ersatzbaustoffverordnung: Ingenieurkammer Rheinland-Pfalz (implementation_anchor, 4) + Karl Gemünden GmbH &amp; Co. KG (profit_anchor, 4).</t>
        </is>
      </c>
      <c r="AE64" s="5" t="inlineStr">
        <is>
          <t>Ingenieurkammer Rheinland-Pfalz | Karl Gemünden GmbH &amp; Co. KG</t>
        </is>
      </c>
      <c r="AF64" s="5" t="inlineStr">
        <is>
          <t>kreislaufwirtschaft-bau-ebv-ingenieurkammer-rheinland-pfalz-karl-gemünden-gmbh-co-kg</t>
        </is>
      </c>
    </row>
    <row r="65" ht="30" customHeight="1" s="46">
      <c r="A65" s="5" t="inlineStr">
        <is>
          <t>C0064</t>
        </is>
      </c>
      <c r="B65" s="5" t="inlineStr">
        <is>
          <t>x_0064</t>
        </is>
      </c>
      <c r="C65" s="5" t="n">
        <v>0</v>
      </c>
      <c r="D65" s="5" t="inlineStr">
        <is>
          <t>Entwicklungsagentur Rheinland-Pfalz e.V.</t>
        </is>
      </c>
      <c r="E65" s="5" t="inlineStr">
        <is>
          <t>LOTTO Rheinland-Pfalz GmbH</t>
        </is>
      </c>
      <c r="F65" s="5" t="n">
        <v>25</v>
      </c>
      <c r="G65" s="5" t="n">
        <v>66</v>
      </c>
      <c r="H65" s="5" t="inlineStr">
        <is>
          <t>implementation_anchor</t>
        </is>
      </c>
      <c r="I65" t="inlineStr">
        <is>
          <t>public_policy_anchor</t>
        </is>
      </c>
      <c r="J65" s="5" t="inlineStr">
        <is>
          <t>profit_anchor</t>
        </is>
      </c>
      <c r="K65" t="inlineStr">
        <is>
          <t>culture_foundation_anchor</t>
        </is>
      </c>
      <c r="L65" s="5" t="inlineStr">
        <is>
          <t>kultur</t>
        </is>
      </c>
      <c r="M65" s="5" t="inlineStr">
        <is>
          <t>kultur_standort_identitaet</t>
        </is>
      </c>
      <c r="N65" s="5" t="inlineStr">
        <is>
          <t>Kultur, Standortidentität und regionale Attraktivität</t>
        </is>
      </c>
      <c r="O65" s="5" t="n">
        <v>5</v>
      </c>
      <c r="P65" s="5" t="n">
        <v>3</v>
      </c>
      <c r="Q65" s="5" t="n">
        <v>12</v>
      </c>
      <c r="R65" s="5" t="n">
        <v>4</v>
      </c>
      <c r="S65" s="5" t="n">
        <v>0</v>
      </c>
      <c r="T65" s="5" t="n">
        <v>0</v>
      </c>
      <c r="U65" s="5" t="n">
        <v>2</v>
      </c>
      <c r="V65" s="5" t="n">
        <v>8</v>
      </c>
      <c r="W65" s="5" t="n">
        <v>8</v>
      </c>
      <c r="X65" s="5" t="n">
        <v>0</v>
      </c>
      <c r="Y65" s="5" t="n">
        <v>0</v>
      </c>
      <c r="Z65" s="5" t="n">
        <v>0</v>
      </c>
      <c r="AA65" s="5" t="n">
        <v>0</v>
      </c>
      <c r="AB65" s="5" t="n">
        <v>53.704308</v>
      </c>
      <c r="AC65" s="5" t="inlineStr">
        <is>
          <t>Wie stärkt Kultur die Attraktivität von Städten, Regionen und Arbeitgeberstandorten?</t>
        </is>
      </c>
      <c r="AD65" s="5" t="inlineStr">
        <is>
          <t>Kultur, Standortidentität und regionale Attraktivität: Entwicklungsagentur Rheinland-Pfalz e.V. (implementation_anchor, 5) + LOTTO Rheinland-Pfalz GmbH (profit_anchor, 3).</t>
        </is>
      </c>
      <c r="AE65" s="5" t="inlineStr">
        <is>
          <t>Entwicklungsagentur Rheinland-Pfalz e.V. | LOTTO Rheinland-Pfalz GmbH</t>
        </is>
      </c>
      <c r="AF65" s="5" t="inlineStr">
        <is>
          <t>kultur-standort-identitaet-entwicklungsagentur-rheinland-pfalz-e-v-lotto-rheinland-pfalz-gmbh</t>
        </is>
      </c>
    </row>
    <row r="66" ht="30" customHeight="1" s="46">
      <c r="A66" s="5" t="inlineStr">
        <is>
          <t>C0065</t>
        </is>
      </c>
      <c r="B66" s="5" t="inlineStr">
        <is>
          <t>x_0065</t>
        </is>
      </c>
      <c r="C66" s="5" t="n">
        <v>0</v>
      </c>
      <c r="D66" s="5" t="inlineStr">
        <is>
          <t>Aturas GmbH</t>
        </is>
      </c>
      <c r="E66" s="5" t="inlineStr">
        <is>
          <t>Handwerkskammern Rheinland-Pfalz</t>
        </is>
      </c>
      <c r="F66" s="5" t="n">
        <v>4</v>
      </c>
      <c r="G66" s="5" t="n">
        <v>32</v>
      </c>
      <c r="H66" s="5" t="inlineStr">
        <is>
          <t>profit_anchor</t>
        </is>
      </c>
      <c r="I66" t="inlineStr">
        <is>
          <t>technology_digital_anchor</t>
        </is>
      </c>
      <c r="J66" s="5" t="inlineStr">
        <is>
          <t>implementation_anchor</t>
        </is>
      </c>
      <c r="K66" t="inlineStr">
        <is>
          <t>chamber_association_anchor</t>
        </is>
      </c>
      <c r="L66" s="5" t="inlineStr">
        <is>
          <t>wirtschaft</t>
        </is>
      </c>
      <c r="M66" s="5" t="inlineStr">
        <is>
          <t>mittelstand_digitalisierung_produktivitaet</t>
        </is>
      </c>
      <c r="N66" s="5" t="inlineStr">
        <is>
          <t>Mittelstand, Digitalisierung und Produktivität</t>
        </is>
      </c>
      <c r="O66" s="5" t="n">
        <v>4</v>
      </c>
      <c r="P66" s="5" t="n">
        <v>4</v>
      </c>
      <c r="Q66" s="5" t="n">
        <v>12</v>
      </c>
      <c r="R66" s="5" t="n">
        <v>4</v>
      </c>
      <c r="S66" s="5" t="n">
        <v>0</v>
      </c>
      <c r="T66" s="5" t="n">
        <v>0</v>
      </c>
      <c r="U66" s="5" t="n">
        <v>2</v>
      </c>
      <c r="V66" s="5" t="n">
        <v>8</v>
      </c>
      <c r="W66" s="5" t="n">
        <v>8</v>
      </c>
      <c r="X66" s="5" t="n">
        <v>0</v>
      </c>
      <c r="Y66" s="5" t="n">
        <v>0</v>
      </c>
      <c r="Z66" s="5" t="n">
        <v>0</v>
      </c>
      <c r="AA66" s="5" t="n">
        <v>0</v>
      </c>
      <c r="AB66" s="5" t="n">
        <v>45.639886</v>
      </c>
      <c r="AC66" s="5" t="inlineStr">
        <is>
          <t>Wie können mittelständische Unternehmen digitale Werkzeuge praktisch einsetzen, ohne dass daraus nur Pilotprojekte entstehen?</t>
        </is>
      </c>
      <c r="AD66" s="5" t="inlineStr">
        <is>
          <t>Mittelstand, Digitalisierung und Produktivität: Aturas GmbH (profit_anchor, 4) + Handwerkskammern Rheinland-Pfalz (implementation_anchor, 4).</t>
        </is>
      </c>
      <c r="AE66" s="5" t="inlineStr">
        <is>
          <t>Aturas GmbH | Handwerkskammern Rheinland-Pfalz</t>
        </is>
      </c>
      <c r="AF66" s="5" t="inlineStr">
        <is>
          <t>mittelstand-digitalisierung-produktivitaet-aturas-gmbh-handwerkskammern-rheinland-pfalz</t>
        </is>
      </c>
    </row>
    <row r="67" ht="30" customHeight="1" s="46">
      <c r="A67" s="5" t="inlineStr">
        <is>
          <t>C0066</t>
        </is>
      </c>
      <c r="B67" s="5" t="inlineStr">
        <is>
          <t>x_0066</t>
        </is>
      </c>
      <c r="C67" s="5" t="n">
        <v>0</v>
      </c>
      <c r="D67" s="5" t="inlineStr">
        <is>
          <t>Handwerkskammern Rheinland-Pfalz</t>
        </is>
      </c>
      <c r="E67" s="5" t="inlineStr">
        <is>
          <t>IQIB - Institut für qualifizierende Innovationsforschung und -beratung GmbH</t>
        </is>
      </c>
      <c r="F67" s="5" t="n">
        <v>32</v>
      </c>
      <c r="G67" s="5" t="n">
        <v>46</v>
      </c>
      <c r="H67" s="5" t="inlineStr">
        <is>
          <t>implementation_anchor</t>
        </is>
      </c>
      <c r="I67" t="inlineStr">
        <is>
          <t>chamber_association_anchor</t>
        </is>
      </c>
      <c r="J67" s="5" t="inlineStr">
        <is>
          <t>profit_anchor</t>
        </is>
      </c>
      <c r="K67" t="inlineStr">
        <is>
          <t>technology_digital_anchor</t>
        </is>
      </c>
      <c r="L67" s="5" t="inlineStr">
        <is>
          <t>wirtschaft</t>
        </is>
      </c>
      <c r="M67" s="5" t="inlineStr">
        <is>
          <t>mittelstand_digitalisierung_produktivitaet</t>
        </is>
      </c>
      <c r="N67" s="5" t="inlineStr">
        <is>
          <t>Mittelstand, Digitalisierung und Produktivität</t>
        </is>
      </c>
      <c r="O67" s="5" t="n">
        <v>4</v>
      </c>
      <c r="P67" s="5" t="n">
        <v>4</v>
      </c>
      <c r="Q67" s="5" t="n">
        <v>12</v>
      </c>
      <c r="R67" s="5" t="n">
        <v>4</v>
      </c>
      <c r="S67" s="5" t="n">
        <v>0</v>
      </c>
      <c r="T67" s="5" t="n">
        <v>0</v>
      </c>
      <c r="U67" s="5" t="n">
        <v>2</v>
      </c>
      <c r="V67" s="5" t="n">
        <v>8</v>
      </c>
      <c r="W67" s="5" t="n">
        <v>8</v>
      </c>
      <c r="X67" s="5" t="n">
        <v>0</v>
      </c>
      <c r="Y67" s="5" t="n">
        <v>0</v>
      </c>
      <c r="Z67" s="5" t="n">
        <v>0</v>
      </c>
      <c r="AA67" s="5" t="n">
        <v>0</v>
      </c>
      <c r="AB67" s="5" t="n">
        <v>45.639886</v>
      </c>
      <c r="AC67" s="5" t="inlineStr">
        <is>
          <t>Wie können mittelständische Unternehmen digitale Werkzeuge praktisch einsetzen, ohne dass daraus nur Pilotprojekte entstehen?</t>
        </is>
      </c>
      <c r="AD67" s="5" t="inlineStr">
        <is>
          <t>Mittelstand, Digitalisierung und Produktivität: Handwerkskammern Rheinland-Pfalz (implementation_anchor, 4) + IQIB - Institut für qualifizierende Innovationsforschung und -beratung GmbH (profit_anchor, 4).</t>
        </is>
      </c>
      <c r="AE67" s="5" t="inlineStr">
        <is>
          <t>Handwerkskammern Rheinland-Pfalz | IQIB - Institut für qualifizierende Innovationsforschung und -beratung GmbH</t>
        </is>
      </c>
      <c r="AF67" s="5" t="inlineStr">
        <is>
          <t>mittelstand-digitalisierung-produktivitaet-handwerkskammern-rheinland-pfalz-iqib-institut-für-q</t>
        </is>
      </c>
    </row>
    <row r="68" ht="30" customHeight="1" s="46">
      <c r="A68" s="5" t="inlineStr">
        <is>
          <t>C0067</t>
        </is>
      </c>
      <c r="B68" s="5" t="inlineStr">
        <is>
          <t>x_0067</t>
        </is>
      </c>
      <c r="C68" s="5" t="n">
        <v>0</v>
      </c>
      <c r="D68" s="5" t="inlineStr">
        <is>
          <t>Handwerkskammern Rheinland-Pfalz</t>
        </is>
      </c>
      <c r="E68" s="5" t="inlineStr">
        <is>
          <t>Joseph Vögele AG</t>
        </is>
      </c>
      <c r="F68" s="5" t="n">
        <v>32</v>
      </c>
      <c r="G68" s="5" t="n">
        <v>50</v>
      </c>
      <c r="H68" s="5" t="inlineStr">
        <is>
          <t>implementation_anchor</t>
        </is>
      </c>
      <c r="I68" t="inlineStr">
        <is>
          <t>chamber_association_anchor</t>
        </is>
      </c>
      <c r="J68" s="5" t="inlineStr">
        <is>
          <t>profit_anchor</t>
        </is>
      </c>
      <c r="K68" t="inlineStr">
        <is>
          <t>construction_planning_anchor</t>
        </is>
      </c>
      <c r="L68" s="5" t="inlineStr">
        <is>
          <t>wirtschaft</t>
        </is>
      </c>
      <c r="M68" s="5" t="inlineStr">
        <is>
          <t>mittelstand_digitalisierung_produktivitaet</t>
        </is>
      </c>
      <c r="N68" s="5" t="inlineStr">
        <is>
          <t>Mittelstand, Digitalisierung und Produktivität</t>
        </is>
      </c>
      <c r="O68" s="5" t="n">
        <v>4</v>
      </c>
      <c r="P68" s="5" t="n">
        <v>4</v>
      </c>
      <c r="Q68" s="5" t="n">
        <v>12</v>
      </c>
      <c r="R68" s="5" t="n">
        <v>4</v>
      </c>
      <c r="S68" s="5" t="n">
        <v>0</v>
      </c>
      <c r="T68" s="5" t="n">
        <v>0</v>
      </c>
      <c r="U68" s="5" t="n">
        <v>2</v>
      </c>
      <c r="V68" s="5" t="n">
        <v>8</v>
      </c>
      <c r="W68" s="5" t="n">
        <v>8</v>
      </c>
      <c r="X68" s="5" t="n">
        <v>0</v>
      </c>
      <c r="Y68" s="5" t="n">
        <v>0</v>
      </c>
      <c r="Z68" s="5" t="n">
        <v>0</v>
      </c>
      <c r="AA68" s="5" t="n">
        <v>0</v>
      </c>
      <c r="AB68" s="5" t="n">
        <v>46.509295</v>
      </c>
      <c r="AC68" s="5" t="inlineStr">
        <is>
          <t>Wie können mittelständische Unternehmen digitale Werkzeuge praktisch einsetzen, ohne dass daraus nur Pilotprojekte entstehen?</t>
        </is>
      </c>
      <c r="AD68" s="5" t="inlineStr">
        <is>
          <t>Mittelstand, Digitalisierung und Produktivität: Handwerkskammern Rheinland-Pfalz (implementation_anchor, 4) + Joseph Vögele AG (profit_anchor, 4).</t>
        </is>
      </c>
      <c r="AE68" s="5" t="inlineStr">
        <is>
          <t>Handwerkskammern Rheinland-Pfalz | Joseph Vögele AG</t>
        </is>
      </c>
      <c r="AF68" s="5" t="inlineStr">
        <is>
          <t>mittelstand-digitalisierung-produktivitaet-handwerkskammern-rheinland-pfalz-joseph-vögele-ag</t>
        </is>
      </c>
    </row>
    <row r="69" ht="30" customHeight="1" s="46">
      <c r="A69" s="5" t="inlineStr">
        <is>
          <t>C0068</t>
        </is>
      </c>
      <c r="B69" s="5" t="inlineStr">
        <is>
          <t>x_0068</t>
        </is>
      </c>
      <c r="C69" s="5" t="n">
        <v>0</v>
      </c>
      <c r="D69" s="5" t="inlineStr">
        <is>
          <t>Handwerkskammern Rheinland-Pfalz</t>
        </is>
      </c>
      <c r="E69" s="5" t="inlineStr">
        <is>
          <t>PFAFF Industriesysteme und Maschinen GmbH</t>
        </is>
      </c>
      <c r="F69" s="5" t="n">
        <v>32</v>
      </c>
      <c r="G69" s="5" t="n">
        <v>71</v>
      </c>
      <c r="H69" s="5" t="inlineStr">
        <is>
          <t>implementation_anchor</t>
        </is>
      </c>
      <c r="I69" t="inlineStr">
        <is>
          <t>chamber_association_anchor</t>
        </is>
      </c>
      <c r="J69" s="5" t="inlineStr">
        <is>
          <t>profit_anchor</t>
        </is>
      </c>
      <c r="K69" t="inlineStr">
        <is>
          <t>industry_anchor</t>
        </is>
      </c>
      <c r="L69" s="5" t="inlineStr">
        <is>
          <t>wirtschaft</t>
        </is>
      </c>
      <c r="M69" s="5" t="inlineStr">
        <is>
          <t>mittelstand_digitalisierung_produktivitaet</t>
        </is>
      </c>
      <c r="N69" s="5" t="inlineStr">
        <is>
          <t>Mittelstand, Digitalisierung und Produktivität</t>
        </is>
      </c>
      <c r="O69" s="5" t="n">
        <v>4</v>
      </c>
      <c r="P69" s="5" t="n">
        <v>4</v>
      </c>
      <c r="Q69" s="5" t="n">
        <v>12</v>
      </c>
      <c r="R69" s="5" t="n">
        <v>4</v>
      </c>
      <c r="S69" s="5" t="n">
        <v>0</v>
      </c>
      <c r="T69" s="5" t="n">
        <v>0</v>
      </c>
      <c r="U69" s="5" t="n">
        <v>2</v>
      </c>
      <c r="V69" s="5" t="n">
        <v>8</v>
      </c>
      <c r="W69" s="5" t="n">
        <v>8</v>
      </c>
      <c r="X69" s="5" t="n">
        <v>0</v>
      </c>
      <c r="Y69" s="5" t="n">
        <v>0</v>
      </c>
      <c r="Z69" s="5" t="n">
        <v>0</v>
      </c>
      <c r="AA69" s="5" t="n">
        <v>0</v>
      </c>
      <c r="AB69" s="5" t="n">
        <v>44.344873</v>
      </c>
      <c r="AC69" s="5" t="inlineStr">
        <is>
          <t>Wie können mittelständische Unternehmen digitale Werkzeuge praktisch einsetzen, ohne dass daraus nur Pilotprojekte entstehen?</t>
        </is>
      </c>
      <c r="AD69" s="5" t="inlineStr">
        <is>
          <t>Mittelstand, Digitalisierung und Produktivität: Handwerkskammern Rheinland-Pfalz (implementation_anchor, 4) + PFAFF Industriesysteme und Maschinen GmbH (profit_anchor, 4).</t>
        </is>
      </c>
      <c r="AE69" s="5" t="inlineStr">
        <is>
          <t>Handwerkskammern Rheinland-Pfalz | PFAFF Industriesysteme und Maschinen GmbH</t>
        </is>
      </c>
      <c r="AF69" s="5" t="inlineStr">
        <is>
          <t>mittelstand-digitalisierung-produktivitaet-handwerkskammern-rheinland-pfalz-pfaff-industriesyst</t>
        </is>
      </c>
    </row>
    <row r="70" ht="30" customHeight="1" s="46">
      <c r="A70" s="5" t="inlineStr">
        <is>
          <t>C0069</t>
        </is>
      </c>
      <c r="B70" s="5" t="inlineStr">
        <is>
          <t>x_0069</t>
        </is>
      </c>
      <c r="C70" s="5" t="n">
        <v>0</v>
      </c>
      <c r="D70" s="5" t="inlineStr">
        <is>
          <t>Bundesagentur für Arbeit, Regionaldirektion Rheinland-Pfalz-Saarland</t>
        </is>
      </c>
      <c r="E70" s="5" t="inlineStr">
        <is>
          <t>Katholische Hochschule Mainz</t>
        </is>
      </c>
      <c r="F70" s="5" t="n">
        <v>13</v>
      </c>
      <c r="G70" s="5" t="n">
        <v>55</v>
      </c>
      <c r="H70" s="5" t="inlineStr">
        <is>
          <t>implementation_anchor</t>
        </is>
      </c>
      <c r="I70" t="inlineStr">
        <is>
          <t>public_policy_anchor</t>
        </is>
      </c>
      <c r="J70" s="5" t="inlineStr">
        <is>
          <t>academic_support</t>
        </is>
      </c>
      <c r="K70" t="inlineStr">
        <is>
          <t>university_applied_sciences</t>
        </is>
      </c>
      <c r="L70" s="5" t="inlineStr">
        <is>
          <t>gesellschaft</t>
        </is>
      </c>
      <c r="M70" s="5" t="inlineStr">
        <is>
          <t>pflege_fachkraefte_sozialwirtschaft</t>
        </is>
      </c>
      <c r="N70" s="5" t="inlineStr">
        <is>
          <t>Pflege, Fachkräfte und Sozialwirtschaft</t>
        </is>
      </c>
      <c r="O70" s="5" t="n">
        <v>5</v>
      </c>
      <c r="P70" s="5" t="n">
        <v>5</v>
      </c>
      <c r="Q70" s="5" t="n">
        <v>14</v>
      </c>
      <c r="R70" s="5" t="n">
        <v>4</v>
      </c>
      <c r="S70" s="5" t="n">
        <v>0</v>
      </c>
      <c r="T70" s="5" t="n">
        <v>0</v>
      </c>
      <c r="U70" s="5" t="n">
        <v>2</v>
      </c>
      <c r="V70" s="5" t="n">
        <v>7</v>
      </c>
      <c r="W70" s="5" t="n">
        <v>7</v>
      </c>
      <c r="X70" s="5" t="n">
        <v>0</v>
      </c>
      <c r="Y70" s="5" t="n">
        <v>0</v>
      </c>
      <c r="Z70" s="5" t="n">
        <v>0</v>
      </c>
      <c r="AA70" s="5" t="n">
        <v>0</v>
      </c>
      <c r="AB70" s="5" t="n">
        <v>43.811832</v>
      </c>
      <c r="AC70" s="5" t="inlineStr">
        <is>
          <t>Wie sichern Pflege- und Sozialträger Personal, Qualität und Versorgung in einer alternden Gesellschaft?</t>
        </is>
      </c>
      <c r="AD70" s="5" t="inlineStr">
        <is>
          <t>Pflege, Fachkräfte und Sozialwirtschaft: Bundesagentur für Arbeit, Regionaldirektion Rheinland-Pfalz-Saarland (implementation_anchor, 5) + Katholische Hochschule Mainz (academic_support, 5).</t>
        </is>
      </c>
      <c r="AE70" s="5" t="inlineStr">
        <is>
          <t>Bundesagentur für Arbeit, Regionaldirektion Rheinland-Pfalz-Saarland | Katholische Hochschule Mainz</t>
        </is>
      </c>
      <c r="AF70" s="5" t="inlineStr">
        <is>
          <t>pflege-fachkraefte-sozialwirtschaft-bundesagentur-für-arbeit-regionaldirektion-rheinland-pfalz-</t>
        </is>
      </c>
    </row>
    <row r="71" ht="30" customHeight="1" s="46">
      <c r="A71" s="5" t="inlineStr">
        <is>
          <t>C0070</t>
        </is>
      </c>
      <c r="B71" s="5" t="inlineStr">
        <is>
          <t>x_0070</t>
        </is>
      </c>
      <c r="C71" s="5" t="n">
        <v>0</v>
      </c>
      <c r="D71" s="5" t="inlineStr">
        <is>
          <t>Bundesagentur für Arbeit, Regionaldirektion Rheinland-Pfalz-Saarland</t>
        </is>
      </c>
      <c r="E71" s="5" t="inlineStr">
        <is>
          <t>Leonardo PersonalKonzept GmbH</t>
        </is>
      </c>
      <c r="F71" s="5" t="n">
        <v>13</v>
      </c>
      <c r="G71" s="5" t="n">
        <v>64</v>
      </c>
      <c r="H71" s="5" t="inlineStr">
        <is>
          <t>implementation_anchor</t>
        </is>
      </c>
      <c r="I71" t="inlineStr">
        <is>
          <t>public_policy_anchor</t>
        </is>
      </c>
      <c r="J71" s="5" t="inlineStr">
        <is>
          <t>profit_anchor</t>
        </is>
      </c>
      <c r="K71" t="inlineStr">
        <is>
          <t>professional_services_anchor</t>
        </is>
      </c>
      <c r="L71" s="5" t="inlineStr">
        <is>
          <t>gesellschaft</t>
        </is>
      </c>
      <c r="M71" s="5" t="inlineStr">
        <is>
          <t>pflege_fachkraefte_sozialwirtschaft</t>
        </is>
      </c>
      <c r="N71" s="5" t="inlineStr">
        <is>
          <t>Pflege, Fachkräfte und Sozialwirtschaft</t>
        </is>
      </c>
      <c r="O71" s="5" t="n">
        <v>5</v>
      </c>
      <c r="P71" s="5" t="n">
        <v>3</v>
      </c>
      <c r="Q71" s="5" t="n">
        <v>12</v>
      </c>
      <c r="R71" s="5" t="n">
        <v>4</v>
      </c>
      <c r="S71" s="5" t="n">
        <v>0</v>
      </c>
      <c r="T71" s="5" t="n">
        <v>0</v>
      </c>
      <c r="U71" s="5" t="n">
        <v>2</v>
      </c>
      <c r="V71" s="5" t="n">
        <v>8</v>
      </c>
      <c r="W71" s="5" t="n">
        <v>8</v>
      </c>
      <c r="X71" s="5" t="n">
        <v>0</v>
      </c>
      <c r="Y71" s="5" t="n">
        <v>0</v>
      </c>
      <c r="Z71" s="5" t="n">
        <v>0</v>
      </c>
      <c r="AA71" s="5" t="n">
        <v>0</v>
      </c>
      <c r="AB71" s="5" t="n">
        <v>45.989622</v>
      </c>
      <c r="AC71" s="5" t="inlineStr">
        <is>
          <t>Wie sichern Pflege- und Sozialträger Personal, Qualität und Versorgung in einer alternden Gesellschaft?</t>
        </is>
      </c>
      <c r="AD71" s="5" t="inlineStr">
        <is>
          <t>Pflege, Fachkräfte und Sozialwirtschaft: Bundesagentur für Arbeit, Regionaldirektion Rheinland-Pfalz-Saarland (implementation_anchor, 5) + Leonardo PersonalKonzept GmbH (profit_anchor, 3).</t>
        </is>
      </c>
      <c r="AE71" s="5" t="inlineStr">
        <is>
          <t>Bundesagentur für Arbeit, Regionaldirektion Rheinland-Pfalz-Saarland | Leonardo PersonalKonzept GmbH</t>
        </is>
      </c>
      <c r="AF71" s="5" t="inlineStr">
        <is>
          <t>pflege-fachkraefte-sozialwirtschaft-bundesagentur-für-arbeit-regionaldirektion-rheinland-pfalz-</t>
        </is>
      </c>
    </row>
    <row r="72" ht="30" customHeight="1" s="46">
      <c r="A72" s="5" t="inlineStr">
        <is>
          <t>C0071</t>
        </is>
      </c>
      <c r="B72" s="5" t="inlineStr">
        <is>
          <t>x_0071</t>
        </is>
      </c>
      <c r="C72" s="5" t="n">
        <v>0</v>
      </c>
      <c r="D72" s="5" t="inlineStr">
        <is>
          <t>Caritasverband für die Diözese Speyer e.V.</t>
        </is>
      </c>
      <c r="E72" s="5" t="inlineStr">
        <is>
          <t>Katholische Hochschule Mainz</t>
        </is>
      </c>
      <c r="F72" s="5" t="n">
        <v>14</v>
      </c>
      <c r="G72" s="5" t="n">
        <v>55</v>
      </c>
      <c r="H72" s="5" t="inlineStr">
        <is>
          <t>implementation_anchor</t>
        </is>
      </c>
      <c r="I72" t="inlineStr">
        <is>
          <t>health_social_anchor</t>
        </is>
      </c>
      <c r="J72" s="5" t="inlineStr">
        <is>
          <t>academic_support</t>
        </is>
      </c>
      <c r="K72" t="inlineStr">
        <is>
          <t>university_applied_sciences</t>
        </is>
      </c>
      <c r="L72" s="5" t="inlineStr">
        <is>
          <t>gesellschaft</t>
        </is>
      </c>
      <c r="M72" s="5" t="inlineStr">
        <is>
          <t>pflege_fachkraefte_sozialwirtschaft</t>
        </is>
      </c>
      <c r="N72" s="5" t="inlineStr">
        <is>
          <t>Pflege, Fachkräfte und Sozialwirtschaft</t>
        </is>
      </c>
      <c r="O72" s="5" t="n">
        <v>5</v>
      </c>
      <c r="P72" s="5" t="n">
        <v>5</v>
      </c>
      <c r="Q72" s="5" t="n">
        <v>14</v>
      </c>
      <c r="R72" s="5" t="n">
        <v>4</v>
      </c>
      <c r="S72" s="5" t="n">
        <v>0</v>
      </c>
      <c r="T72" s="5" t="n">
        <v>0</v>
      </c>
      <c r="U72" s="5" t="n">
        <v>2</v>
      </c>
      <c r="V72" s="5" t="n">
        <v>7</v>
      </c>
      <c r="W72" s="5" t="n">
        <v>7</v>
      </c>
      <c r="X72" s="5" t="n">
        <v>0</v>
      </c>
      <c r="Y72" s="5" t="n">
        <v>0</v>
      </c>
      <c r="Z72" s="5" t="n">
        <v>0</v>
      </c>
      <c r="AA72" s="5" t="n">
        <v>0</v>
      </c>
      <c r="AB72" s="5" t="n">
        <v>36.034282</v>
      </c>
      <c r="AC72" s="5" t="inlineStr">
        <is>
          <t>Wie sichern Pflege- und Sozialträger Personal, Qualität und Versorgung in einer alternden Gesellschaft?</t>
        </is>
      </c>
      <c r="AD72" s="5" t="inlineStr">
        <is>
          <t>Pflege, Fachkräfte und Sozialwirtschaft: Caritasverband für die Diözese Speyer e.V. (implementation_anchor, 5) + Katholische Hochschule Mainz (academic_support, 5).</t>
        </is>
      </c>
      <c r="AE72" s="5" t="inlineStr">
        <is>
          <t>Caritasverband für die Diözese Speyer e.V. | Katholische Hochschule Mainz</t>
        </is>
      </c>
      <c r="AF72" s="5" t="inlineStr">
        <is>
          <t>pflege-fachkraefte-sozialwirtschaft-caritasverband-für-die-diözese-speyer-e-v-katholische-hochs</t>
        </is>
      </c>
    </row>
    <row r="73" ht="30" customHeight="1" s="46">
      <c r="A73" s="5" t="inlineStr">
        <is>
          <t>C0072</t>
        </is>
      </c>
      <c r="B73" s="5" t="inlineStr">
        <is>
          <t>x_0072</t>
        </is>
      </c>
      <c r="C73" s="5" t="n">
        <v>0</v>
      </c>
      <c r="D73" s="5" t="inlineStr">
        <is>
          <t>Caritasverband für die Diözese Speyer e.V.</t>
        </is>
      </c>
      <c r="E73" s="5" t="inlineStr">
        <is>
          <t>Leonardo PersonalKonzept GmbH</t>
        </is>
      </c>
      <c r="F73" s="5" t="n">
        <v>14</v>
      </c>
      <c r="G73" s="5" t="n">
        <v>64</v>
      </c>
      <c r="H73" s="5" t="inlineStr">
        <is>
          <t>implementation_anchor</t>
        </is>
      </c>
      <c r="I73" t="inlineStr">
        <is>
          <t>health_social_anchor</t>
        </is>
      </c>
      <c r="J73" s="5" t="inlineStr">
        <is>
          <t>profit_anchor</t>
        </is>
      </c>
      <c r="K73" t="inlineStr">
        <is>
          <t>professional_services_anchor</t>
        </is>
      </c>
      <c r="L73" s="5" t="inlineStr">
        <is>
          <t>gesellschaft</t>
        </is>
      </c>
      <c r="M73" s="5" t="inlineStr">
        <is>
          <t>pflege_fachkraefte_sozialwirtschaft</t>
        </is>
      </c>
      <c r="N73" s="5" t="inlineStr">
        <is>
          <t>Pflege, Fachkräfte und Sozialwirtschaft</t>
        </is>
      </c>
      <c r="O73" s="5" t="n">
        <v>5</v>
      </c>
      <c r="P73" s="5" t="n">
        <v>3</v>
      </c>
      <c r="Q73" s="5" t="n">
        <v>12</v>
      </c>
      <c r="R73" s="5" t="n">
        <v>4</v>
      </c>
      <c r="S73" s="5" t="n">
        <v>0</v>
      </c>
      <c r="T73" s="5" t="n">
        <v>0</v>
      </c>
      <c r="U73" s="5" t="n">
        <v>2</v>
      </c>
      <c r="V73" s="5" t="n">
        <v>8</v>
      </c>
      <c r="W73" s="5" t="n">
        <v>8</v>
      </c>
      <c r="X73" s="5" t="n">
        <v>0</v>
      </c>
      <c r="Y73" s="5" t="n">
        <v>0</v>
      </c>
      <c r="Z73" s="5" t="n">
        <v>0</v>
      </c>
      <c r="AA73" s="5" t="n">
        <v>0</v>
      </c>
      <c r="AB73" s="5" t="n">
        <v>40.427135</v>
      </c>
      <c r="AC73" s="5" t="inlineStr">
        <is>
          <t>Wie sichern Pflege- und Sozialträger Personal, Qualität und Versorgung in einer alternden Gesellschaft?</t>
        </is>
      </c>
      <c r="AD73" s="5" t="inlineStr">
        <is>
          <t>Pflege, Fachkräfte und Sozialwirtschaft: Caritasverband für die Diözese Speyer e.V. (implementation_anchor, 5) + Leonardo PersonalKonzept GmbH (profit_anchor, 3).</t>
        </is>
      </c>
      <c r="AE73" s="5" t="inlineStr">
        <is>
          <t>Caritasverband für die Diözese Speyer e.V. | Leonardo PersonalKonzept GmbH</t>
        </is>
      </c>
      <c r="AF73" s="5" t="inlineStr">
        <is>
          <t>pflege-fachkraefte-sozialwirtschaft-caritasverband-für-die-diözese-speyer-e-v-leonardo-personal</t>
        </is>
      </c>
    </row>
    <row r="74" ht="30" customHeight="1" s="46">
      <c r="A74" s="5" t="inlineStr">
        <is>
          <t>C0073</t>
        </is>
      </c>
      <c r="B74" s="5" t="inlineStr">
        <is>
          <t>x_0073</t>
        </is>
      </c>
      <c r="C74" s="5" t="n">
        <v>0</v>
      </c>
      <c r="D74" s="5" t="inlineStr">
        <is>
          <t>Bundesagentur für Arbeit, Regionaldirektion Rheinland-Pfalz-Saarland</t>
        </is>
      </c>
      <c r="E74" s="5" t="inlineStr">
        <is>
          <t>GLOBUS Markthallen Holding GmbH &amp; Co. KG</t>
        </is>
      </c>
      <c r="F74" s="5" t="n">
        <v>13</v>
      </c>
      <c r="G74" s="5" t="n">
        <v>31</v>
      </c>
      <c r="H74" s="5" t="inlineStr">
        <is>
          <t>implementation_anchor</t>
        </is>
      </c>
      <c r="I74" t="inlineStr">
        <is>
          <t>public_policy_anchor</t>
        </is>
      </c>
      <c r="J74" s="5" t="inlineStr">
        <is>
          <t>profit_anchor</t>
        </is>
      </c>
      <c r="K74" t="inlineStr">
        <is>
          <t>food_beverage_consumer_anchor</t>
        </is>
      </c>
      <c r="L74" s="5" t="inlineStr">
        <is>
          <t>gesellschaft</t>
        </is>
      </c>
      <c r="M74" s="5" t="inlineStr">
        <is>
          <t>teilhabe_inklusion_arbeitsmarkt</t>
        </is>
      </c>
      <c r="N74" s="5" t="inlineStr">
        <is>
          <t>Teilhabe, Inklusion und Arbeitsmarkt</t>
        </is>
      </c>
      <c r="O74" s="5" t="n">
        <v>5</v>
      </c>
      <c r="P74" s="5" t="n">
        <v>3</v>
      </c>
      <c r="Q74" s="5" t="n">
        <v>12</v>
      </c>
      <c r="R74" s="5" t="n">
        <v>4</v>
      </c>
      <c r="S74" s="5" t="n">
        <v>0</v>
      </c>
      <c r="T74" s="5" t="n">
        <v>0</v>
      </c>
      <c r="U74" s="5" t="n">
        <v>2</v>
      </c>
      <c r="V74" s="5" t="n">
        <v>8</v>
      </c>
      <c r="W74" s="5" t="n">
        <v>8</v>
      </c>
      <c r="X74" s="5" t="n">
        <v>0</v>
      </c>
      <c r="Y74" s="5" t="n">
        <v>0</v>
      </c>
      <c r="Z74" s="5" t="n">
        <v>0</v>
      </c>
      <c r="AA74" s="5" t="n">
        <v>0</v>
      </c>
      <c r="AB74" s="5" t="n">
        <v>45.989622</v>
      </c>
      <c r="AC74" s="5" t="inlineStr">
        <is>
          <t>Wie können Menschen mit Familienpflichten, Behinderung oder schwierigen Erwerbsbiografien besser am Arbeitsmarkt teilnehmen?</t>
        </is>
      </c>
      <c r="AD74" s="5" t="inlineStr">
        <is>
          <t>Teilhabe, Inklusion und Arbeitsmarkt: Bundesagentur für Arbeit, Regionaldirektion Rheinland-Pfalz-Saarland (implementation_anchor, 5) + GLOBUS Markthallen Holding GmbH &amp; Co. KG (profit_anchor, 3).</t>
        </is>
      </c>
      <c r="AE74" s="5" t="inlineStr">
        <is>
          <t>Bundesagentur für Arbeit, Regionaldirektion Rheinland-Pfalz-Saarland | GLOBUS Markthallen Holding GmbH &amp; Co. KG</t>
        </is>
      </c>
      <c r="AF74" s="5" t="inlineStr">
        <is>
          <t>teilhabe-inklusion-arbeitsmarkt-bundesagentur-für-arbeit-regionaldirektion-rheinland-pfalz-saar</t>
        </is>
      </c>
    </row>
    <row r="75" ht="30" customHeight="1" s="46">
      <c r="A75" s="5" t="inlineStr">
        <is>
          <t>C0074</t>
        </is>
      </c>
      <c r="B75" s="5" t="inlineStr">
        <is>
          <t>x_0074</t>
        </is>
      </c>
      <c r="C75" s="5" t="n">
        <v>0</v>
      </c>
      <c r="D75" s="5" t="inlineStr">
        <is>
          <t>Caritasverband für die Diözese Speyer e.V.</t>
        </is>
      </c>
      <c r="E75" s="5" t="inlineStr">
        <is>
          <t>GLOBUS Markthallen Holding GmbH &amp; Co. KG</t>
        </is>
      </c>
      <c r="F75" s="5" t="n">
        <v>14</v>
      </c>
      <c r="G75" s="5" t="n">
        <v>31</v>
      </c>
      <c r="H75" s="5" t="inlineStr">
        <is>
          <t>implementation_anchor</t>
        </is>
      </c>
      <c r="I75" t="inlineStr">
        <is>
          <t>health_social_anchor</t>
        </is>
      </c>
      <c r="J75" s="5" t="inlineStr">
        <is>
          <t>profit_anchor</t>
        </is>
      </c>
      <c r="K75" t="inlineStr">
        <is>
          <t>food_beverage_consumer_anchor</t>
        </is>
      </c>
      <c r="L75" s="5" t="inlineStr">
        <is>
          <t>gesellschaft</t>
        </is>
      </c>
      <c r="M75" s="5" t="inlineStr">
        <is>
          <t>teilhabe_inklusion_arbeitsmarkt</t>
        </is>
      </c>
      <c r="N75" s="5" t="inlineStr">
        <is>
          <t>Teilhabe, Inklusion und Arbeitsmarkt</t>
        </is>
      </c>
      <c r="O75" s="5" t="n">
        <v>5</v>
      </c>
      <c r="P75" s="5" t="n">
        <v>3</v>
      </c>
      <c r="Q75" s="5" t="n">
        <v>12</v>
      </c>
      <c r="R75" s="5" t="n">
        <v>4</v>
      </c>
      <c r="S75" s="5" t="n">
        <v>0</v>
      </c>
      <c r="T75" s="5" t="n">
        <v>0</v>
      </c>
      <c r="U75" s="5" t="n">
        <v>2</v>
      </c>
      <c r="V75" s="5" t="n">
        <v>8</v>
      </c>
      <c r="W75" s="5" t="n">
        <v>8</v>
      </c>
      <c r="X75" s="5" t="n">
        <v>0</v>
      </c>
      <c r="Y75" s="5" t="n">
        <v>0</v>
      </c>
      <c r="Z75" s="5" t="n">
        <v>0</v>
      </c>
      <c r="AA75" s="5" t="n">
        <v>0</v>
      </c>
      <c r="AB75" s="5" t="n">
        <v>40.427135</v>
      </c>
      <c r="AC75" s="5" t="inlineStr">
        <is>
          <t>Wie können Menschen mit Familienpflichten, Behinderung oder schwierigen Erwerbsbiografien besser am Arbeitsmarkt teilnehmen?</t>
        </is>
      </c>
      <c r="AD75" s="5" t="inlineStr">
        <is>
          <t>Teilhabe, Inklusion und Arbeitsmarkt: Caritasverband für die Diözese Speyer e.V. (implementation_anchor, 5) + GLOBUS Markthallen Holding GmbH &amp; Co. KG (profit_anchor, 3).</t>
        </is>
      </c>
      <c r="AE75" s="5" t="inlineStr">
        <is>
          <t>Caritasverband für die Diözese Speyer e.V. | GLOBUS Markthallen Holding GmbH &amp; Co. KG</t>
        </is>
      </c>
      <c r="AF75" s="5" t="inlineStr">
        <is>
          <t>teilhabe-inklusion-arbeitsmarkt-caritasverband-für-die-diözese-speyer-e-v-globus-markthallen-ho</t>
        </is>
      </c>
    </row>
    <row r="76" ht="30" customHeight="1" s="46">
      <c r="A76" s="5" t="inlineStr">
        <is>
          <t>C0075</t>
        </is>
      </c>
      <c r="B76" s="5" t="inlineStr">
        <is>
          <t>x_0075</t>
        </is>
      </c>
      <c r="C76" s="5" t="n">
        <v>0</v>
      </c>
      <c r="D76" s="5" t="inlineStr">
        <is>
          <t>Bundesagentur für Arbeit, Regionaldirektion Rheinland-Pfalz-Saarland</t>
        </is>
      </c>
      <c r="E76" s="5" t="inlineStr">
        <is>
          <t>Duale Hochschule Rheinland-Pfalz</t>
        </is>
      </c>
      <c r="F76" s="5" t="n">
        <v>13</v>
      </c>
      <c r="G76" s="5" t="n">
        <v>21</v>
      </c>
      <c r="H76" s="5" t="inlineStr">
        <is>
          <t>implementation_anchor</t>
        </is>
      </c>
      <c r="I76" t="inlineStr">
        <is>
          <t>public_policy_anchor</t>
        </is>
      </c>
      <c r="J76" s="5" t="inlineStr">
        <is>
          <t>academic_support</t>
        </is>
      </c>
      <c r="K76" t="inlineStr">
        <is>
          <t>university_applied_sciences</t>
        </is>
      </c>
      <c r="L76" s="5" t="inlineStr">
        <is>
          <t>wissen</t>
        </is>
      </c>
      <c r="M76" s="5" t="inlineStr">
        <is>
          <t>weiterbildung_lebenslanges_lernen</t>
        </is>
      </c>
      <c r="N76" s="5" t="inlineStr">
        <is>
          <t>Weiterbildung und lebenslanges Lernen</t>
        </is>
      </c>
      <c r="O76" s="5" t="n">
        <v>5</v>
      </c>
      <c r="P76" s="5" t="n">
        <v>5</v>
      </c>
      <c r="Q76" s="5" t="n">
        <v>14</v>
      </c>
      <c r="R76" s="5" t="n">
        <v>4</v>
      </c>
      <c r="S76" s="5" t="n">
        <v>0</v>
      </c>
      <c r="T76" s="5" t="n">
        <v>0</v>
      </c>
      <c r="U76" s="5" t="n">
        <v>2</v>
      </c>
      <c r="V76" s="5" t="n">
        <v>7</v>
      </c>
      <c r="W76" s="5" t="n">
        <v>7</v>
      </c>
      <c r="X76" s="5" t="n">
        <v>0</v>
      </c>
      <c r="Y76" s="5" t="n">
        <v>0</v>
      </c>
      <c r="Z76" s="5" t="n">
        <v>0</v>
      </c>
      <c r="AA76" s="5" t="n">
        <v>0</v>
      </c>
      <c r="AB76" s="5" t="n">
        <v>43.811832</v>
      </c>
      <c r="AC76" s="5" t="inlineStr">
        <is>
          <t>Wie können Beschäftigte, Verwaltung und Unternehmen Weiterbildung in reale Transformationsprozesse integrieren?</t>
        </is>
      </c>
      <c r="AD76" s="5" t="inlineStr">
        <is>
          <t>Weiterbildung und lebenslanges Lernen: Bundesagentur für Arbeit, Regionaldirektion Rheinland-Pfalz-Saarland (implementation_anchor, 5) + Duale Hochschule Rheinland-Pfalz (academic_support, 5).</t>
        </is>
      </c>
      <c r="AE76" s="5" t="inlineStr">
        <is>
          <t>Bundesagentur für Arbeit, Regionaldirektion Rheinland-Pfalz-Saarland | Duale Hochschule Rheinland-Pfalz</t>
        </is>
      </c>
      <c r="AF76" s="5" t="inlineStr">
        <is>
          <t>weiterbildung-lebenslanges-lernen-bundesagentur-für-arbeit-regionaldirektion-rheinland-pfalz-sa</t>
        </is>
      </c>
    </row>
    <row r="77" ht="30" customHeight="1" s="46">
      <c r="A77" s="5" t="inlineStr">
        <is>
          <t>C0076</t>
        </is>
      </c>
      <c r="B77" s="5" t="inlineStr">
        <is>
          <t>x_0076</t>
        </is>
      </c>
      <c r="C77" s="5" t="n">
        <v>0</v>
      </c>
      <c r="D77" s="5" t="inlineStr">
        <is>
          <t>Bundesagentur für Arbeit, Regionaldirektion Rheinland-Pfalz-Saarland</t>
        </is>
      </c>
      <c r="E77" s="5" t="inlineStr">
        <is>
          <t>GLOBUS Markthallen Holding GmbH &amp; Co. KG</t>
        </is>
      </c>
      <c r="F77" s="5" t="n">
        <v>13</v>
      </c>
      <c r="G77" s="5" t="n">
        <v>31</v>
      </c>
      <c r="H77" s="5" t="inlineStr">
        <is>
          <t>implementation_anchor</t>
        </is>
      </c>
      <c r="I77" t="inlineStr">
        <is>
          <t>public_policy_anchor</t>
        </is>
      </c>
      <c r="J77" s="5" t="inlineStr">
        <is>
          <t>profit_anchor</t>
        </is>
      </c>
      <c r="K77" t="inlineStr">
        <is>
          <t>food_beverage_consumer_anchor</t>
        </is>
      </c>
      <c r="L77" s="5" t="inlineStr">
        <is>
          <t>wissen</t>
        </is>
      </c>
      <c r="M77" s="5" t="inlineStr">
        <is>
          <t>weiterbildung_lebenslanges_lernen</t>
        </is>
      </c>
      <c r="N77" s="5" t="inlineStr">
        <is>
          <t>Weiterbildung und lebenslanges Lernen</t>
        </is>
      </c>
      <c r="O77" s="5" t="n">
        <v>5</v>
      </c>
      <c r="P77" s="5" t="n">
        <v>3</v>
      </c>
      <c r="Q77" s="5" t="n">
        <v>12</v>
      </c>
      <c r="R77" s="5" t="n">
        <v>4</v>
      </c>
      <c r="S77" s="5" t="n">
        <v>0</v>
      </c>
      <c r="T77" s="5" t="n">
        <v>0</v>
      </c>
      <c r="U77" s="5" t="n">
        <v>2</v>
      </c>
      <c r="V77" s="5" t="n">
        <v>8</v>
      </c>
      <c r="W77" s="5" t="n">
        <v>8</v>
      </c>
      <c r="X77" s="5" t="n">
        <v>0</v>
      </c>
      <c r="Y77" s="5" t="n">
        <v>0</v>
      </c>
      <c r="Z77" s="5" t="n">
        <v>0</v>
      </c>
      <c r="AA77" s="5" t="n">
        <v>0</v>
      </c>
      <c r="AB77" s="5" t="n">
        <v>45.989622</v>
      </c>
      <c r="AC77" s="5" t="inlineStr">
        <is>
          <t>Wie können Beschäftigte, Verwaltung und Unternehmen Weiterbildung in reale Transformationsprozesse integrieren?</t>
        </is>
      </c>
      <c r="AD77" s="5" t="inlineStr">
        <is>
          <t>Weiterbildung und lebenslanges Lernen: Bundesagentur für Arbeit, Regionaldirektion Rheinland-Pfalz-Saarland (implementation_anchor, 5) + GLOBUS Markthallen Holding GmbH &amp; Co. KG (profit_anchor, 3).</t>
        </is>
      </c>
      <c r="AE77" s="5" t="inlineStr">
        <is>
          <t>Bundesagentur für Arbeit, Regionaldirektion Rheinland-Pfalz-Saarland | GLOBUS Markthallen Holding GmbH &amp; Co. KG</t>
        </is>
      </c>
      <c r="AF77" s="5" t="inlineStr">
        <is>
          <t>weiterbildung-lebenslanges-lernen-bundesagentur-für-arbeit-regionaldirektion-rheinland-pfalz-sa</t>
        </is>
      </c>
    </row>
    <row r="78" ht="30" customHeight="1" s="46">
      <c r="A78" s="5" t="inlineStr">
        <is>
          <t>C0077</t>
        </is>
      </c>
      <c r="B78" s="5" t="inlineStr">
        <is>
          <t>x_0077</t>
        </is>
      </c>
      <c r="C78" s="5" t="n">
        <v>0</v>
      </c>
      <c r="D78" s="5" t="inlineStr">
        <is>
          <t>Bundesagentur für Arbeit, Regionaldirektion Rheinland-Pfalz-Saarland</t>
        </is>
      </c>
      <c r="E78" s="5" t="inlineStr">
        <is>
          <t>Leonardo PersonalKonzept GmbH</t>
        </is>
      </c>
      <c r="F78" s="5" t="n">
        <v>13</v>
      </c>
      <c r="G78" s="5" t="n">
        <v>64</v>
      </c>
      <c r="H78" s="5" t="inlineStr">
        <is>
          <t>implementation_anchor</t>
        </is>
      </c>
      <c r="I78" t="inlineStr">
        <is>
          <t>public_policy_anchor</t>
        </is>
      </c>
      <c r="J78" s="5" t="inlineStr">
        <is>
          <t>profit_anchor</t>
        </is>
      </c>
      <c r="K78" t="inlineStr">
        <is>
          <t>professional_services_anchor</t>
        </is>
      </c>
      <c r="L78" s="5" t="inlineStr">
        <is>
          <t>wissen</t>
        </is>
      </c>
      <c r="M78" s="5" t="inlineStr">
        <is>
          <t>weiterbildung_lebenslanges_lernen</t>
        </is>
      </c>
      <c r="N78" s="5" t="inlineStr">
        <is>
          <t>Weiterbildung und lebenslanges Lernen</t>
        </is>
      </c>
      <c r="O78" s="5" t="n">
        <v>5</v>
      </c>
      <c r="P78" s="5" t="n">
        <v>3</v>
      </c>
      <c r="Q78" s="5" t="n">
        <v>12</v>
      </c>
      <c r="R78" s="5" t="n">
        <v>4</v>
      </c>
      <c r="S78" s="5" t="n">
        <v>0</v>
      </c>
      <c r="T78" s="5" t="n">
        <v>0</v>
      </c>
      <c r="U78" s="5" t="n">
        <v>2</v>
      </c>
      <c r="V78" s="5" t="n">
        <v>8</v>
      </c>
      <c r="W78" s="5" t="n">
        <v>8</v>
      </c>
      <c r="X78" s="5" t="n">
        <v>0</v>
      </c>
      <c r="Y78" s="5" t="n">
        <v>0</v>
      </c>
      <c r="Z78" s="5" t="n">
        <v>0</v>
      </c>
      <c r="AA78" s="5" t="n">
        <v>0</v>
      </c>
      <c r="AB78" s="5" t="n">
        <v>45.989622</v>
      </c>
      <c r="AC78" s="5" t="inlineStr">
        <is>
          <t>Wie können Beschäftigte, Verwaltung und Unternehmen Weiterbildung in reale Transformationsprozesse integrieren?</t>
        </is>
      </c>
      <c r="AD78" s="5" t="inlineStr">
        <is>
          <t>Weiterbildung und lebenslanges Lernen: Bundesagentur für Arbeit, Regionaldirektion Rheinland-Pfalz-Saarland (implementation_anchor, 5) + Leonardo PersonalKonzept GmbH (profit_anchor, 3).</t>
        </is>
      </c>
      <c r="AE78" s="5" t="inlineStr">
        <is>
          <t>Bundesagentur für Arbeit, Regionaldirektion Rheinland-Pfalz-Saarland | Leonardo PersonalKonzept GmbH</t>
        </is>
      </c>
      <c r="AF78" s="5" t="inlineStr">
        <is>
          <t>weiterbildung-lebenslanges-lernen-bundesagentur-für-arbeit-regionaldirektion-rheinland-pfalz-sa</t>
        </is>
      </c>
    </row>
    <row r="79" ht="30" customHeight="1" s="46">
      <c r="A79" s="5" t="inlineStr">
        <is>
          <t>C0078</t>
        </is>
      </c>
      <c r="B79" s="5" t="inlineStr">
        <is>
          <t>x_0078</t>
        </is>
      </c>
      <c r="C79" s="5" t="n">
        <v>0</v>
      </c>
      <c r="D79" s="5" t="inlineStr">
        <is>
          <t>Duale Hochschule Rheinland-Pfalz</t>
        </is>
      </c>
      <c r="E79" s="5" t="inlineStr">
        <is>
          <t>Handwerkskammern Rheinland-Pfalz</t>
        </is>
      </c>
      <c r="F79" s="5" t="n">
        <v>21</v>
      </c>
      <c r="G79" s="5" t="n">
        <v>32</v>
      </c>
      <c r="H79" s="5" t="inlineStr">
        <is>
          <t>academic_support</t>
        </is>
      </c>
      <c r="I79" t="inlineStr">
        <is>
          <t>university_applied_sciences</t>
        </is>
      </c>
      <c r="J79" s="5" t="inlineStr">
        <is>
          <t>implementation_anchor</t>
        </is>
      </c>
      <c r="K79" t="inlineStr">
        <is>
          <t>chamber_association_anchor</t>
        </is>
      </c>
      <c r="L79" s="5" t="inlineStr">
        <is>
          <t>wissen</t>
        </is>
      </c>
      <c r="M79" s="5" t="inlineStr">
        <is>
          <t>weiterbildung_lebenslanges_lernen</t>
        </is>
      </c>
      <c r="N79" s="5" t="inlineStr">
        <is>
          <t>Weiterbildung und lebenslanges Lernen</t>
        </is>
      </c>
      <c r="O79" s="5" t="n">
        <v>5</v>
      </c>
      <c r="P79" s="5" t="n">
        <v>5</v>
      </c>
      <c r="Q79" s="5" t="n">
        <v>14</v>
      </c>
      <c r="R79" s="5" t="n">
        <v>4</v>
      </c>
      <c r="S79" s="5" t="n">
        <v>0</v>
      </c>
      <c r="T79" s="5" t="n">
        <v>0</v>
      </c>
      <c r="U79" s="5" t="n">
        <v>2</v>
      </c>
      <c r="V79" s="5" t="n">
        <v>7</v>
      </c>
      <c r="W79" s="5" t="n">
        <v>7</v>
      </c>
      <c r="X79" s="5" t="n">
        <v>0</v>
      </c>
      <c r="Y79" s="5" t="n">
        <v>0</v>
      </c>
      <c r="Z79" s="5" t="n">
        <v>0</v>
      </c>
      <c r="AA79" s="5" t="n">
        <v>0</v>
      </c>
      <c r="AB79" s="5" t="n">
        <v>50.403212</v>
      </c>
      <c r="AC79" s="5" t="inlineStr">
        <is>
          <t>Wie können Beschäftigte, Verwaltung und Unternehmen Weiterbildung in reale Transformationsprozesse integrieren?</t>
        </is>
      </c>
      <c r="AD79" s="5" t="inlineStr">
        <is>
          <t>Weiterbildung und lebenslanges Lernen: Duale Hochschule Rheinland-Pfalz (academic_support, 5) + Handwerkskammern Rheinland-Pfalz (implementation_anchor, 5).</t>
        </is>
      </c>
      <c r="AE79" s="5" t="inlineStr">
        <is>
          <t>Duale Hochschule Rheinland-Pfalz | Handwerkskammern Rheinland-Pfalz</t>
        </is>
      </c>
      <c r="AF79" s="5" t="inlineStr">
        <is>
          <t>weiterbildung-lebenslanges-lernen-duale-hochschule-rheinland-pfalz-handwerkskammern-rheinland-p</t>
        </is>
      </c>
    </row>
    <row r="80" ht="30" customHeight="1" s="46">
      <c r="A80" s="5" t="inlineStr">
        <is>
          <t>C0079</t>
        </is>
      </c>
      <c r="B80" s="5" t="inlineStr">
        <is>
          <t>x_0079</t>
        </is>
      </c>
      <c r="C80" s="5" t="n">
        <v>0</v>
      </c>
      <c r="D80" s="5" t="inlineStr">
        <is>
          <t>GLOBUS Markthallen Holding GmbH &amp; Co. KG</t>
        </is>
      </c>
      <c r="E80" s="5" t="inlineStr">
        <is>
          <t>Handwerkskammern Rheinland-Pfalz</t>
        </is>
      </c>
      <c r="F80" s="5" t="n">
        <v>31</v>
      </c>
      <c r="G80" s="5" t="n">
        <v>32</v>
      </c>
      <c r="H80" s="5" t="inlineStr">
        <is>
          <t>profit_anchor</t>
        </is>
      </c>
      <c r="I80" t="inlineStr">
        <is>
          <t>food_beverage_consumer_anchor</t>
        </is>
      </c>
      <c r="J80" s="5" t="inlineStr">
        <is>
          <t>implementation_anchor</t>
        </is>
      </c>
      <c r="K80" t="inlineStr">
        <is>
          <t>chamber_association_anchor</t>
        </is>
      </c>
      <c r="L80" s="5" t="inlineStr">
        <is>
          <t>wissen</t>
        </is>
      </c>
      <c r="M80" s="5" t="inlineStr">
        <is>
          <t>weiterbildung_lebenslanges_lernen</t>
        </is>
      </c>
      <c r="N80" s="5" t="inlineStr">
        <is>
          <t>Weiterbildung und lebenslanges Lernen</t>
        </is>
      </c>
      <c r="O80" s="5" t="n">
        <v>3</v>
      </c>
      <c r="P80" s="5" t="n">
        <v>5</v>
      </c>
      <c r="Q80" s="5" t="n">
        <v>12</v>
      </c>
      <c r="R80" s="5" t="n">
        <v>4</v>
      </c>
      <c r="S80" s="5" t="n">
        <v>0</v>
      </c>
      <c r="T80" s="5" t="n">
        <v>0</v>
      </c>
      <c r="U80" s="5" t="n">
        <v>2</v>
      </c>
      <c r="V80" s="5" t="n">
        <v>8</v>
      </c>
      <c r="W80" s="5" t="n">
        <v>8</v>
      </c>
      <c r="X80" s="5" t="n">
        <v>0</v>
      </c>
      <c r="Y80" s="5" t="n">
        <v>0</v>
      </c>
      <c r="Z80" s="5" t="n">
        <v>0</v>
      </c>
      <c r="AA80" s="5" t="n">
        <v>0</v>
      </c>
      <c r="AB80" s="5" t="n">
        <v>50.94838</v>
      </c>
      <c r="AC80" s="5" t="inlineStr">
        <is>
          <t>Wie können Beschäftigte, Verwaltung und Unternehmen Weiterbildung in reale Transformationsprozesse integrieren?</t>
        </is>
      </c>
      <c r="AD80" s="5" t="inlineStr">
        <is>
          <t>Weiterbildung und lebenslanges Lernen: GLOBUS Markthallen Holding GmbH &amp; Co. KG (profit_anchor, 3) + Handwerkskammern Rheinland-Pfalz (implementation_anchor, 5).</t>
        </is>
      </c>
      <c r="AE80" s="5" t="inlineStr">
        <is>
          <t>GLOBUS Markthallen Holding GmbH &amp; Co. KG | Handwerkskammern Rheinland-Pfalz</t>
        </is>
      </c>
      <c r="AF80" s="5" t="inlineStr">
        <is>
          <t>weiterbildung-lebenslanges-lernen-globus-markthallen-holding-gmbh-co-kg-handwerkskammern-rheinl</t>
        </is>
      </c>
    </row>
    <row r="81" ht="30" customHeight="1" s="46">
      <c r="A81" s="5" t="inlineStr">
        <is>
          <t>C0080</t>
        </is>
      </c>
      <c r="B81" s="5" t="inlineStr">
        <is>
          <t>x_0080</t>
        </is>
      </c>
      <c r="C81" s="5" t="n">
        <v>0</v>
      </c>
      <c r="D81" s="5" t="inlineStr">
        <is>
          <t>Handwerkskammern Rheinland-Pfalz</t>
        </is>
      </c>
      <c r="E81" s="5" t="inlineStr">
        <is>
          <t>Leonardo PersonalKonzept GmbH</t>
        </is>
      </c>
      <c r="F81" s="5" t="n">
        <v>32</v>
      </c>
      <c r="G81" s="5" t="n">
        <v>64</v>
      </c>
      <c r="H81" s="5" t="inlineStr">
        <is>
          <t>implementation_anchor</t>
        </is>
      </c>
      <c r="I81" t="inlineStr">
        <is>
          <t>chamber_association_anchor</t>
        </is>
      </c>
      <c r="J81" s="5" t="inlineStr">
        <is>
          <t>profit_anchor</t>
        </is>
      </c>
      <c r="K81" t="inlineStr">
        <is>
          <t>professional_services_anchor</t>
        </is>
      </c>
      <c r="L81" s="5" t="inlineStr">
        <is>
          <t>wissen</t>
        </is>
      </c>
      <c r="M81" s="5" t="inlineStr">
        <is>
          <t>weiterbildung_lebenslanges_lernen</t>
        </is>
      </c>
      <c r="N81" s="5" t="inlineStr">
        <is>
          <t>Weiterbildung und lebenslanges Lernen</t>
        </is>
      </c>
      <c r="O81" s="5" t="n">
        <v>5</v>
      </c>
      <c r="P81" s="5" t="n">
        <v>3</v>
      </c>
      <c r="Q81" s="5" t="n">
        <v>12</v>
      </c>
      <c r="R81" s="5" t="n">
        <v>4</v>
      </c>
      <c r="S81" s="5" t="n">
        <v>0</v>
      </c>
      <c r="T81" s="5" t="n">
        <v>0</v>
      </c>
      <c r="U81" s="5" t="n">
        <v>2</v>
      </c>
      <c r="V81" s="5" t="n">
        <v>8</v>
      </c>
      <c r="W81" s="5" t="n">
        <v>8</v>
      </c>
      <c r="X81" s="5" t="n">
        <v>0</v>
      </c>
      <c r="Y81" s="5" t="n">
        <v>0</v>
      </c>
      <c r="Z81" s="5" t="n">
        <v>0</v>
      </c>
      <c r="AA81" s="5" t="n">
        <v>0</v>
      </c>
      <c r="AB81" s="5" t="n">
        <v>50.94838</v>
      </c>
      <c r="AC81" s="5" t="inlineStr">
        <is>
          <t>Wie können Beschäftigte, Verwaltung und Unternehmen Weiterbildung in reale Transformationsprozesse integrieren?</t>
        </is>
      </c>
      <c r="AD81" s="5" t="inlineStr">
        <is>
          <t>Weiterbildung und lebenslanges Lernen: Handwerkskammern Rheinland-Pfalz (implementation_anchor, 5) + Leonardo PersonalKonzept GmbH (profit_anchor, 3).</t>
        </is>
      </c>
      <c r="AE81" s="5" t="inlineStr">
        <is>
          <t>Handwerkskammern Rheinland-Pfalz | Leonardo PersonalKonzept GmbH</t>
        </is>
      </c>
      <c r="AF81" s="5" t="inlineStr">
        <is>
          <t>weiterbildung-lebenslanges-lernen-handwerkskammern-rheinland-pfalz-leonardo-personalkonzept-gmb</t>
        </is>
      </c>
    </row>
    <row r="82" ht="30" customHeight="1" s="46">
      <c r="A82" s="5" t="inlineStr">
        <is>
          <t>C0081</t>
        </is>
      </c>
      <c r="B82" s="5" t="inlineStr">
        <is>
          <t>x_0081</t>
        </is>
      </c>
      <c r="C82" s="5" t="n">
        <v>0</v>
      </c>
      <c r="D82" s="5" t="inlineStr">
        <is>
          <t>BASF SE</t>
        </is>
      </c>
      <c r="E82" s="5" t="inlineStr">
        <is>
          <t>Caritasverband für die Diözese Speyer e.V.</t>
        </is>
      </c>
      <c r="F82" s="5" t="n">
        <v>6</v>
      </c>
      <c r="G82" s="5" t="n">
        <v>14</v>
      </c>
      <c r="H82" s="5" t="inlineStr">
        <is>
          <t>profit_anchor</t>
        </is>
      </c>
      <c r="I82" t="inlineStr">
        <is>
          <t>industry_anchor</t>
        </is>
      </c>
      <c r="J82" s="5" t="inlineStr">
        <is>
          <t>implementation_anchor</t>
        </is>
      </c>
      <c r="K82" t="inlineStr">
        <is>
          <t>health_social_anchor</t>
        </is>
      </c>
      <c r="L82" s="5" t="inlineStr">
        <is>
          <t>wirtschaft</t>
        </is>
      </c>
      <c r="M82" s="5" t="inlineStr">
        <is>
          <t>arbeitsmarkt_fachkraefte</t>
        </is>
      </c>
      <c r="N82" s="5" t="inlineStr">
        <is>
          <t>Arbeitsmarkt, Fachkräfte und Qualifizierung</t>
        </is>
      </c>
      <c r="O82" s="5" t="n">
        <v>3</v>
      </c>
      <c r="P82" s="5" t="n">
        <v>4</v>
      </c>
      <c r="Q82" s="5" t="n">
        <v>11</v>
      </c>
      <c r="R82" s="5" t="n">
        <v>4</v>
      </c>
      <c r="S82" s="5" t="n">
        <v>0</v>
      </c>
      <c r="T82" s="5" t="n">
        <v>0</v>
      </c>
      <c r="U82" s="5" t="n">
        <v>2</v>
      </c>
      <c r="V82" s="5" t="n">
        <v>8</v>
      </c>
      <c r="W82" s="5" t="n">
        <v>8</v>
      </c>
      <c r="X82" s="5" t="n">
        <v>0</v>
      </c>
      <c r="Y82" s="5" t="n">
        <v>0</v>
      </c>
      <c r="Z82" s="5" t="n">
        <v>0</v>
      </c>
      <c r="AA82" s="5" t="n">
        <v>0</v>
      </c>
      <c r="AB82" s="5" t="n">
        <v>30.77061</v>
      </c>
      <c r="AC82" s="5" t="inlineStr">
        <is>
          <t>Wie sichern Unternehmen, Hochschulen, Kammern und Arbeitsverwaltung Fachkräfte für Transformation, Pflege, Technik und Verwaltung?</t>
        </is>
      </c>
      <c r="AD82" s="5" t="inlineStr">
        <is>
          <t>Arbeitsmarkt, Fachkräfte und Qualifizierung: BASF SE (profit_anchor, 3) + Caritasverband für die Diözese Speyer e.V. (implementation_anchor, 4).</t>
        </is>
      </c>
      <c r="AE82" s="5" t="inlineStr">
        <is>
          <t>BASF SE | Caritasverband für die Diözese Speyer e.V.</t>
        </is>
      </c>
      <c r="AF82" s="5" t="inlineStr">
        <is>
          <t>arbeitsmarkt-fachkraefte-basf-se-caritasverband-für-die-diözese-speyer-e-v</t>
        </is>
      </c>
    </row>
    <row r="83" ht="30" customHeight="1" s="46">
      <c r="A83" s="5" t="inlineStr">
        <is>
          <t>C0082</t>
        </is>
      </c>
      <c r="B83" s="5" t="inlineStr">
        <is>
          <t>x_0082</t>
        </is>
      </c>
      <c r="C83" s="5" t="n">
        <v>0</v>
      </c>
      <c r="D83" s="5" t="inlineStr">
        <is>
          <t>Boehringer Ingelheim Pharma GmbH &amp; Co. KG</t>
        </is>
      </c>
      <c r="E83" s="5" t="inlineStr">
        <is>
          <t>Caritasverband für die Diözese Speyer e.V.</t>
        </is>
      </c>
      <c r="F83" s="5" t="n">
        <v>11</v>
      </c>
      <c r="G83" s="5" t="n">
        <v>14</v>
      </c>
      <c r="H83" s="5" t="inlineStr">
        <is>
          <t>profit_anchor</t>
        </is>
      </c>
      <c r="I83" t="inlineStr">
        <is>
          <t>health_social_anchor</t>
        </is>
      </c>
      <c r="J83" s="5" t="inlineStr">
        <is>
          <t>implementation_anchor</t>
        </is>
      </c>
      <c r="K83" t="inlineStr">
        <is>
          <t>health_social_anchor</t>
        </is>
      </c>
      <c r="L83" s="5" t="inlineStr">
        <is>
          <t>wirtschaft</t>
        </is>
      </c>
      <c r="M83" s="5" t="inlineStr">
        <is>
          <t>arbeitsmarkt_fachkraefte</t>
        </is>
      </c>
      <c r="N83" s="5" t="inlineStr">
        <is>
          <t>Arbeitsmarkt, Fachkräfte und Qualifizierung</t>
        </is>
      </c>
      <c r="O83" s="5" t="n">
        <v>3</v>
      </c>
      <c r="P83" s="5" t="n">
        <v>4</v>
      </c>
      <c r="Q83" s="5" t="n">
        <v>11</v>
      </c>
      <c r="R83" s="5" t="n">
        <v>4</v>
      </c>
      <c r="S83" s="5" t="n">
        <v>0</v>
      </c>
      <c r="T83" s="5" t="n">
        <v>0</v>
      </c>
      <c r="U83" s="5" t="n">
        <v>2</v>
      </c>
      <c r="V83" s="5" t="n">
        <v>8</v>
      </c>
      <c r="W83" s="5" t="n">
        <v>8</v>
      </c>
      <c r="X83" s="5" t="n">
        <v>0</v>
      </c>
      <c r="Y83" s="5" t="n">
        <v>0</v>
      </c>
      <c r="Z83" s="5" t="n">
        <v>0</v>
      </c>
      <c r="AA83" s="5" t="n">
        <v>0</v>
      </c>
      <c r="AB83" s="5" t="n">
        <v>30.09425</v>
      </c>
      <c r="AC83" s="5" t="inlineStr">
        <is>
          <t>Wie sichern Unternehmen, Hochschulen, Kammern und Arbeitsverwaltung Fachkräfte für Transformation, Pflege, Technik und Verwaltung?</t>
        </is>
      </c>
      <c r="AD83" s="5" t="inlineStr">
        <is>
          <t>Arbeitsmarkt, Fachkräfte und Qualifizierung: Boehringer Ingelheim Pharma GmbH &amp; Co. KG (profit_anchor, 3) + Caritasverband für die Diözese Speyer e.V. (implementation_anchor, 4).</t>
        </is>
      </c>
      <c r="AE83" s="5" t="inlineStr">
        <is>
          <t>Boehringer Ingelheim Pharma GmbH &amp; Co. KG | Caritasverband für die Diözese Speyer e.V.</t>
        </is>
      </c>
      <c r="AF83" s="5" t="inlineStr">
        <is>
          <t>arbeitsmarkt-fachkraefte-boehringer-ingelheim-pharma-gmbh-co-kg-caritasverband-für-die-diözese-</t>
        </is>
      </c>
    </row>
    <row r="84" ht="30" customHeight="1" s="46">
      <c r="A84" s="5" t="inlineStr">
        <is>
          <t>C0083</t>
        </is>
      </c>
      <c r="B84" s="5" t="inlineStr">
        <is>
          <t>x_0083</t>
        </is>
      </c>
      <c r="C84" s="5" t="n">
        <v>0</v>
      </c>
      <c r="D84" s="5" t="inlineStr">
        <is>
          <t>Bundesagentur für Arbeit, Regionaldirektion Rheinland-Pfalz-Saarland</t>
        </is>
      </c>
      <c r="E84" s="5" t="inlineStr">
        <is>
          <t>Hochschule Kaiserslautern</t>
        </is>
      </c>
      <c r="F84" s="5" t="n">
        <v>13</v>
      </c>
      <c r="G84" s="5" t="n">
        <v>37</v>
      </c>
      <c r="H84" s="5" t="inlineStr">
        <is>
          <t>implementation_anchor</t>
        </is>
      </c>
      <c r="I84" t="inlineStr">
        <is>
          <t>public_policy_anchor</t>
        </is>
      </c>
      <c r="J84" s="5" t="inlineStr">
        <is>
          <t>academic_support</t>
        </is>
      </c>
      <c r="K84" t="inlineStr">
        <is>
          <t>university_applied_sciences</t>
        </is>
      </c>
      <c r="L84" s="5" t="inlineStr">
        <is>
          <t>wirtschaft</t>
        </is>
      </c>
      <c r="M84" s="5" t="inlineStr">
        <is>
          <t>arbeitsmarkt_fachkraefte</t>
        </is>
      </c>
      <c r="N84" s="5" t="inlineStr">
        <is>
          <t>Arbeitsmarkt, Fachkräfte und Qualifizierung</t>
        </is>
      </c>
      <c r="O84" s="5" t="n">
        <v>5</v>
      </c>
      <c r="P84" s="5" t="n">
        <v>4</v>
      </c>
      <c r="Q84" s="5" t="n">
        <v>13</v>
      </c>
      <c r="R84" s="5" t="n">
        <v>4</v>
      </c>
      <c r="S84" s="5" t="n">
        <v>0</v>
      </c>
      <c r="T84" s="5" t="n">
        <v>0</v>
      </c>
      <c r="U84" s="5" t="n">
        <v>2</v>
      </c>
      <c r="V84" s="5" t="n">
        <v>7</v>
      </c>
      <c r="W84" s="5" t="n">
        <v>7</v>
      </c>
      <c r="X84" s="5" t="n">
        <v>0</v>
      </c>
      <c r="Y84" s="5" t="n">
        <v>0</v>
      </c>
      <c r="Z84" s="5" t="n">
        <v>0</v>
      </c>
      <c r="AA84" s="5" t="n">
        <v>0</v>
      </c>
      <c r="AB84" s="5" t="n">
        <v>42.523249</v>
      </c>
      <c r="AC84" s="5" t="inlineStr">
        <is>
          <t>Wie sichern Unternehmen, Hochschulen, Kammern und Arbeitsverwaltung Fachkräfte für Transformation, Pflege, Technik und Verwaltung?</t>
        </is>
      </c>
      <c r="AD84" s="5" t="inlineStr">
        <is>
          <t>Arbeitsmarkt, Fachkräfte und Qualifizierung: Bundesagentur für Arbeit, Regionaldirektion Rheinland-Pfalz-Saarland (implementation_anchor, 5) + Hochschule Kaiserslautern (academic_support, 4).</t>
        </is>
      </c>
      <c r="AE84" s="5" t="inlineStr">
        <is>
          <t>Bundesagentur für Arbeit, Regionaldirektion Rheinland-Pfalz-Saarland | Hochschule Kaiserslautern</t>
        </is>
      </c>
      <c r="AF84" s="5" t="inlineStr">
        <is>
          <t>arbeitsmarkt-fachkraefte-bundesagentur-für-arbeit-regionaldirektion-rheinland-pfalz-saarland-ho</t>
        </is>
      </c>
    </row>
    <row r="85" ht="30" customHeight="1" s="46">
      <c r="A85" s="5" t="inlineStr">
        <is>
          <t>C0084</t>
        </is>
      </c>
      <c r="B85" s="5" t="inlineStr">
        <is>
          <t>x_0084</t>
        </is>
      </c>
      <c r="C85" s="5" t="n">
        <v>0</v>
      </c>
      <c r="D85" s="5" t="inlineStr">
        <is>
          <t>Bundesagentur für Arbeit, Regionaldirektion Rheinland-Pfalz-Saarland</t>
        </is>
      </c>
      <c r="E85" s="5" t="inlineStr">
        <is>
          <t>Hochschule Koblenz</t>
        </is>
      </c>
      <c r="F85" s="5" t="n">
        <v>13</v>
      </c>
      <c r="G85" s="5" t="n">
        <v>38</v>
      </c>
      <c r="H85" s="5" t="inlineStr">
        <is>
          <t>implementation_anchor</t>
        </is>
      </c>
      <c r="I85" t="inlineStr">
        <is>
          <t>public_policy_anchor</t>
        </is>
      </c>
      <c r="J85" s="5" t="inlineStr">
        <is>
          <t>academic_support</t>
        </is>
      </c>
      <c r="K85" t="inlineStr">
        <is>
          <t>university_applied_sciences</t>
        </is>
      </c>
      <c r="L85" s="5" t="inlineStr">
        <is>
          <t>wirtschaft</t>
        </is>
      </c>
      <c r="M85" s="5" t="inlineStr">
        <is>
          <t>arbeitsmarkt_fachkraefte</t>
        </is>
      </c>
      <c r="N85" s="5" t="inlineStr">
        <is>
          <t>Arbeitsmarkt, Fachkräfte und Qualifizierung</t>
        </is>
      </c>
      <c r="O85" s="5" t="n">
        <v>5</v>
      </c>
      <c r="P85" s="5" t="n">
        <v>4</v>
      </c>
      <c r="Q85" s="5" t="n">
        <v>13</v>
      </c>
      <c r="R85" s="5" t="n">
        <v>4</v>
      </c>
      <c r="S85" s="5" t="n">
        <v>0</v>
      </c>
      <c r="T85" s="5" t="n">
        <v>0</v>
      </c>
      <c r="U85" s="5" t="n">
        <v>2</v>
      </c>
      <c r="V85" s="5" t="n">
        <v>7</v>
      </c>
      <c r="W85" s="5" t="n">
        <v>7</v>
      </c>
      <c r="X85" s="5" t="n">
        <v>0</v>
      </c>
      <c r="Y85" s="5" t="n">
        <v>0</v>
      </c>
      <c r="Z85" s="5" t="n">
        <v>0</v>
      </c>
      <c r="AA85" s="5" t="n">
        <v>0</v>
      </c>
      <c r="AB85" s="5" t="n">
        <v>42.523249</v>
      </c>
      <c r="AC85" s="5" t="inlineStr">
        <is>
          <t>Wie sichern Unternehmen, Hochschulen, Kammern und Arbeitsverwaltung Fachkräfte für Transformation, Pflege, Technik und Verwaltung?</t>
        </is>
      </c>
      <c r="AD85" s="5" t="inlineStr">
        <is>
          <t>Arbeitsmarkt, Fachkräfte und Qualifizierung: Bundesagentur für Arbeit, Regionaldirektion Rheinland-Pfalz-Saarland (implementation_anchor, 5) + Hochschule Koblenz (academic_support, 4).</t>
        </is>
      </c>
      <c r="AE85" s="5" t="inlineStr">
        <is>
          <t>Bundesagentur für Arbeit, Regionaldirektion Rheinland-Pfalz-Saarland | Hochschule Koblenz</t>
        </is>
      </c>
      <c r="AF85" s="5" t="inlineStr">
        <is>
          <t>arbeitsmarkt-fachkraefte-bundesagentur-für-arbeit-regionaldirektion-rheinland-pfalz-saarland-ho</t>
        </is>
      </c>
    </row>
    <row r="86" ht="30" customHeight="1" s="46">
      <c r="A86" s="5" t="inlineStr">
        <is>
          <t>C0085</t>
        </is>
      </c>
      <c r="B86" s="5" t="inlineStr">
        <is>
          <t>x_0085</t>
        </is>
      </c>
      <c r="C86" s="5" t="n">
        <v>0</v>
      </c>
      <c r="D86" s="5" t="inlineStr">
        <is>
          <t>Bundesagentur für Arbeit, Regionaldirektion Rheinland-Pfalz-Saarland</t>
        </is>
      </c>
      <c r="E86" s="5" t="inlineStr">
        <is>
          <t>Hochschule Mainz</t>
        </is>
      </c>
      <c r="F86" s="5" t="n">
        <v>13</v>
      </c>
      <c r="G86" s="5" t="n">
        <v>39</v>
      </c>
      <c r="H86" s="5" t="inlineStr">
        <is>
          <t>implementation_anchor</t>
        </is>
      </c>
      <c r="I86" t="inlineStr">
        <is>
          <t>public_policy_anchor</t>
        </is>
      </c>
      <c r="J86" s="5" t="inlineStr">
        <is>
          <t>academic_support</t>
        </is>
      </c>
      <c r="K86" t="inlineStr">
        <is>
          <t>university_applied_sciences</t>
        </is>
      </c>
      <c r="L86" s="5" t="inlineStr">
        <is>
          <t>wirtschaft</t>
        </is>
      </c>
      <c r="M86" s="5" t="inlineStr">
        <is>
          <t>arbeitsmarkt_fachkraefte</t>
        </is>
      </c>
      <c r="N86" s="5" t="inlineStr">
        <is>
          <t>Arbeitsmarkt, Fachkräfte und Qualifizierung</t>
        </is>
      </c>
      <c r="O86" s="5" t="n">
        <v>5</v>
      </c>
      <c r="P86" s="5" t="n">
        <v>4</v>
      </c>
      <c r="Q86" s="5" t="n">
        <v>13</v>
      </c>
      <c r="R86" s="5" t="n">
        <v>4</v>
      </c>
      <c r="S86" s="5" t="n">
        <v>0</v>
      </c>
      <c r="T86" s="5" t="n">
        <v>0</v>
      </c>
      <c r="U86" s="5" t="n">
        <v>2</v>
      </c>
      <c r="V86" s="5" t="n">
        <v>7</v>
      </c>
      <c r="W86" s="5" t="n">
        <v>7</v>
      </c>
      <c r="X86" s="5" t="n">
        <v>0</v>
      </c>
      <c r="Y86" s="5" t="n">
        <v>0</v>
      </c>
      <c r="Z86" s="5" t="n">
        <v>0</v>
      </c>
      <c r="AA86" s="5" t="n">
        <v>0</v>
      </c>
      <c r="AB86" s="5" t="n">
        <v>42.523249</v>
      </c>
      <c r="AC86" s="5" t="inlineStr">
        <is>
          <t>Wie sichern Unternehmen, Hochschulen, Kammern und Arbeitsverwaltung Fachkräfte für Transformation, Pflege, Technik und Verwaltung?</t>
        </is>
      </c>
      <c r="AD86" s="5" t="inlineStr">
        <is>
          <t>Arbeitsmarkt, Fachkräfte und Qualifizierung: Bundesagentur für Arbeit, Regionaldirektion Rheinland-Pfalz-Saarland (implementation_anchor, 5) + Hochschule Mainz (academic_support, 4).</t>
        </is>
      </c>
      <c r="AE86" s="5" t="inlineStr">
        <is>
          <t>Bundesagentur für Arbeit, Regionaldirektion Rheinland-Pfalz-Saarland | Hochschule Mainz</t>
        </is>
      </c>
      <c r="AF86" s="5" t="inlineStr">
        <is>
          <t>arbeitsmarkt-fachkraefte-bundesagentur-für-arbeit-regionaldirektion-rheinland-pfalz-saarland-ho</t>
        </is>
      </c>
    </row>
    <row r="87" ht="30" customHeight="1" s="46">
      <c r="A87" s="5" t="inlineStr">
        <is>
          <t>C0086</t>
        </is>
      </c>
      <c r="B87" s="5" t="inlineStr">
        <is>
          <t>x_0086</t>
        </is>
      </c>
      <c r="C87" s="5" t="n">
        <v>0</v>
      </c>
      <c r="D87" s="5" t="inlineStr">
        <is>
          <t>Bundesagentur für Arbeit, Regionaldirektion Rheinland-Pfalz-Saarland</t>
        </is>
      </c>
      <c r="E87" s="5" t="inlineStr">
        <is>
          <t>Hochschule Trier</t>
        </is>
      </c>
      <c r="F87" s="5" t="n">
        <v>13</v>
      </c>
      <c r="G87" s="5" t="n">
        <v>40</v>
      </c>
      <c r="H87" s="5" t="inlineStr">
        <is>
          <t>implementation_anchor</t>
        </is>
      </c>
      <c r="I87" t="inlineStr">
        <is>
          <t>public_policy_anchor</t>
        </is>
      </c>
      <c r="J87" s="5" t="inlineStr">
        <is>
          <t>academic_support</t>
        </is>
      </c>
      <c r="K87" t="inlineStr">
        <is>
          <t>university_applied_sciences</t>
        </is>
      </c>
      <c r="L87" s="5" t="inlineStr">
        <is>
          <t>wirtschaft</t>
        </is>
      </c>
      <c r="M87" s="5" t="inlineStr">
        <is>
          <t>arbeitsmarkt_fachkraefte</t>
        </is>
      </c>
      <c r="N87" s="5" t="inlineStr">
        <is>
          <t>Arbeitsmarkt, Fachkräfte und Qualifizierung</t>
        </is>
      </c>
      <c r="O87" s="5" t="n">
        <v>5</v>
      </c>
      <c r="P87" s="5" t="n">
        <v>4</v>
      </c>
      <c r="Q87" s="5" t="n">
        <v>13</v>
      </c>
      <c r="R87" s="5" t="n">
        <v>4</v>
      </c>
      <c r="S87" s="5" t="n">
        <v>0</v>
      </c>
      <c r="T87" s="5" t="n">
        <v>0</v>
      </c>
      <c r="U87" s="5" t="n">
        <v>2</v>
      </c>
      <c r="V87" s="5" t="n">
        <v>7</v>
      </c>
      <c r="W87" s="5" t="n">
        <v>7</v>
      </c>
      <c r="X87" s="5" t="n">
        <v>0</v>
      </c>
      <c r="Y87" s="5" t="n">
        <v>0</v>
      </c>
      <c r="Z87" s="5" t="n">
        <v>0</v>
      </c>
      <c r="AA87" s="5" t="n">
        <v>0</v>
      </c>
      <c r="AB87" s="5" t="n">
        <v>42.523249</v>
      </c>
      <c r="AC87" s="5" t="inlineStr">
        <is>
          <t>Wie sichern Unternehmen, Hochschulen, Kammern und Arbeitsverwaltung Fachkräfte für Transformation, Pflege, Technik und Verwaltung?</t>
        </is>
      </c>
      <c r="AD87" s="5" t="inlineStr">
        <is>
          <t>Arbeitsmarkt, Fachkräfte und Qualifizierung: Bundesagentur für Arbeit, Regionaldirektion Rheinland-Pfalz-Saarland (implementation_anchor, 5) + Hochschule Trier (academic_support, 4).</t>
        </is>
      </c>
      <c r="AE87" s="5" t="inlineStr">
        <is>
          <t>Bundesagentur für Arbeit, Regionaldirektion Rheinland-Pfalz-Saarland | Hochschule Trier</t>
        </is>
      </c>
      <c r="AF87" s="5" t="inlineStr">
        <is>
          <t>arbeitsmarkt-fachkraefte-bundesagentur-für-arbeit-regionaldirektion-rheinland-pfalz-saarland-ho</t>
        </is>
      </c>
    </row>
    <row r="88" ht="30" customHeight="1" s="46">
      <c r="A88" s="5" t="inlineStr">
        <is>
          <t>C0087</t>
        </is>
      </c>
      <c r="B88" s="5" t="inlineStr">
        <is>
          <t>x_0087</t>
        </is>
      </c>
      <c r="C88" s="5" t="n">
        <v>0</v>
      </c>
      <c r="D88" s="5" t="inlineStr">
        <is>
          <t>Bundesagentur für Arbeit, Regionaldirektion Rheinland-Pfalz-Saarland</t>
        </is>
      </c>
      <c r="E88" s="5" t="inlineStr">
        <is>
          <t>Hochschule Worms</t>
        </is>
      </c>
      <c r="F88" s="5" t="n">
        <v>13</v>
      </c>
      <c r="G88" s="5" t="n">
        <v>41</v>
      </c>
      <c r="H88" s="5" t="inlineStr">
        <is>
          <t>implementation_anchor</t>
        </is>
      </c>
      <c r="I88" t="inlineStr">
        <is>
          <t>public_policy_anchor</t>
        </is>
      </c>
      <c r="J88" s="5" t="inlineStr">
        <is>
          <t>academic_support</t>
        </is>
      </c>
      <c r="K88" t="inlineStr">
        <is>
          <t>university_applied_sciences</t>
        </is>
      </c>
      <c r="L88" s="5" t="inlineStr">
        <is>
          <t>wirtschaft</t>
        </is>
      </c>
      <c r="M88" s="5" t="inlineStr">
        <is>
          <t>arbeitsmarkt_fachkraefte</t>
        </is>
      </c>
      <c r="N88" s="5" t="inlineStr">
        <is>
          <t>Arbeitsmarkt, Fachkräfte und Qualifizierung</t>
        </is>
      </c>
      <c r="O88" s="5" t="n">
        <v>5</v>
      </c>
      <c r="P88" s="5" t="n">
        <v>4</v>
      </c>
      <c r="Q88" s="5" t="n">
        <v>13</v>
      </c>
      <c r="R88" s="5" t="n">
        <v>4</v>
      </c>
      <c r="S88" s="5" t="n">
        <v>0</v>
      </c>
      <c r="T88" s="5" t="n">
        <v>0</v>
      </c>
      <c r="U88" s="5" t="n">
        <v>2</v>
      </c>
      <c r="V88" s="5" t="n">
        <v>7</v>
      </c>
      <c r="W88" s="5" t="n">
        <v>7</v>
      </c>
      <c r="X88" s="5" t="n">
        <v>0</v>
      </c>
      <c r="Y88" s="5" t="n">
        <v>0</v>
      </c>
      <c r="Z88" s="5" t="n">
        <v>0</v>
      </c>
      <c r="AA88" s="5" t="n">
        <v>0</v>
      </c>
      <c r="AB88" s="5" t="n">
        <v>42.523249</v>
      </c>
      <c r="AC88" s="5" t="inlineStr">
        <is>
          <t>Wie sichern Unternehmen, Hochschulen, Kammern und Arbeitsverwaltung Fachkräfte für Transformation, Pflege, Technik und Verwaltung?</t>
        </is>
      </c>
      <c r="AD88" s="5" t="inlineStr">
        <is>
          <t>Arbeitsmarkt, Fachkräfte und Qualifizierung: Bundesagentur für Arbeit, Regionaldirektion Rheinland-Pfalz-Saarland (implementation_anchor, 5) + Hochschule Worms (academic_support, 4).</t>
        </is>
      </c>
      <c r="AE88" s="5" t="inlineStr">
        <is>
          <t>Bundesagentur für Arbeit, Regionaldirektion Rheinland-Pfalz-Saarland | Hochschule Worms</t>
        </is>
      </c>
      <c r="AF88" s="5" t="inlineStr">
        <is>
          <t>arbeitsmarkt-fachkraefte-bundesagentur-für-arbeit-regionaldirektion-rheinland-pfalz-saarland-ho</t>
        </is>
      </c>
    </row>
    <row r="89" ht="30" customHeight="1" s="46">
      <c r="A89" s="5" t="inlineStr">
        <is>
          <t>C0088</t>
        </is>
      </c>
      <c r="B89" s="5" t="inlineStr">
        <is>
          <t>x_0088</t>
        </is>
      </c>
      <c r="C89" s="5" t="n">
        <v>0</v>
      </c>
      <c r="D89" s="5" t="inlineStr">
        <is>
          <t>Bundesagentur für Arbeit, Regionaldirektion Rheinland-Pfalz-Saarland</t>
        </is>
      </c>
      <c r="E89" s="5" t="inlineStr">
        <is>
          <t>Hochschule für Wirtschaft und Gesellschaft Ludwigshafen</t>
        </is>
      </c>
      <c r="F89" s="5" t="n">
        <v>13</v>
      </c>
      <c r="G89" s="5" t="n">
        <v>36</v>
      </c>
      <c r="H89" s="5" t="inlineStr">
        <is>
          <t>implementation_anchor</t>
        </is>
      </c>
      <c r="I89" t="inlineStr">
        <is>
          <t>public_policy_anchor</t>
        </is>
      </c>
      <c r="J89" s="5" t="inlineStr">
        <is>
          <t>academic_support</t>
        </is>
      </c>
      <c r="K89" t="inlineStr">
        <is>
          <t>university_applied_sciences</t>
        </is>
      </c>
      <c r="L89" s="5" t="inlineStr">
        <is>
          <t>wirtschaft</t>
        </is>
      </c>
      <c r="M89" s="5" t="inlineStr">
        <is>
          <t>arbeitsmarkt_fachkraefte</t>
        </is>
      </c>
      <c r="N89" s="5" t="inlineStr">
        <is>
          <t>Arbeitsmarkt, Fachkräfte und Qualifizierung</t>
        </is>
      </c>
      <c r="O89" s="5" t="n">
        <v>5</v>
      </c>
      <c r="P89" s="5" t="n">
        <v>4</v>
      </c>
      <c r="Q89" s="5" t="n">
        <v>13</v>
      </c>
      <c r="R89" s="5" t="n">
        <v>4</v>
      </c>
      <c r="S89" s="5" t="n">
        <v>0</v>
      </c>
      <c r="T89" s="5" t="n">
        <v>0</v>
      </c>
      <c r="U89" s="5" t="n">
        <v>2</v>
      </c>
      <c r="V89" s="5" t="n">
        <v>7</v>
      </c>
      <c r="W89" s="5" t="n">
        <v>7</v>
      </c>
      <c r="X89" s="5" t="n">
        <v>0</v>
      </c>
      <c r="Y89" s="5" t="n">
        <v>0</v>
      </c>
      <c r="Z89" s="5" t="n">
        <v>0</v>
      </c>
      <c r="AA89" s="5" t="n">
        <v>0</v>
      </c>
      <c r="AB89" s="5" t="n">
        <v>42.523249</v>
      </c>
      <c r="AC89" s="5" t="inlineStr">
        <is>
          <t>Wie sichern Unternehmen, Hochschulen, Kammern und Arbeitsverwaltung Fachkräfte für Transformation, Pflege, Technik und Verwaltung?</t>
        </is>
      </c>
      <c r="AD89" s="5" t="inlineStr">
        <is>
          <t>Arbeitsmarkt, Fachkräfte und Qualifizierung: Bundesagentur für Arbeit, Regionaldirektion Rheinland-Pfalz-Saarland (implementation_anchor, 5) + Hochschule für Wirtschaft und Gesellschaft Ludwigshafen (academic_support, 4).</t>
        </is>
      </c>
      <c r="AE89" s="5" t="inlineStr">
        <is>
          <t>Bundesagentur für Arbeit, Regionaldirektion Rheinland-Pfalz-Saarland | Hochschule für Wirtschaft und Gesellschaft Ludwigshafen</t>
        </is>
      </c>
      <c r="AF89" s="5" t="inlineStr">
        <is>
          <t>arbeitsmarkt-fachkraefte-bundesagentur-für-arbeit-regionaldirektion-rheinland-pfalz-saarland-ho</t>
        </is>
      </c>
    </row>
    <row r="90" ht="30" customHeight="1" s="46">
      <c r="A90" s="5" t="inlineStr">
        <is>
          <t>C0089</t>
        </is>
      </c>
      <c r="B90" s="5" t="inlineStr">
        <is>
          <t>x_0089</t>
        </is>
      </c>
      <c r="C90" s="5" t="n">
        <v>0</v>
      </c>
      <c r="D90" s="5" t="inlineStr">
        <is>
          <t>Bundesagentur für Arbeit, Regionaldirektion Rheinland-Pfalz-Saarland</t>
        </is>
      </c>
      <c r="E90" s="5" t="inlineStr">
        <is>
          <t>Katholische Hochschule Mainz</t>
        </is>
      </c>
      <c r="F90" s="5" t="n">
        <v>13</v>
      </c>
      <c r="G90" s="5" t="n">
        <v>55</v>
      </c>
      <c r="H90" s="5" t="inlineStr">
        <is>
          <t>implementation_anchor</t>
        </is>
      </c>
      <c r="I90" t="inlineStr">
        <is>
          <t>public_policy_anchor</t>
        </is>
      </c>
      <c r="J90" s="5" t="inlineStr">
        <is>
          <t>academic_support</t>
        </is>
      </c>
      <c r="K90" t="inlineStr">
        <is>
          <t>university_applied_sciences</t>
        </is>
      </c>
      <c r="L90" s="5" t="inlineStr">
        <is>
          <t>wirtschaft</t>
        </is>
      </c>
      <c r="M90" s="5" t="inlineStr">
        <is>
          <t>arbeitsmarkt_fachkraefte</t>
        </is>
      </c>
      <c r="N90" s="5" t="inlineStr">
        <is>
          <t>Arbeitsmarkt, Fachkräfte und Qualifizierung</t>
        </is>
      </c>
      <c r="O90" s="5" t="n">
        <v>5</v>
      </c>
      <c r="P90" s="5" t="n">
        <v>4</v>
      </c>
      <c r="Q90" s="5" t="n">
        <v>13</v>
      </c>
      <c r="R90" s="5" t="n">
        <v>4</v>
      </c>
      <c r="S90" s="5" t="n">
        <v>0</v>
      </c>
      <c r="T90" s="5" t="n">
        <v>0</v>
      </c>
      <c r="U90" s="5" t="n">
        <v>2</v>
      </c>
      <c r="V90" s="5" t="n">
        <v>7</v>
      </c>
      <c r="W90" s="5" t="n">
        <v>7</v>
      </c>
      <c r="X90" s="5" t="n">
        <v>0</v>
      </c>
      <c r="Y90" s="5" t="n">
        <v>0</v>
      </c>
      <c r="Z90" s="5" t="n">
        <v>0</v>
      </c>
      <c r="AA90" s="5" t="n">
        <v>0</v>
      </c>
      <c r="AB90" s="5" t="n">
        <v>42.523249</v>
      </c>
      <c r="AC90" s="5" t="inlineStr">
        <is>
          <t>Wie sichern Unternehmen, Hochschulen, Kammern und Arbeitsverwaltung Fachkräfte für Transformation, Pflege, Technik und Verwaltung?</t>
        </is>
      </c>
      <c r="AD90" s="5" t="inlineStr">
        <is>
          <t>Arbeitsmarkt, Fachkräfte und Qualifizierung: Bundesagentur für Arbeit, Regionaldirektion Rheinland-Pfalz-Saarland (implementation_anchor, 5) + Katholische Hochschule Mainz (academic_support, 4).</t>
        </is>
      </c>
      <c r="AE90" s="5" t="inlineStr">
        <is>
          <t>Bundesagentur für Arbeit, Regionaldirektion Rheinland-Pfalz-Saarland | Katholische Hochschule Mainz</t>
        </is>
      </c>
      <c r="AF90" s="5" t="inlineStr">
        <is>
          <t>arbeitsmarkt-fachkraefte-bundesagentur-für-arbeit-regionaldirektion-rheinland-pfalz-saarland-ka</t>
        </is>
      </c>
    </row>
    <row r="91" ht="30" customHeight="1" s="46">
      <c r="A91" s="5" t="inlineStr">
        <is>
          <t>C0090</t>
        </is>
      </c>
      <c r="B91" s="5" t="inlineStr">
        <is>
          <t>x_0090</t>
        </is>
      </c>
      <c r="C91" s="5" t="n">
        <v>0</v>
      </c>
      <c r="D91" s="5" t="inlineStr">
        <is>
          <t>Bundesagentur für Arbeit, Regionaldirektion Rheinland-Pfalz-Saarland</t>
        </is>
      </c>
      <c r="E91" s="5" t="inlineStr">
        <is>
          <t>Technische Hochschule Bingen</t>
        </is>
      </c>
      <c r="F91" s="5" t="n">
        <v>13</v>
      </c>
      <c r="G91" s="5" t="n">
        <v>88</v>
      </c>
      <c r="H91" s="5" t="inlineStr">
        <is>
          <t>implementation_anchor</t>
        </is>
      </c>
      <c r="I91" t="inlineStr">
        <is>
          <t>public_policy_anchor</t>
        </is>
      </c>
      <c r="J91" s="5" t="inlineStr">
        <is>
          <t>academic_support</t>
        </is>
      </c>
      <c r="K91" t="inlineStr">
        <is>
          <t>university_applied_sciences</t>
        </is>
      </c>
      <c r="L91" s="5" t="inlineStr">
        <is>
          <t>wirtschaft</t>
        </is>
      </c>
      <c r="M91" s="5" t="inlineStr">
        <is>
          <t>arbeitsmarkt_fachkraefte</t>
        </is>
      </c>
      <c r="N91" s="5" t="inlineStr">
        <is>
          <t>Arbeitsmarkt, Fachkräfte und Qualifizierung</t>
        </is>
      </c>
      <c r="O91" s="5" t="n">
        <v>5</v>
      </c>
      <c r="P91" s="5" t="n">
        <v>4</v>
      </c>
      <c r="Q91" s="5" t="n">
        <v>13</v>
      </c>
      <c r="R91" s="5" t="n">
        <v>4</v>
      </c>
      <c r="S91" s="5" t="n">
        <v>0</v>
      </c>
      <c r="T91" s="5" t="n">
        <v>0</v>
      </c>
      <c r="U91" s="5" t="n">
        <v>2</v>
      </c>
      <c r="V91" s="5" t="n">
        <v>7</v>
      </c>
      <c r="W91" s="5" t="n">
        <v>7</v>
      </c>
      <c r="X91" s="5" t="n">
        <v>0</v>
      </c>
      <c r="Y91" s="5" t="n">
        <v>0</v>
      </c>
      <c r="Z91" s="5" t="n">
        <v>0</v>
      </c>
      <c r="AA91" s="5" t="n">
        <v>0</v>
      </c>
      <c r="AB91" s="5" t="n">
        <v>42.523249</v>
      </c>
      <c r="AC91" s="5" t="inlineStr">
        <is>
          <t>Wie sichern Unternehmen, Hochschulen, Kammern und Arbeitsverwaltung Fachkräfte für Transformation, Pflege, Technik und Verwaltung?</t>
        </is>
      </c>
      <c r="AD91" s="5" t="inlineStr">
        <is>
          <t>Arbeitsmarkt, Fachkräfte und Qualifizierung: Bundesagentur für Arbeit, Regionaldirektion Rheinland-Pfalz-Saarland (implementation_anchor, 5) + Technische Hochschule Bingen (academic_support, 4).</t>
        </is>
      </c>
      <c r="AE91" s="5" t="inlineStr">
        <is>
          <t>Bundesagentur für Arbeit, Regionaldirektion Rheinland-Pfalz-Saarland | Technische Hochschule Bingen</t>
        </is>
      </c>
      <c r="AF91" s="5" t="inlineStr">
        <is>
          <t>arbeitsmarkt-fachkraefte-bundesagentur-für-arbeit-regionaldirektion-rheinland-pfalz-saarland-te</t>
        </is>
      </c>
    </row>
    <row r="92" ht="30" customHeight="1" s="46">
      <c r="A92" s="5" t="inlineStr">
        <is>
          <t>C0091</t>
        </is>
      </c>
      <c r="B92" s="5" t="inlineStr">
        <is>
          <t>x_0091</t>
        </is>
      </c>
      <c r="C92" s="5" t="n">
        <v>0</v>
      </c>
      <c r="D92" s="5" t="inlineStr">
        <is>
          <t>Bundesagentur für Arbeit, Regionaldirektion Rheinland-Pfalz-Saarland</t>
        </is>
      </c>
      <c r="E92" s="5" t="inlineStr">
        <is>
          <t>WHU – Otto Beisheim School of Management</t>
        </is>
      </c>
      <c r="F92" s="5" t="n">
        <v>13</v>
      </c>
      <c r="G92" s="5" t="n">
        <v>99</v>
      </c>
      <c r="H92" s="5" t="inlineStr">
        <is>
          <t>implementation_anchor</t>
        </is>
      </c>
      <c r="I92" t="inlineStr">
        <is>
          <t>public_policy_anchor</t>
        </is>
      </c>
      <c r="J92" s="5" t="inlineStr">
        <is>
          <t>academic_support</t>
        </is>
      </c>
      <c r="K92" t="inlineStr">
        <is>
          <t>university_research</t>
        </is>
      </c>
      <c r="L92" s="5" t="inlineStr">
        <is>
          <t>wirtschaft</t>
        </is>
      </c>
      <c r="M92" s="5" t="inlineStr">
        <is>
          <t>arbeitsmarkt_fachkraefte</t>
        </is>
      </c>
      <c r="N92" s="5" t="inlineStr">
        <is>
          <t>Arbeitsmarkt, Fachkräfte und Qualifizierung</t>
        </is>
      </c>
      <c r="O92" s="5" t="n">
        <v>5</v>
      </c>
      <c r="P92" s="5" t="n">
        <v>4</v>
      </c>
      <c r="Q92" s="5" t="n">
        <v>13</v>
      </c>
      <c r="R92" s="5" t="n">
        <v>4</v>
      </c>
      <c r="S92" s="5" t="n">
        <v>0</v>
      </c>
      <c r="T92" s="5" t="n">
        <v>0</v>
      </c>
      <c r="U92" s="5" t="n">
        <v>2</v>
      </c>
      <c r="V92" s="5" t="n">
        <v>7</v>
      </c>
      <c r="W92" s="5" t="n">
        <v>7</v>
      </c>
      <c r="X92" s="5" t="n">
        <v>0</v>
      </c>
      <c r="Y92" s="5" t="n">
        <v>0</v>
      </c>
      <c r="Z92" s="5" t="n">
        <v>0</v>
      </c>
      <c r="AA92" s="5" t="n">
        <v>0</v>
      </c>
      <c r="AB92" s="5" t="n">
        <v>46.614494</v>
      </c>
      <c r="AC92" s="5" t="inlineStr">
        <is>
          <t>Wie sichern Unternehmen, Hochschulen, Kammern und Arbeitsverwaltung Fachkräfte für Transformation, Pflege, Technik und Verwaltung?</t>
        </is>
      </c>
      <c r="AD92" s="5" t="inlineStr">
        <is>
          <t>Arbeitsmarkt, Fachkräfte und Qualifizierung: Bundesagentur für Arbeit, Regionaldirektion Rheinland-Pfalz-Saarland (implementation_anchor, 5) + WHU – Otto Beisheim School of Management (academic_support, 4).</t>
        </is>
      </c>
      <c r="AE92" s="5" t="inlineStr">
        <is>
          <t>Bundesagentur für Arbeit, Regionaldirektion Rheinland-Pfalz-Saarland | WHU – Otto Beisheim School of Management</t>
        </is>
      </c>
      <c r="AF92" s="5" t="inlineStr">
        <is>
          <t>arbeitsmarkt-fachkraefte-bundesagentur-für-arbeit-regionaldirektion-rheinland-pfalz-saarland-wh</t>
        </is>
      </c>
    </row>
    <row r="93" ht="30" customHeight="1" s="46">
      <c r="A93" s="5" t="inlineStr">
        <is>
          <t>C0092</t>
        </is>
      </c>
      <c r="B93" s="5" t="inlineStr">
        <is>
          <t>x_0092</t>
        </is>
      </c>
      <c r="C93" s="5" t="n">
        <v>0</v>
      </c>
      <c r="D93" s="5" t="inlineStr">
        <is>
          <t>Caritasverband für die Diözese Speyer e.V.</t>
        </is>
      </c>
      <c r="E93" s="5" t="inlineStr">
        <is>
          <t>Duale Hochschule Rheinland-Pfalz</t>
        </is>
      </c>
      <c r="F93" s="5" t="n">
        <v>14</v>
      </c>
      <c r="G93" s="5" t="n">
        <v>21</v>
      </c>
      <c r="H93" s="5" t="inlineStr">
        <is>
          <t>implementation_anchor</t>
        </is>
      </c>
      <c r="I93" t="inlineStr">
        <is>
          <t>health_social_anchor</t>
        </is>
      </c>
      <c r="J93" s="5" t="inlineStr">
        <is>
          <t>academic_support</t>
        </is>
      </c>
      <c r="K93" t="inlineStr">
        <is>
          <t>university_applied_sciences</t>
        </is>
      </c>
      <c r="L93" s="5" t="inlineStr">
        <is>
          <t>wirtschaft</t>
        </is>
      </c>
      <c r="M93" s="5" t="inlineStr">
        <is>
          <t>arbeitsmarkt_fachkraefte</t>
        </is>
      </c>
      <c r="N93" s="5" t="inlineStr">
        <is>
          <t>Arbeitsmarkt, Fachkräfte und Qualifizierung</t>
        </is>
      </c>
      <c r="O93" s="5" t="n">
        <v>4</v>
      </c>
      <c r="P93" s="5" t="n">
        <v>5</v>
      </c>
      <c r="Q93" s="5" t="n">
        <v>13</v>
      </c>
      <c r="R93" s="5" t="n">
        <v>4</v>
      </c>
      <c r="S93" s="5" t="n">
        <v>0</v>
      </c>
      <c r="T93" s="5" t="n">
        <v>0</v>
      </c>
      <c r="U93" s="5" t="n">
        <v>2</v>
      </c>
      <c r="V93" s="5" t="n">
        <v>7</v>
      </c>
      <c r="W93" s="5" t="n">
        <v>7</v>
      </c>
      <c r="X93" s="5" t="n">
        <v>0</v>
      </c>
      <c r="Y93" s="5" t="n">
        <v>0</v>
      </c>
      <c r="Z93" s="5" t="n">
        <v>0</v>
      </c>
      <c r="AA93" s="5" t="n">
        <v>0</v>
      </c>
      <c r="AB93" s="5" t="n">
        <v>34.97445</v>
      </c>
      <c r="AC93" s="5" t="inlineStr">
        <is>
          <t>Wie sichern Unternehmen, Hochschulen, Kammern und Arbeitsverwaltung Fachkräfte für Transformation, Pflege, Technik und Verwaltung?</t>
        </is>
      </c>
      <c r="AD93" s="5" t="inlineStr">
        <is>
          <t>Arbeitsmarkt, Fachkräfte und Qualifizierung: Caritasverband für die Diözese Speyer e.V. (implementation_anchor, 4) + Duale Hochschule Rheinland-Pfalz (academic_support, 5).</t>
        </is>
      </c>
      <c r="AE93" s="5" t="inlineStr">
        <is>
          <t>Caritasverband für die Diözese Speyer e.V. | Duale Hochschule Rheinland-Pfalz</t>
        </is>
      </c>
      <c r="AF93" s="5" t="inlineStr">
        <is>
          <t>arbeitsmarkt-fachkraefte-caritasverband-für-die-diözese-speyer-e-v-duale-hochschule-rheinland-p</t>
        </is>
      </c>
    </row>
    <row r="94" ht="30" customHeight="1" s="46">
      <c r="A94" s="5" t="inlineStr">
        <is>
          <t>C0093</t>
        </is>
      </c>
      <c r="B94" s="5" t="inlineStr">
        <is>
          <t>x_0093</t>
        </is>
      </c>
      <c r="C94" s="5" t="n">
        <v>0</v>
      </c>
      <c r="D94" s="5" t="inlineStr">
        <is>
          <t>Caritasverband für die Diözese Speyer e.V.</t>
        </is>
      </c>
      <c r="E94" s="5" t="inlineStr">
        <is>
          <t>GLOBUS Markthallen Holding GmbH &amp; Co. KG</t>
        </is>
      </c>
      <c r="F94" s="5" t="n">
        <v>14</v>
      </c>
      <c r="G94" s="5" t="n">
        <v>31</v>
      </c>
      <c r="H94" s="5" t="inlineStr">
        <is>
          <t>implementation_anchor</t>
        </is>
      </c>
      <c r="I94" t="inlineStr">
        <is>
          <t>health_social_anchor</t>
        </is>
      </c>
      <c r="J94" s="5" t="inlineStr">
        <is>
          <t>profit_anchor</t>
        </is>
      </c>
      <c r="K94" t="inlineStr">
        <is>
          <t>food_beverage_consumer_anchor</t>
        </is>
      </c>
      <c r="L94" s="5" t="inlineStr">
        <is>
          <t>wirtschaft</t>
        </is>
      </c>
      <c r="M94" s="5" t="inlineStr">
        <is>
          <t>arbeitsmarkt_fachkraefte</t>
        </is>
      </c>
      <c r="N94" s="5" t="inlineStr">
        <is>
          <t>Arbeitsmarkt, Fachkräfte und Qualifizierung</t>
        </is>
      </c>
      <c r="O94" s="5" t="n">
        <v>4</v>
      </c>
      <c r="P94" s="5" t="n">
        <v>3</v>
      </c>
      <c r="Q94" s="5" t="n">
        <v>11</v>
      </c>
      <c r="R94" s="5" t="n">
        <v>4</v>
      </c>
      <c r="S94" s="5" t="n">
        <v>0</v>
      </c>
      <c r="T94" s="5" t="n">
        <v>0</v>
      </c>
      <c r="U94" s="5" t="n">
        <v>2</v>
      </c>
      <c r="V94" s="5" t="n">
        <v>8</v>
      </c>
      <c r="W94" s="5" t="n">
        <v>8</v>
      </c>
      <c r="X94" s="5" t="n">
        <v>0</v>
      </c>
      <c r="Y94" s="5" t="n">
        <v>0</v>
      </c>
      <c r="Z94" s="5" t="n">
        <v>0</v>
      </c>
      <c r="AA94" s="5" t="n">
        <v>0</v>
      </c>
      <c r="AB94" s="5" t="n">
        <v>39.238101</v>
      </c>
      <c r="AC94" s="5" t="inlineStr">
        <is>
          <t>Wie sichern Unternehmen, Hochschulen, Kammern und Arbeitsverwaltung Fachkräfte für Transformation, Pflege, Technik und Verwaltung?</t>
        </is>
      </c>
      <c r="AD94" s="5" t="inlineStr">
        <is>
          <t>Arbeitsmarkt, Fachkräfte und Qualifizierung: Caritasverband für die Diözese Speyer e.V. (implementation_anchor, 4) + GLOBUS Markthallen Holding GmbH &amp; Co. KG (profit_anchor, 3).</t>
        </is>
      </c>
      <c r="AE94" s="5" t="inlineStr">
        <is>
          <t>Caritasverband für die Diözese Speyer e.V. | GLOBUS Markthallen Holding GmbH &amp; Co. KG</t>
        </is>
      </c>
      <c r="AF94" s="5" t="inlineStr">
        <is>
          <t>arbeitsmarkt-fachkraefte-caritasverband-für-die-diözese-speyer-e-v-globus-markthallen-holding-g</t>
        </is>
      </c>
    </row>
    <row r="95" ht="30" customHeight="1" s="46">
      <c r="A95" s="5" t="inlineStr">
        <is>
          <t>C0094</t>
        </is>
      </c>
      <c r="B95" s="5" t="inlineStr">
        <is>
          <t>x_0094</t>
        </is>
      </c>
      <c r="C95" s="5" t="n">
        <v>0</v>
      </c>
      <c r="D95" s="5" t="inlineStr">
        <is>
          <t>Handwerkskammern Rheinland-Pfalz</t>
        </is>
      </c>
      <c r="E95" s="5" t="inlineStr">
        <is>
          <t>Hochschule Kaiserslautern</t>
        </is>
      </c>
      <c r="F95" s="5" t="n">
        <v>32</v>
      </c>
      <c r="G95" s="5" t="n">
        <v>37</v>
      </c>
      <c r="H95" s="5" t="inlineStr">
        <is>
          <t>implementation_anchor</t>
        </is>
      </c>
      <c r="I95" t="inlineStr">
        <is>
          <t>chamber_association_anchor</t>
        </is>
      </c>
      <c r="J95" s="5" t="inlineStr">
        <is>
          <t>academic_support</t>
        </is>
      </c>
      <c r="K95" t="inlineStr">
        <is>
          <t>university_applied_sciences</t>
        </is>
      </c>
      <c r="L95" s="5" t="inlineStr">
        <is>
          <t>wirtschaft</t>
        </is>
      </c>
      <c r="M95" s="5" t="inlineStr">
        <is>
          <t>arbeitsmarkt_fachkraefte</t>
        </is>
      </c>
      <c r="N95" s="5" t="inlineStr">
        <is>
          <t>Arbeitsmarkt, Fachkräfte und Qualifizierung</t>
        </is>
      </c>
      <c r="O95" s="5" t="n">
        <v>5</v>
      </c>
      <c r="P95" s="5" t="n">
        <v>4</v>
      </c>
      <c r="Q95" s="5" t="n">
        <v>13</v>
      </c>
      <c r="R95" s="5" t="n">
        <v>4</v>
      </c>
      <c r="S95" s="5" t="n">
        <v>0</v>
      </c>
      <c r="T95" s="5" t="n">
        <v>0</v>
      </c>
      <c r="U95" s="5" t="n">
        <v>2</v>
      </c>
      <c r="V95" s="5" t="n">
        <v>7</v>
      </c>
      <c r="W95" s="5" t="n">
        <v>7</v>
      </c>
      <c r="X95" s="5" t="n">
        <v>0</v>
      </c>
      <c r="Y95" s="5" t="n">
        <v>0</v>
      </c>
      <c r="Z95" s="5" t="n">
        <v>0</v>
      </c>
      <c r="AA95" s="5" t="n">
        <v>0</v>
      </c>
      <c r="AB95" s="5" t="n">
        <v>48.920765</v>
      </c>
      <c r="AC95" s="5" t="inlineStr">
        <is>
          <t>Wie sichern Unternehmen, Hochschulen, Kammern und Arbeitsverwaltung Fachkräfte für Transformation, Pflege, Technik und Verwaltung?</t>
        </is>
      </c>
      <c r="AD95" s="5" t="inlineStr">
        <is>
          <t>Arbeitsmarkt, Fachkräfte und Qualifizierung: Handwerkskammern Rheinland-Pfalz (implementation_anchor, 5) + Hochschule Kaiserslautern (academic_support, 4).</t>
        </is>
      </c>
      <c r="AE95" s="5" t="inlineStr">
        <is>
          <t>Handwerkskammern Rheinland-Pfalz | Hochschule Kaiserslautern</t>
        </is>
      </c>
      <c r="AF95" s="5" t="inlineStr">
        <is>
          <t>arbeitsmarkt-fachkraefte-handwerkskammern-rheinland-pfalz-hochschule-kaiserslautern</t>
        </is>
      </c>
    </row>
    <row r="96" ht="30" customHeight="1" s="46">
      <c r="A96" s="5" t="inlineStr">
        <is>
          <t>C0095</t>
        </is>
      </c>
      <c r="B96" s="5" t="inlineStr">
        <is>
          <t>x_0095</t>
        </is>
      </c>
      <c r="C96" s="5" t="n">
        <v>0</v>
      </c>
      <c r="D96" s="5" t="inlineStr">
        <is>
          <t>Handwerkskammern Rheinland-Pfalz</t>
        </is>
      </c>
      <c r="E96" s="5" t="inlineStr">
        <is>
          <t>Hochschule Koblenz</t>
        </is>
      </c>
      <c r="F96" s="5" t="n">
        <v>32</v>
      </c>
      <c r="G96" s="5" t="n">
        <v>38</v>
      </c>
      <c r="H96" s="5" t="inlineStr">
        <is>
          <t>implementation_anchor</t>
        </is>
      </c>
      <c r="I96" t="inlineStr">
        <is>
          <t>chamber_association_anchor</t>
        </is>
      </c>
      <c r="J96" s="5" t="inlineStr">
        <is>
          <t>academic_support</t>
        </is>
      </c>
      <c r="K96" t="inlineStr">
        <is>
          <t>university_applied_sciences</t>
        </is>
      </c>
      <c r="L96" s="5" t="inlineStr">
        <is>
          <t>wirtschaft</t>
        </is>
      </c>
      <c r="M96" s="5" t="inlineStr">
        <is>
          <t>arbeitsmarkt_fachkraefte</t>
        </is>
      </c>
      <c r="N96" s="5" t="inlineStr">
        <is>
          <t>Arbeitsmarkt, Fachkräfte und Qualifizierung</t>
        </is>
      </c>
      <c r="O96" s="5" t="n">
        <v>5</v>
      </c>
      <c r="P96" s="5" t="n">
        <v>4</v>
      </c>
      <c r="Q96" s="5" t="n">
        <v>13</v>
      </c>
      <c r="R96" s="5" t="n">
        <v>4</v>
      </c>
      <c r="S96" s="5" t="n">
        <v>0</v>
      </c>
      <c r="T96" s="5" t="n">
        <v>0</v>
      </c>
      <c r="U96" s="5" t="n">
        <v>2</v>
      </c>
      <c r="V96" s="5" t="n">
        <v>7</v>
      </c>
      <c r="W96" s="5" t="n">
        <v>7</v>
      </c>
      <c r="X96" s="5" t="n">
        <v>0</v>
      </c>
      <c r="Y96" s="5" t="n">
        <v>0</v>
      </c>
      <c r="Z96" s="5" t="n">
        <v>0</v>
      </c>
      <c r="AA96" s="5" t="n">
        <v>0</v>
      </c>
      <c r="AB96" s="5" t="n">
        <v>48.920765</v>
      </c>
      <c r="AC96" s="5" t="inlineStr">
        <is>
          <t>Wie sichern Unternehmen, Hochschulen, Kammern und Arbeitsverwaltung Fachkräfte für Transformation, Pflege, Technik und Verwaltung?</t>
        </is>
      </c>
      <c r="AD96" s="5" t="inlineStr">
        <is>
          <t>Arbeitsmarkt, Fachkräfte und Qualifizierung: Handwerkskammern Rheinland-Pfalz (implementation_anchor, 5) + Hochschule Koblenz (academic_support, 4).</t>
        </is>
      </c>
      <c r="AE96" s="5" t="inlineStr">
        <is>
          <t>Handwerkskammern Rheinland-Pfalz | Hochschule Koblenz</t>
        </is>
      </c>
      <c r="AF96" s="5" t="inlineStr">
        <is>
          <t>arbeitsmarkt-fachkraefte-handwerkskammern-rheinland-pfalz-hochschule-koblenz</t>
        </is>
      </c>
    </row>
    <row r="97" ht="30" customHeight="1" s="46">
      <c r="A97" s="5" t="inlineStr">
        <is>
          <t>C0096</t>
        </is>
      </c>
      <c r="B97" s="5" t="inlineStr">
        <is>
          <t>x_0096</t>
        </is>
      </c>
      <c r="C97" s="5" t="n">
        <v>0</v>
      </c>
      <c r="D97" s="5" t="inlineStr">
        <is>
          <t>Handwerkskammern Rheinland-Pfalz</t>
        </is>
      </c>
      <c r="E97" s="5" t="inlineStr">
        <is>
          <t>Hochschule Mainz</t>
        </is>
      </c>
      <c r="F97" s="5" t="n">
        <v>32</v>
      </c>
      <c r="G97" s="5" t="n">
        <v>39</v>
      </c>
      <c r="H97" s="5" t="inlineStr">
        <is>
          <t>implementation_anchor</t>
        </is>
      </c>
      <c r="I97" t="inlineStr">
        <is>
          <t>chamber_association_anchor</t>
        </is>
      </c>
      <c r="J97" s="5" t="inlineStr">
        <is>
          <t>academic_support</t>
        </is>
      </c>
      <c r="K97" t="inlineStr">
        <is>
          <t>university_applied_sciences</t>
        </is>
      </c>
      <c r="L97" s="5" t="inlineStr">
        <is>
          <t>wirtschaft</t>
        </is>
      </c>
      <c r="M97" s="5" t="inlineStr">
        <is>
          <t>arbeitsmarkt_fachkraefte</t>
        </is>
      </c>
      <c r="N97" s="5" t="inlineStr">
        <is>
          <t>Arbeitsmarkt, Fachkräfte und Qualifizierung</t>
        </is>
      </c>
      <c r="O97" s="5" t="n">
        <v>5</v>
      </c>
      <c r="P97" s="5" t="n">
        <v>4</v>
      </c>
      <c r="Q97" s="5" t="n">
        <v>13</v>
      </c>
      <c r="R97" s="5" t="n">
        <v>4</v>
      </c>
      <c r="S97" s="5" t="n">
        <v>0</v>
      </c>
      <c r="T97" s="5" t="n">
        <v>0</v>
      </c>
      <c r="U97" s="5" t="n">
        <v>2</v>
      </c>
      <c r="V97" s="5" t="n">
        <v>7</v>
      </c>
      <c r="W97" s="5" t="n">
        <v>7</v>
      </c>
      <c r="X97" s="5" t="n">
        <v>0</v>
      </c>
      <c r="Y97" s="5" t="n">
        <v>0</v>
      </c>
      <c r="Z97" s="5" t="n">
        <v>0</v>
      </c>
      <c r="AA97" s="5" t="n">
        <v>0</v>
      </c>
      <c r="AB97" s="5" t="n">
        <v>48.920765</v>
      </c>
      <c r="AC97" s="5" t="inlineStr">
        <is>
          <t>Wie sichern Unternehmen, Hochschulen, Kammern und Arbeitsverwaltung Fachkräfte für Transformation, Pflege, Technik und Verwaltung?</t>
        </is>
      </c>
      <c r="AD97" s="5" t="inlineStr">
        <is>
          <t>Arbeitsmarkt, Fachkräfte und Qualifizierung: Handwerkskammern Rheinland-Pfalz (implementation_anchor, 5) + Hochschule Mainz (academic_support, 4).</t>
        </is>
      </c>
      <c r="AE97" s="5" t="inlineStr">
        <is>
          <t>Handwerkskammern Rheinland-Pfalz | Hochschule Mainz</t>
        </is>
      </c>
      <c r="AF97" s="5" t="inlineStr">
        <is>
          <t>arbeitsmarkt-fachkraefte-handwerkskammern-rheinland-pfalz-hochschule-mainz</t>
        </is>
      </c>
    </row>
    <row r="98" ht="30" customHeight="1" s="46">
      <c r="A98" s="5" t="inlineStr">
        <is>
          <t>C0097</t>
        </is>
      </c>
      <c r="B98" s="5" t="inlineStr">
        <is>
          <t>x_0097</t>
        </is>
      </c>
      <c r="C98" s="5" t="n">
        <v>0</v>
      </c>
      <c r="D98" s="5" t="inlineStr">
        <is>
          <t>Caritasverband für die Diözese Speyer e.V.</t>
        </is>
      </c>
      <c r="E98" s="5" t="inlineStr">
        <is>
          <t>Deutsche Universität für Verwaltungswissenschaften Speyer</t>
        </is>
      </c>
      <c r="F98" s="5" t="n">
        <v>14</v>
      </c>
      <c r="G98" s="5" t="n">
        <v>19</v>
      </c>
      <c r="H98" s="5" t="inlineStr">
        <is>
          <t>implementation_anchor</t>
        </is>
      </c>
      <c r="I98" t="inlineStr">
        <is>
          <t>health_social_anchor</t>
        </is>
      </c>
      <c r="J98" s="5" t="inlineStr">
        <is>
          <t>academic_support</t>
        </is>
      </c>
      <c r="K98" t="inlineStr">
        <is>
          <t>university_research</t>
        </is>
      </c>
      <c r="L98" s="5" t="inlineStr">
        <is>
          <t>gesellschaft</t>
        </is>
      </c>
      <c r="M98" s="5" t="inlineStr">
        <is>
          <t>demokratie_medien_zusammenhalt</t>
        </is>
      </c>
      <c r="N98" s="5" t="inlineStr">
        <is>
          <t>Demokratie, Medien und gesellschaftlicher Zusammenhalt</t>
        </is>
      </c>
      <c r="O98" s="5" t="n">
        <v>4</v>
      </c>
      <c r="P98" s="5" t="n">
        <v>5</v>
      </c>
      <c r="Q98" s="5" t="n">
        <v>13</v>
      </c>
      <c r="R98" s="5" t="n">
        <v>4</v>
      </c>
      <c r="S98" s="5" t="n">
        <v>0</v>
      </c>
      <c r="T98" s="5" t="n">
        <v>0</v>
      </c>
      <c r="U98" s="5" t="n">
        <v>2</v>
      </c>
      <c r="V98" s="5" t="n">
        <v>7</v>
      </c>
      <c r="W98" s="5" t="n">
        <v>7</v>
      </c>
      <c r="X98" s="5" t="n">
        <v>0</v>
      </c>
      <c r="Y98" s="5" t="n">
        <v>0</v>
      </c>
      <c r="Z98" s="5" t="n">
        <v>0</v>
      </c>
      <c r="AA98" s="5" t="n">
        <v>0</v>
      </c>
      <c r="AB98" s="5" t="n">
        <v>39.84842</v>
      </c>
      <c r="AC98" s="5" t="inlineStr">
        <is>
          <t>Wie stärken Medien, Bildung, Kirchen, Wissenschaft und Zivilgesellschaft Vertrauen und demokratische Orientierung?</t>
        </is>
      </c>
      <c r="AD98" s="5" t="inlineStr">
        <is>
          <t>Demokratie, Medien und gesellschaftlicher Zusammenhalt: Caritasverband für die Diözese Speyer e.V. (implementation_anchor, 4) + Deutsche Universität für Verwaltungswissenschaften Speyer (academic_support, 5).</t>
        </is>
      </c>
      <c r="AE98" s="5" t="inlineStr">
        <is>
          <t>Caritasverband für die Diözese Speyer e.V. | Deutsche Universität für Verwaltungswissenschaften Speyer</t>
        </is>
      </c>
      <c r="AF98" s="5" t="inlineStr">
        <is>
          <t>demokratie-medien-zusammenhalt-caritasverband-für-die-diözese-speyer-e-v-deutsche-universität-f</t>
        </is>
      </c>
    </row>
    <row r="99" ht="30" customHeight="1" s="46">
      <c r="A99" s="5" t="inlineStr">
        <is>
          <t>C0098</t>
        </is>
      </c>
      <c r="B99" s="5" t="inlineStr">
        <is>
          <t>x_0098</t>
        </is>
      </c>
      <c r="C99" s="5" t="n">
        <v>0</v>
      </c>
      <c r="D99" s="5" t="inlineStr">
        <is>
          <t>Caritasverband für die Diözese Speyer e.V.</t>
        </is>
      </c>
      <c r="E99" s="5" t="inlineStr">
        <is>
          <t>Erster FC Kaiserslautern GmbH &amp; Co. KGaA</t>
        </is>
      </c>
      <c r="F99" s="5" t="n">
        <v>14</v>
      </c>
      <c r="G99" s="5" t="n">
        <v>27</v>
      </c>
      <c r="H99" s="5" t="inlineStr">
        <is>
          <t>implementation_anchor</t>
        </is>
      </c>
      <c r="I99" t="inlineStr">
        <is>
          <t>health_social_anchor</t>
        </is>
      </c>
      <c r="J99" s="5" t="inlineStr">
        <is>
          <t>profit_anchor</t>
        </is>
      </c>
      <c r="K99" t="inlineStr">
        <is>
          <t>sports_regional_identity_anchor</t>
        </is>
      </c>
      <c r="L99" s="5" t="inlineStr">
        <is>
          <t>gesellschaft</t>
        </is>
      </c>
      <c r="M99" s="5" t="inlineStr">
        <is>
          <t>demokratie_medien_zusammenhalt</t>
        </is>
      </c>
      <c r="N99" s="5" t="inlineStr">
        <is>
          <t>Demokratie, Medien und gesellschaftlicher Zusammenhalt</t>
        </is>
      </c>
      <c r="O99" s="5" t="n">
        <v>4</v>
      </c>
      <c r="P99" s="5" t="n">
        <v>3</v>
      </c>
      <c r="Q99" s="5" t="n">
        <v>11</v>
      </c>
      <c r="R99" s="5" t="n">
        <v>4</v>
      </c>
      <c r="S99" s="5" t="n">
        <v>0</v>
      </c>
      <c r="T99" s="5" t="n">
        <v>0</v>
      </c>
      <c r="U99" s="5" t="n">
        <v>2</v>
      </c>
      <c r="V99" s="5" t="n">
        <v>8</v>
      </c>
      <c r="W99" s="5" t="n">
        <v>8</v>
      </c>
      <c r="X99" s="5" t="n">
        <v>0</v>
      </c>
      <c r="Y99" s="5" t="n">
        <v>0</v>
      </c>
      <c r="Z99" s="5" t="n">
        <v>0</v>
      </c>
      <c r="AA99" s="5" t="n">
        <v>0</v>
      </c>
      <c r="AB99" s="5" t="n">
        <v>56.301186</v>
      </c>
      <c r="AC99" s="5" t="inlineStr">
        <is>
          <t>Wie stärken Medien, Bildung, Kirchen, Wissenschaft und Zivilgesellschaft Vertrauen und demokratische Orientierung?</t>
        </is>
      </c>
      <c r="AD99" s="5" t="inlineStr">
        <is>
          <t>Demokratie, Medien und gesellschaftlicher Zusammenhalt: Caritasverband für die Diözese Speyer e.V. (implementation_anchor, 4) + Erster FC Kaiserslautern GmbH &amp; Co. KGaA (profit_anchor, 3).</t>
        </is>
      </c>
      <c r="AE99" s="5" t="inlineStr">
        <is>
          <t>Caritasverband für die Diözese Speyer e.V. | Erster FC Kaiserslautern GmbH &amp; Co. KGaA</t>
        </is>
      </c>
      <c r="AF99" s="5" t="inlineStr">
        <is>
          <t>demokratie-medien-zusammenhalt-caritasverband-für-die-diözese-speyer-e-v-erster-fc-kaiserslaute</t>
        </is>
      </c>
    </row>
    <row r="100" ht="30" customHeight="1" s="46">
      <c r="A100" s="5" t="inlineStr">
        <is>
          <t>C0099</t>
        </is>
      </c>
      <c r="B100" s="5" t="inlineStr">
        <is>
          <t>x_0099</t>
        </is>
      </c>
      <c r="C100" s="5" t="n">
        <v>0</v>
      </c>
      <c r="D100" s="5" t="inlineStr">
        <is>
          <t>Architektenkammer Rheinland-Pfalz</t>
        </is>
      </c>
      <c r="E100" s="5" t="inlineStr">
        <is>
          <t>Deutsche Universität für Verwaltungswissenschaften Speyer</t>
        </is>
      </c>
      <c r="F100" s="5" t="n">
        <v>3</v>
      </c>
      <c r="G100" s="5" t="n">
        <v>19</v>
      </c>
      <c r="H100" s="5" t="inlineStr">
        <is>
          <t>implementation_anchor</t>
        </is>
      </c>
      <c r="I100" t="inlineStr">
        <is>
          <t>construction_planning_anchor</t>
        </is>
      </c>
      <c r="J100" s="5" t="inlineStr">
        <is>
          <t>academic_support</t>
        </is>
      </c>
      <c r="K100" t="inlineStr">
        <is>
          <t>university_research</t>
        </is>
      </c>
      <c r="L100" s="5" t="inlineStr">
        <is>
          <t>technologie</t>
        </is>
      </c>
      <c r="M100" s="5" t="inlineStr">
        <is>
          <t>digitale_bau_verwaltung_planung</t>
        </is>
      </c>
      <c r="N100" s="5" t="inlineStr">
        <is>
          <t>Digitale Bau-, Planungs- und Genehmigungsprozesse</t>
        </is>
      </c>
      <c r="O100" s="5" t="n">
        <v>5</v>
      </c>
      <c r="P100" s="5" t="n">
        <v>4</v>
      </c>
      <c r="Q100" s="5" t="n">
        <v>13</v>
      </c>
      <c r="R100" s="5" t="n">
        <v>4</v>
      </c>
      <c r="S100" s="5" t="n">
        <v>0</v>
      </c>
      <c r="T100" s="5" t="n">
        <v>0</v>
      </c>
      <c r="U100" s="5" t="n">
        <v>2</v>
      </c>
      <c r="V100" s="5" t="n">
        <v>7</v>
      </c>
      <c r="W100" s="5" t="n">
        <v>7</v>
      </c>
      <c r="X100" s="5" t="n">
        <v>0</v>
      </c>
      <c r="Y100" s="5" t="n">
        <v>0</v>
      </c>
      <c r="Z100" s="5" t="n">
        <v>0</v>
      </c>
      <c r="AA100" s="5" t="n">
        <v>0</v>
      </c>
      <c r="AB100" s="5" t="n">
        <v>43.363623</v>
      </c>
      <c r="AC100" s="5" t="inlineStr">
        <is>
          <t>Wie können Bau, Planung, Genehmigung und Verwaltung durch digitale Werkzeuge schneller und rechtssicherer werden?</t>
        </is>
      </c>
      <c r="AD100" s="5" t="inlineStr">
        <is>
          <t>Digitale Bau-, Planungs- und Genehmigungsprozesse: Architektenkammer Rheinland-Pfalz (implementation_anchor, 5) + Deutsche Universität für Verwaltungswissenschaften Speyer (academic_support, 4).</t>
        </is>
      </c>
      <c r="AE100" s="5" t="inlineStr">
        <is>
          <t>Architektenkammer Rheinland-Pfalz | Deutsche Universität für Verwaltungswissenschaften Speyer</t>
        </is>
      </c>
      <c r="AF100" s="5" t="inlineStr">
        <is>
          <t>digitale-bau-verwaltung-planung-architektenkammer-rheinland-pfalz-deutsche-universität-für-verw</t>
        </is>
      </c>
    </row>
    <row r="101" ht="30" customHeight="1" s="46">
      <c r="A101" s="5" t="inlineStr">
        <is>
          <t>C0100</t>
        </is>
      </c>
      <c r="B101" s="5" t="inlineStr">
        <is>
          <t>x_0100</t>
        </is>
      </c>
      <c r="C101" s="5" t="n">
        <v>0</v>
      </c>
      <c r="D101" s="5" t="inlineStr">
        <is>
          <t>Architektenkammer Rheinland-Pfalz</t>
        </is>
      </c>
      <c r="E101" s="5" t="inlineStr">
        <is>
          <t>Technische Hochschule Bingen</t>
        </is>
      </c>
      <c r="F101" s="5" t="n">
        <v>3</v>
      </c>
      <c r="G101" s="5" t="n">
        <v>88</v>
      </c>
      <c r="H101" s="5" t="inlineStr">
        <is>
          <t>implementation_anchor</t>
        </is>
      </c>
      <c r="I101" t="inlineStr">
        <is>
          <t>construction_planning_anchor</t>
        </is>
      </c>
      <c r="J101" s="5" t="inlineStr">
        <is>
          <t>academic_support</t>
        </is>
      </c>
      <c r="K101" t="inlineStr">
        <is>
          <t>university_applied_sciences</t>
        </is>
      </c>
      <c r="L101" s="5" t="inlineStr">
        <is>
          <t>technologie</t>
        </is>
      </c>
      <c r="M101" s="5" t="inlineStr">
        <is>
          <t>digitale_bau_verwaltung_planung</t>
        </is>
      </c>
      <c r="N101" s="5" t="inlineStr">
        <is>
          <t>Digitale Bau-, Planungs- und Genehmigungsprozesse</t>
        </is>
      </c>
      <c r="O101" s="5" t="n">
        <v>5</v>
      </c>
      <c r="P101" s="5" t="n">
        <v>4</v>
      </c>
      <c r="Q101" s="5" t="n">
        <v>13</v>
      </c>
      <c r="R101" s="5" t="n">
        <v>4</v>
      </c>
      <c r="S101" s="5" t="n">
        <v>0</v>
      </c>
      <c r="T101" s="5" t="n">
        <v>0</v>
      </c>
      <c r="U101" s="5" t="n">
        <v>2</v>
      </c>
      <c r="V101" s="5" t="n">
        <v>7</v>
      </c>
      <c r="W101" s="5" t="n">
        <v>7</v>
      </c>
      <c r="X101" s="5" t="n">
        <v>0</v>
      </c>
      <c r="Y101" s="5" t="n">
        <v>0</v>
      </c>
      <c r="Z101" s="5" t="n">
        <v>0</v>
      </c>
      <c r="AA101" s="5" t="n">
        <v>0</v>
      </c>
      <c r="AB101" s="5" t="n">
        <v>38.932242</v>
      </c>
      <c r="AC101" s="5" t="inlineStr">
        <is>
          <t>Wie können Bau, Planung, Genehmigung und Verwaltung durch digitale Werkzeuge schneller und rechtssicherer werden?</t>
        </is>
      </c>
      <c r="AD101" s="5" t="inlineStr">
        <is>
          <t>Digitale Bau-, Planungs- und Genehmigungsprozesse: Architektenkammer Rheinland-Pfalz (implementation_anchor, 5) + Technische Hochschule Bingen (academic_support, 4).</t>
        </is>
      </c>
      <c r="AE101" s="5" t="inlineStr">
        <is>
          <t>Architektenkammer Rheinland-Pfalz | Technische Hochschule Bingen</t>
        </is>
      </c>
      <c r="AF101" s="5" t="inlineStr">
        <is>
          <t>digitale-bau-verwaltung-planung-architektenkammer-rheinland-pfalz-technische-hochschule-bingen</t>
        </is>
      </c>
    </row>
    <row r="102" ht="30" customHeight="1" s="46">
      <c r="A102" s="5" t="inlineStr">
        <is>
          <t>C0101</t>
        </is>
      </c>
      <c r="B102" s="5" t="inlineStr">
        <is>
          <t>x_0101</t>
        </is>
      </c>
      <c r="C102" s="5" t="n">
        <v>0</v>
      </c>
      <c r="D102" s="5" t="inlineStr">
        <is>
          <t>Aturas GmbH</t>
        </is>
      </c>
      <c r="E102" s="5" t="inlineStr">
        <is>
          <t>Entwicklungsagentur Rheinland-Pfalz e.V.</t>
        </is>
      </c>
      <c r="F102" s="5" t="n">
        <v>4</v>
      </c>
      <c r="G102" s="5" t="n">
        <v>25</v>
      </c>
      <c r="H102" s="5" t="inlineStr">
        <is>
          <t>profit_anchor</t>
        </is>
      </c>
      <c r="I102" t="inlineStr">
        <is>
          <t>technology_digital_anchor</t>
        </is>
      </c>
      <c r="J102" s="5" t="inlineStr">
        <is>
          <t>implementation_anchor</t>
        </is>
      </c>
      <c r="K102" t="inlineStr">
        <is>
          <t>public_policy_anchor</t>
        </is>
      </c>
      <c r="L102" s="5" t="inlineStr">
        <is>
          <t>technologie</t>
        </is>
      </c>
      <c r="M102" s="5" t="inlineStr">
        <is>
          <t>digitale_bau_verwaltung_planung</t>
        </is>
      </c>
      <c r="N102" s="5" t="inlineStr">
        <is>
          <t>Digitale Bau-, Planungs- und Genehmigungsprozesse</t>
        </is>
      </c>
      <c r="O102" s="5" t="n">
        <v>4</v>
      </c>
      <c r="P102" s="5" t="n">
        <v>3</v>
      </c>
      <c r="Q102" s="5" t="n">
        <v>11</v>
      </c>
      <c r="R102" s="5" t="n">
        <v>4</v>
      </c>
      <c r="S102" s="5" t="n">
        <v>0</v>
      </c>
      <c r="T102" s="5" t="n">
        <v>0</v>
      </c>
      <c r="U102" s="5" t="n">
        <v>2</v>
      </c>
      <c r="V102" s="5" t="n">
        <v>8</v>
      </c>
      <c r="W102" s="5" t="n">
        <v>8</v>
      </c>
      <c r="X102" s="5" t="n">
        <v>0</v>
      </c>
      <c r="Y102" s="5" t="n">
        <v>0</v>
      </c>
      <c r="Z102" s="5" t="n">
        <v>0</v>
      </c>
      <c r="AA102" s="5" t="n">
        <v>0</v>
      </c>
      <c r="AB102" s="5" t="n">
        <v>38.85151</v>
      </c>
      <c r="AC102" s="5" t="inlineStr">
        <is>
          <t>Wie können Bau, Planung, Genehmigung und Verwaltung durch digitale Werkzeuge schneller und rechtssicherer werden?</t>
        </is>
      </c>
      <c r="AD102" s="5" t="inlineStr">
        <is>
          <t>Digitale Bau-, Planungs- und Genehmigungsprozesse: Aturas GmbH (profit_anchor, 4) + Entwicklungsagentur Rheinland-Pfalz e.V. (implementation_anchor, 3).</t>
        </is>
      </c>
      <c r="AE102" s="5" t="inlineStr">
        <is>
          <t>Aturas GmbH | Entwicklungsagentur Rheinland-Pfalz e.V.</t>
        </is>
      </c>
      <c r="AF102" s="5" t="inlineStr">
        <is>
          <t>digitale-bau-verwaltung-planung-aturas-gmbh-entwicklungsagentur-rheinland-pfalz-e-v</t>
        </is>
      </c>
    </row>
    <row r="103" ht="30" customHeight="1" s="46">
      <c r="A103" s="5" t="inlineStr">
        <is>
          <t>C0102</t>
        </is>
      </c>
      <c r="B103" s="5" t="inlineStr">
        <is>
          <t>x_0102</t>
        </is>
      </c>
      <c r="C103" s="5" t="n">
        <v>0</v>
      </c>
      <c r="D103" s="5" t="inlineStr">
        <is>
          <t>BRICKMAKERS AG</t>
        </is>
      </c>
      <c r="E103" s="5" t="inlineStr">
        <is>
          <t>Entwicklungsagentur Rheinland-Pfalz e.V.</t>
        </is>
      </c>
      <c r="F103" s="5" t="n">
        <v>12</v>
      </c>
      <c r="G103" s="5" t="n">
        <v>25</v>
      </c>
      <c r="H103" s="5" t="inlineStr">
        <is>
          <t>profit_anchor</t>
        </is>
      </c>
      <c r="I103" t="inlineStr">
        <is>
          <t>technology_digital_anchor</t>
        </is>
      </c>
      <c r="J103" s="5" t="inlineStr">
        <is>
          <t>implementation_anchor</t>
        </is>
      </c>
      <c r="K103" t="inlineStr">
        <is>
          <t>public_policy_anchor</t>
        </is>
      </c>
      <c r="L103" s="5" t="inlineStr">
        <is>
          <t>technologie</t>
        </is>
      </c>
      <c r="M103" s="5" t="inlineStr">
        <is>
          <t>digitale_bau_verwaltung_planung</t>
        </is>
      </c>
      <c r="N103" s="5" t="inlineStr">
        <is>
          <t>Digitale Bau-, Planungs- und Genehmigungsprozesse</t>
        </is>
      </c>
      <c r="O103" s="5" t="n">
        <v>4</v>
      </c>
      <c r="P103" s="5" t="n">
        <v>3</v>
      </c>
      <c r="Q103" s="5" t="n">
        <v>11</v>
      </c>
      <c r="R103" s="5" t="n">
        <v>4</v>
      </c>
      <c r="S103" s="5" t="n">
        <v>0</v>
      </c>
      <c r="T103" s="5" t="n">
        <v>0</v>
      </c>
      <c r="U103" s="5" t="n">
        <v>2</v>
      </c>
      <c r="V103" s="5" t="n">
        <v>8</v>
      </c>
      <c r="W103" s="5" t="n">
        <v>8</v>
      </c>
      <c r="X103" s="5" t="n">
        <v>0</v>
      </c>
      <c r="Y103" s="5" t="n">
        <v>0</v>
      </c>
      <c r="Z103" s="5" t="n">
        <v>0</v>
      </c>
      <c r="AA103" s="5" t="n">
        <v>0</v>
      </c>
      <c r="AB103" s="5" t="n">
        <v>38.85151</v>
      </c>
      <c r="AC103" s="5" t="inlineStr">
        <is>
          <t>Wie können Bau, Planung, Genehmigung und Verwaltung durch digitale Werkzeuge schneller und rechtssicherer werden?</t>
        </is>
      </c>
      <c r="AD103" s="5" t="inlineStr">
        <is>
          <t>Digitale Bau-, Planungs- und Genehmigungsprozesse: BRICKMAKERS AG (profit_anchor, 4) + Entwicklungsagentur Rheinland-Pfalz e.V. (implementation_anchor, 3).</t>
        </is>
      </c>
      <c r="AE103" s="5" t="inlineStr">
        <is>
          <t>BRICKMAKERS AG | Entwicklungsagentur Rheinland-Pfalz e.V.</t>
        </is>
      </c>
      <c r="AF103" s="5" t="inlineStr">
        <is>
          <t>digitale-bau-verwaltung-planung-brickmakers-ag-entwicklungsagentur-rheinland-pfalz-e-v</t>
        </is>
      </c>
    </row>
    <row r="104" ht="30" customHeight="1" s="46">
      <c r="A104" s="5" t="inlineStr">
        <is>
          <t>C0103</t>
        </is>
      </c>
      <c r="B104" s="5" t="inlineStr">
        <is>
          <t>x_0103</t>
        </is>
      </c>
      <c r="C104" s="5" t="n">
        <v>0</v>
      </c>
      <c r="D104" s="5" t="inlineStr">
        <is>
          <t>Deutsche Universität für Verwaltungswissenschaften Speyer</t>
        </is>
      </c>
      <c r="E104" s="5" t="inlineStr">
        <is>
          <t>Ingenieurkammer Rheinland-Pfalz</t>
        </is>
      </c>
      <c r="F104" s="5" t="n">
        <v>19</v>
      </c>
      <c r="G104" s="5" t="n">
        <v>44</v>
      </c>
      <c r="H104" s="5" t="inlineStr">
        <is>
          <t>academic_support</t>
        </is>
      </c>
      <c r="I104" t="inlineStr">
        <is>
          <t>university_research</t>
        </is>
      </c>
      <c r="J104" s="5" t="inlineStr">
        <is>
          <t>implementation_anchor</t>
        </is>
      </c>
      <c r="K104" t="inlineStr">
        <is>
          <t>construction_planning_anchor</t>
        </is>
      </c>
      <c r="L104" s="5" t="inlineStr">
        <is>
          <t>technologie</t>
        </is>
      </c>
      <c r="M104" s="5" t="inlineStr">
        <is>
          <t>digitale_bau_verwaltung_planung</t>
        </is>
      </c>
      <c r="N104" s="5" t="inlineStr">
        <is>
          <t>Digitale Bau-, Planungs- und Genehmigungsprozesse</t>
        </is>
      </c>
      <c r="O104" s="5" t="n">
        <v>4</v>
      </c>
      <c r="P104" s="5" t="n">
        <v>5</v>
      </c>
      <c r="Q104" s="5" t="n">
        <v>13</v>
      </c>
      <c r="R104" s="5" t="n">
        <v>4</v>
      </c>
      <c r="S104" s="5" t="n">
        <v>0</v>
      </c>
      <c r="T104" s="5" t="n">
        <v>0</v>
      </c>
      <c r="U104" s="5" t="n">
        <v>2</v>
      </c>
      <c r="V104" s="5" t="n">
        <v>7</v>
      </c>
      <c r="W104" s="5" t="n">
        <v>7</v>
      </c>
      <c r="X104" s="5" t="n">
        <v>0</v>
      </c>
      <c r="Y104" s="5" t="n">
        <v>0</v>
      </c>
      <c r="Z104" s="5" t="n">
        <v>0</v>
      </c>
      <c r="AA104" s="5" t="n">
        <v>0</v>
      </c>
      <c r="AB104" s="5" t="n">
        <v>43.363623</v>
      </c>
      <c r="AC104" s="5" t="inlineStr">
        <is>
          <t>Wie können Bau, Planung, Genehmigung und Verwaltung durch digitale Werkzeuge schneller und rechtssicherer werden?</t>
        </is>
      </c>
      <c r="AD104" s="5" t="inlineStr">
        <is>
          <t>Digitale Bau-, Planungs- und Genehmigungsprozesse: Deutsche Universität für Verwaltungswissenschaften Speyer (academic_support, 4) + Ingenieurkammer Rheinland-Pfalz (implementation_anchor, 5).</t>
        </is>
      </c>
      <c r="AE104" s="5" t="inlineStr">
        <is>
          <t>Deutsche Universität für Verwaltungswissenschaften Speyer | Ingenieurkammer Rheinland-Pfalz</t>
        </is>
      </c>
      <c r="AF104" s="5" t="inlineStr">
        <is>
          <t>digitale-bau-verwaltung-planung-deutsche-universität-für-verwaltungswissenschaften-speyer-ingen</t>
        </is>
      </c>
    </row>
    <row r="105" ht="30" customHeight="1" s="46">
      <c r="A105" s="5" t="inlineStr">
        <is>
          <t>C0104</t>
        </is>
      </c>
      <c r="B105" s="5" t="inlineStr">
        <is>
          <t>x_0104</t>
        </is>
      </c>
      <c r="C105" s="5" t="n">
        <v>0</v>
      </c>
      <c r="D105" s="5" t="inlineStr">
        <is>
          <t>Empolis Information Management GmbH</t>
        </is>
      </c>
      <c r="E105" s="5" t="inlineStr">
        <is>
          <t>Entwicklungsagentur Rheinland-Pfalz e.V.</t>
        </is>
      </c>
      <c r="F105" s="5" t="n">
        <v>23</v>
      </c>
      <c r="G105" s="5" t="n">
        <v>25</v>
      </c>
      <c r="H105" s="5" t="inlineStr">
        <is>
          <t>profit_anchor</t>
        </is>
      </c>
      <c r="I105" t="inlineStr">
        <is>
          <t>technology_digital_anchor</t>
        </is>
      </c>
      <c r="J105" s="5" t="inlineStr">
        <is>
          <t>implementation_anchor</t>
        </is>
      </c>
      <c r="K105" t="inlineStr">
        <is>
          <t>public_policy_anchor</t>
        </is>
      </c>
      <c r="L105" s="5" t="inlineStr">
        <is>
          <t>technologie</t>
        </is>
      </c>
      <c r="M105" s="5" t="inlineStr">
        <is>
          <t>digitale_bau_verwaltung_planung</t>
        </is>
      </c>
      <c r="N105" s="5" t="inlineStr">
        <is>
          <t>Digitale Bau-, Planungs- und Genehmigungsprozesse</t>
        </is>
      </c>
      <c r="O105" s="5" t="n">
        <v>4</v>
      </c>
      <c r="P105" s="5" t="n">
        <v>3</v>
      </c>
      <c r="Q105" s="5" t="n">
        <v>11</v>
      </c>
      <c r="R105" s="5" t="n">
        <v>4</v>
      </c>
      <c r="S105" s="5" t="n">
        <v>0</v>
      </c>
      <c r="T105" s="5" t="n">
        <v>0</v>
      </c>
      <c r="U105" s="5" t="n">
        <v>2</v>
      </c>
      <c r="V105" s="5" t="n">
        <v>8</v>
      </c>
      <c r="W105" s="5" t="n">
        <v>8</v>
      </c>
      <c r="X105" s="5" t="n">
        <v>0</v>
      </c>
      <c r="Y105" s="5" t="n">
        <v>0</v>
      </c>
      <c r="Z105" s="5" t="n">
        <v>0</v>
      </c>
      <c r="AA105" s="5" t="n">
        <v>0</v>
      </c>
      <c r="AB105" s="5" t="n">
        <v>38.85151</v>
      </c>
      <c r="AC105" s="5" t="inlineStr">
        <is>
          <t>Wie können Bau, Planung, Genehmigung und Verwaltung durch digitale Werkzeuge schneller und rechtssicherer werden?</t>
        </is>
      </c>
      <c r="AD105" s="5" t="inlineStr">
        <is>
          <t>Digitale Bau-, Planungs- und Genehmigungsprozesse: Empolis Information Management GmbH (profit_anchor, 4) + Entwicklungsagentur Rheinland-Pfalz e.V. (implementation_anchor, 3).</t>
        </is>
      </c>
      <c r="AE105" s="5" t="inlineStr">
        <is>
          <t>Empolis Information Management GmbH | Entwicklungsagentur Rheinland-Pfalz e.V.</t>
        </is>
      </c>
      <c r="AF105" s="5" t="inlineStr">
        <is>
          <t>digitale-bau-verwaltung-planung-empolis-information-management-gmbh-entwicklungsagentur-rheinla</t>
        </is>
      </c>
    </row>
    <row r="106" ht="30" customHeight="1" s="46">
      <c r="A106" s="5" t="inlineStr">
        <is>
          <t>C0105</t>
        </is>
      </c>
      <c r="B106" s="5" t="inlineStr">
        <is>
          <t>x_0105</t>
        </is>
      </c>
      <c r="C106" s="5" t="n">
        <v>0</v>
      </c>
      <c r="D106" s="5" t="inlineStr">
        <is>
          <t>Entwicklungsagentur Rheinland-Pfalz e.V.</t>
        </is>
      </c>
      <c r="E106" s="5" t="inlineStr">
        <is>
          <t>Ministerium für Wirtschaft, Verkehr, Landwirtschaft und Weinbau</t>
        </is>
      </c>
      <c r="F106" s="5" t="n">
        <v>25</v>
      </c>
      <c r="G106" s="5" t="n">
        <v>70</v>
      </c>
      <c r="H106" s="5" t="inlineStr">
        <is>
          <t>implementation_anchor</t>
        </is>
      </c>
      <c r="I106" t="inlineStr">
        <is>
          <t>public_policy_anchor</t>
        </is>
      </c>
      <c r="J106" s="5" t="inlineStr">
        <is>
          <t>profit_anchor</t>
        </is>
      </c>
      <c r="K106" t="inlineStr">
        <is>
          <t>public_policy_anchor</t>
        </is>
      </c>
      <c r="L106" s="5" t="inlineStr">
        <is>
          <t>technologie</t>
        </is>
      </c>
      <c r="M106" s="5" t="inlineStr">
        <is>
          <t>digitale_bau_verwaltung_planung</t>
        </is>
      </c>
      <c r="N106" s="5" t="inlineStr">
        <is>
          <t>Digitale Bau-, Planungs- und Genehmigungsprozesse</t>
        </is>
      </c>
      <c r="O106" s="5" t="n">
        <v>3</v>
      </c>
      <c r="P106" s="5" t="n">
        <v>4</v>
      </c>
      <c r="Q106" s="5" t="n">
        <v>11</v>
      </c>
      <c r="R106" s="5" t="n">
        <v>4</v>
      </c>
      <c r="S106" s="5" t="n">
        <v>0</v>
      </c>
      <c r="T106" s="5" t="n">
        <v>0</v>
      </c>
      <c r="U106" s="5" t="n">
        <v>2</v>
      </c>
      <c r="V106" s="5" t="n">
        <v>8</v>
      </c>
      <c r="W106" s="5" t="n">
        <v>8</v>
      </c>
      <c r="X106" s="5" t="n">
        <v>0</v>
      </c>
      <c r="Y106" s="5" t="n">
        <v>0</v>
      </c>
      <c r="Z106" s="5" t="n">
        <v>0</v>
      </c>
      <c r="AA106" s="5" t="n">
        <v>0</v>
      </c>
      <c r="AB106" s="5" t="n">
        <v>42.559696</v>
      </c>
      <c r="AC106" s="5" t="inlineStr">
        <is>
          <t>Wie können Bau, Planung, Genehmigung und Verwaltung durch digitale Werkzeuge schneller und rechtssicherer werden?</t>
        </is>
      </c>
      <c r="AD106" s="5" t="inlineStr">
        <is>
          <t>Digitale Bau-, Planungs- und Genehmigungsprozesse: Entwicklungsagentur Rheinland-Pfalz e.V. (implementation_anchor, 3) + Ministerium für Wirtschaft, Verkehr, Landwirtschaft und Weinbau (profit_anchor, 4).</t>
        </is>
      </c>
      <c r="AE106" s="5" t="inlineStr">
        <is>
          <t>Entwicklungsagentur Rheinland-Pfalz e.V. | Ministerium für Wirtschaft, Verkehr, Landwirtschaft und Weinbau</t>
        </is>
      </c>
      <c r="AF106" s="5" t="inlineStr">
        <is>
          <t>digitale-bau-verwaltung-planung-entwicklungsagentur-rheinland-pfalz-e-v-ministerium-für-wirtsch</t>
        </is>
      </c>
    </row>
    <row r="107" ht="30" customHeight="1" s="46">
      <c r="A107" s="5" t="inlineStr">
        <is>
          <t>C0106</t>
        </is>
      </c>
      <c r="B107" s="5" t="inlineStr">
        <is>
          <t>x_0106</t>
        </is>
      </c>
      <c r="C107" s="5" t="n">
        <v>0</v>
      </c>
      <c r="D107" s="5" t="inlineStr">
        <is>
          <t>Ingenieurkammer Rheinland-Pfalz</t>
        </is>
      </c>
      <c r="E107" s="5" t="inlineStr">
        <is>
          <t>Technische Hochschule Bingen</t>
        </is>
      </c>
      <c r="F107" s="5" t="n">
        <v>44</v>
      </c>
      <c r="G107" s="5" t="n">
        <v>88</v>
      </c>
      <c r="H107" s="5" t="inlineStr">
        <is>
          <t>implementation_anchor</t>
        </is>
      </c>
      <c r="I107" t="inlineStr">
        <is>
          <t>construction_planning_anchor</t>
        </is>
      </c>
      <c r="J107" s="5" t="inlineStr">
        <is>
          <t>academic_support</t>
        </is>
      </c>
      <c r="K107" t="inlineStr">
        <is>
          <t>university_applied_sciences</t>
        </is>
      </c>
      <c r="L107" s="5" t="inlineStr">
        <is>
          <t>technologie</t>
        </is>
      </c>
      <c r="M107" s="5" t="inlineStr">
        <is>
          <t>digitale_bau_verwaltung_planung</t>
        </is>
      </c>
      <c r="N107" s="5" t="inlineStr">
        <is>
          <t>Digitale Bau-, Planungs- und Genehmigungsprozesse</t>
        </is>
      </c>
      <c r="O107" s="5" t="n">
        <v>5</v>
      </c>
      <c r="P107" s="5" t="n">
        <v>4</v>
      </c>
      <c r="Q107" s="5" t="n">
        <v>13</v>
      </c>
      <c r="R107" s="5" t="n">
        <v>4</v>
      </c>
      <c r="S107" s="5" t="n">
        <v>0</v>
      </c>
      <c r="T107" s="5" t="n">
        <v>0</v>
      </c>
      <c r="U107" s="5" t="n">
        <v>2</v>
      </c>
      <c r="V107" s="5" t="n">
        <v>7</v>
      </c>
      <c r="W107" s="5" t="n">
        <v>7</v>
      </c>
      <c r="X107" s="5" t="n">
        <v>0</v>
      </c>
      <c r="Y107" s="5" t="n">
        <v>0</v>
      </c>
      <c r="Z107" s="5" t="n">
        <v>0</v>
      </c>
      <c r="AA107" s="5" t="n">
        <v>0</v>
      </c>
      <c r="AB107" s="5" t="n">
        <v>38.932242</v>
      </c>
      <c r="AC107" s="5" t="inlineStr">
        <is>
          <t>Wie können Bau, Planung, Genehmigung und Verwaltung durch digitale Werkzeuge schneller und rechtssicherer werden?</t>
        </is>
      </c>
      <c r="AD107" s="5" t="inlineStr">
        <is>
          <t>Digitale Bau-, Planungs- und Genehmigungsprozesse: Ingenieurkammer Rheinland-Pfalz (implementation_anchor, 5) + Technische Hochschule Bingen (academic_support, 4).</t>
        </is>
      </c>
      <c r="AE107" s="5" t="inlineStr">
        <is>
          <t>Ingenieurkammer Rheinland-Pfalz | Technische Hochschule Bingen</t>
        </is>
      </c>
      <c r="AF107" s="5" t="inlineStr">
        <is>
          <t>digitale-bau-verwaltung-planung-ingenieurkammer-rheinland-pfalz-technische-hochschule-bingen</t>
        </is>
      </c>
    </row>
    <row r="108" ht="30" customHeight="1" s="46">
      <c r="A108" s="5" t="inlineStr">
        <is>
          <t>C0107</t>
        </is>
      </c>
      <c r="B108" s="5" t="inlineStr">
        <is>
          <t>x_0107</t>
        </is>
      </c>
      <c r="C108" s="5" t="n">
        <v>0</v>
      </c>
      <c r="D108" s="5" t="inlineStr">
        <is>
          <t>Debeka Versicherungsgruppe</t>
        </is>
      </c>
      <c r="E108" s="5" t="inlineStr">
        <is>
          <t>Handwerkskammern Rheinland-Pfalz</t>
        </is>
      </c>
      <c r="F108" s="5" t="n">
        <v>16</v>
      </c>
      <c r="G108" s="5" t="n">
        <v>32</v>
      </c>
      <c r="H108" s="5" t="inlineStr">
        <is>
          <t>profit_anchor</t>
        </is>
      </c>
      <c r="I108" t="inlineStr">
        <is>
          <t>bank_finance_anchor</t>
        </is>
      </c>
      <c r="J108" s="5" t="inlineStr">
        <is>
          <t>implementation_anchor</t>
        </is>
      </c>
      <c r="K108" t="inlineStr">
        <is>
          <t>chamber_association_anchor</t>
        </is>
      </c>
      <c r="L108" s="5" t="inlineStr">
        <is>
          <t>wirtschaft</t>
        </is>
      </c>
      <c r="M108" s="5" t="inlineStr">
        <is>
          <t>finanzierung_foerderung_transformation</t>
        </is>
      </c>
      <c r="N108" s="5" t="inlineStr">
        <is>
          <t>Finanzierung und Förderung von Transformation</t>
        </is>
      </c>
      <c r="O108" s="5" t="n">
        <v>4</v>
      </c>
      <c r="P108" s="5" t="n">
        <v>3</v>
      </c>
      <c r="Q108" s="5" t="n">
        <v>11</v>
      </c>
      <c r="R108" s="5" t="n">
        <v>4</v>
      </c>
      <c r="S108" s="5" t="n">
        <v>0</v>
      </c>
      <c r="T108" s="5" t="n">
        <v>0</v>
      </c>
      <c r="U108" s="5" t="n">
        <v>2</v>
      </c>
      <c r="V108" s="5" t="n">
        <v>8</v>
      </c>
      <c r="W108" s="5" t="n">
        <v>8</v>
      </c>
      <c r="X108" s="5" t="n">
        <v>0</v>
      </c>
      <c r="Y108" s="5" t="n">
        <v>0</v>
      </c>
      <c r="Z108" s="5" t="n">
        <v>0</v>
      </c>
      <c r="AA108" s="5" t="n">
        <v>0</v>
      </c>
      <c r="AB108" s="5" t="n">
        <v>46.20367</v>
      </c>
      <c r="AC108" s="5" t="inlineStr">
        <is>
          <t>Wie kommen Investitionen, Fördermittel, Banken und Unternehmensstrategien schneller zusammen?</t>
        </is>
      </c>
      <c r="AD108" s="5" t="inlineStr">
        <is>
          <t>Finanzierung und Förderung von Transformation: Debeka Versicherungsgruppe (profit_anchor, 4) + Handwerkskammern Rheinland-Pfalz (implementation_anchor, 3).</t>
        </is>
      </c>
      <c r="AE108" s="5" t="inlineStr">
        <is>
          <t>Debeka Versicherungsgruppe | Handwerkskammern Rheinland-Pfalz</t>
        </is>
      </c>
      <c r="AF108" s="5" t="inlineStr">
        <is>
          <t>finanzierung-foerderung-transformation-debeka-versicherungsgruppe-handwerkskammern-rheinland-pf</t>
        </is>
      </c>
    </row>
    <row r="109" ht="30" customHeight="1" s="46">
      <c r="A109" s="5" t="inlineStr">
        <is>
          <t>C0108</t>
        </is>
      </c>
      <c r="B109" s="5" t="inlineStr">
        <is>
          <t>x_0108</t>
        </is>
      </c>
      <c r="C109" s="5" t="n">
        <v>0</v>
      </c>
      <c r="D109" s="5" t="inlineStr">
        <is>
          <t>Ernst &amp; Young GmbH</t>
        </is>
      </c>
      <c r="E109" s="5" t="inlineStr">
        <is>
          <t>Handwerkskammern Rheinland-Pfalz</t>
        </is>
      </c>
      <c r="F109" s="5" t="n">
        <v>26</v>
      </c>
      <c r="G109" s="5" t="n">
        <v>32</v>
      </c>
      <c r="H109" s="5" t="inlineStr">
        <is>
          <t>profit_anchor</t>
        </is>
      </c>
      <c r="I109" t="inlineStr">
        <is>
          <t>professional_services_anchor</t>
        </is>
      </c>
      <c r="J109" s="5" t="inlineStr">
        <is>
          <t>implementation_anchor</t>
        </is>
      </c>
      <c r="K109" t="inlineStr">
        <is>
          <t>chamber_association_anchor</t>
        </is>
      </c>
      <c r="L109" s="5" t="inlineStr">
        <is>
          <t>wirtschaft</t>
        </is>
      </c>
      <c r="M109" s="5" t="inlineStr">
        <is>
          <t>finanzierung_foerderung_transformation</t>
        </is>
      </c>
      <c r="N109" s="5" t="inlineStr">
        <is>
          <t>Finanzierung und Förderung von Transformation</t>
        </is>
      </c>
      <c r="O109" s="5" t="n">
        <v>4</v>
      </c>
      <c r="P109" s="5" t="n">
        <v>3</v>
      </c>
      <c r="Q109" s="5" t="n">
        <v>11</v>
      </c>
      <c r="R109" s="5" t="n">
        <v>4</v>
      </c>
      <c r="S109" s="5" t="n">
        <v>0</v>
      </c>
      <c r="T109" s="5" t="n">
        <v>0</v>
      </c>
      <c r="U109" s="5" t="n">
        <v>2</v>
      </c>
      <c r="V109" s="5" t="n">
        <v>8</v>
      </c>
      <c r="W109" s="5" t="n">
        <v>8</v>
      </c>
      <c r="X109" s="5" t="n">
        <v>0</v>
      </c>
      <c r="Y109" s="5" t="n">
        <v>0</v>
      </c>
      <c r="Z109" s="5" t="n">
        <v>0</v>
      </c>
      <c r="AA109" s="5" t="n">
        <v>0</v>
      </c>
      <c r="AB109" s="5" t="n">
        <v>49.449899</v>
      </c>
      <c r="AC109" s="5" t="inlineStr">
        <is>
          <t>Wie kommen Investitionen, Fördermittel, Banken und Unternehmensstrategien schneller zusammen?</t>
        </is>
      </c>
      <c r="AD109" s="5" t="inlineStr">
        <is>
          <t>Finanzierung und Förderung von Transformation: Ernst &amp; Young GmbH (profit_anchor, 4) + Handwerkskammern Rheinland-Pfalz (implementation_anchor, 3).</t>
        </is>
      </c>
      <c r="AE109" s="5" t="inlineStr">
        <is>
          <t>Ernst &amp; Young GmbH | Handwerkskammern Rheinland-Pfalz</t>
        </is>
      </c>
      <c r="AF109" s="5" t="inlineStr">
        <is>
          <t>finanzierung-foerderung-transformation-ernst-young-gmbh-handwerkskammern-rheinland-pfalz</t>
        </is>
      </c>
    </row>
    <row r="110" ht="30" customHeight="1" s="46">
      <c r="A110" s="5" t="inlineStr">
        <is>
          <t>C0109</t>
        </is>
      </c>
      <c r="B110" s="5" t="inlineStr">
        <is>
          <t>x_0109</t>
        </is>
      </c>
      <c r="C110" s="5" t="n">
        <v>0</v>
      </c>
      <c r="D110" s="5" t="inlineStr">
        <is>
          <t>Handwerkskammern Rheinland-Pfalz</t>
        </is>
      </c>
      <c r="E110" s="5" t="inlineStr">
        <is>
          <t>KPMG AG Wirtschaftsprüfungsgesellschaft</t>
        </is>
      </c>
      <c r="F110" s="5" t="n">
        <v>32</v>
      </c>
      <c r="G110" s="5" t="n">
        <v>56</v>
      </c>
      <c r="H110" s="5" t="inlineStr">
        <is>
          <t>implementation_anchor</t>
        </is>
      </c>
      <c r="I110" t="inlineStr">
        <is>
          <t>chamber_association_anchor</t>
        </is>
      </c>
      <c r="J110" s="5" t="inlineStr">
        <is>
          <t>profit_anchor</t>
        </is>
      </c>
      <c r="K110" t="inlineStr">
        <is>
          <t>professional_services_anchor</t>
        </is>
      </c>
      <c r="L110" s="5" t="inlineStr">
        <is>
          <t>wirtschaft</t>
        </is>
      </c>
      <c r="M110" s="5" t="inlineStr">
        <is>
          <t>finanzierung_foerderung_transformation</t>
        </is>
      </c>
      <c r="N110" s="5" t="inlineStr">
        <is>
          <t>Finanzierung und Förderung von Transformation</t>
        </is>
      </c>
      <c r="O110" s="5" t="n">
        <v>3</v>
      </c>
      <c r="P110" s="5" t="n">
        <v>4</v>
      </c>
      <c r="Q110" s="5" t="n">
        <v>11</v>
      </c>
      <c r="R110" s="5" t="n">
        <v>4</v>
      </c>
      <c r="S110" s="5" t="n">
        <v>0</v>
      </c>
      <c r="T110" s="5" t="n">
        <v>0</v>
      </c>
      <c r="U110" s="5" t="n">
        <v>2</v>
      </c>
      <c r="V110" s="5" t="n">
        <v>8</v>
      </c>
      <c r="W110" s="5" t="n">
        <v>8</v>
      </c>
      <c r="X110" s="5" t="n">
        <v>0</v>
      </c>
      <c r="Y110" s="5" t="n">
        <v>0</v>
      </c>
      <c r="Z110" s="5" t="n">
        <v>0</v>
      </c>
      <c r="AA110" s="5" t="n">
        <v>0</v>
      </c>
      <c r="AB110" s="5" t="n">
        <v>49.449899</v>
      </c>
      <c r="AC110" s="5" t="inlineStr">
        <is>
          <t>Wie kommen Investitionen, Fördermittel, Banken und Unternehmensstrategien schneller zusammen?</t>
        </is>
      </c>
      <c r="AD110" s="5" t="inlineStr">
        <is>
          <t>Finanzierung und Förderung von Transformation: Handwerkskammern Rheinland-Pfalz (implementation_anchor, 3) + KPMG AG Wirtschaftsprüfungsgesellschaft (profit_anchor, 4).</t>
        </is>
      </c>
      <c r="AE110" s="5" t="inlineStr">
        <is>
          <t>Handwerkskammern Rheinland-Pfalz | KPMG AG Wirtschaftsprüfungsgesellschaft</t>
        </is>
      </c>
      <c r="AF110" s="5" t="inlineStr">
        <is>
          <t>finanzierung-foerderung-transformation-handwerkskammern-rheinland-pfalz-kpmg-ag-wirtschaftsprüf</t>
        </is>
      </c>
    </row>
    <row r="111" ht="30" customHeight="1" s="46">
      <c r="A111" s="5" t="inlineStr">
        <is>
          <t>C0110</t>
        </is>
      </c>
      <c r="B111" s="5" t="inlineStr">
        <is>
          <t>x_0110</t>
        </is>
      </c>
      <c r="C111" s="5" t="n">
        <v>0</v>
      </c>
      <c r="D111" s="5" t="inlineStr">
        <is>
          <t>Handwerkskammern Rheinland-Pfalz</t>
        </is>
      </c>
      <c r="E111" s="5" t="inlineStr">
        <is>
          <t>Provinzial Versicherung AG</t>
        </is>
      </c>
      <c r="F111" s="5" t="n">
        <v>32</v>
      </c>
      <c r="G111" s="5" t="n">
        <v>73</v>
      </c>
      <c r="H111" s="5" t="inlineStr">
        <is>
          <t>implementation_anchor</t>
        </is>
      </c>
      <c r="I111" t="inlineStr">
        <is>
          <t>chamber_association_anchor</t>
        </is>
      </c>
      <c r="J111" s="5" t="inlineStr">
        <is>
          <t>profit_anchor</t>
        </is>
      </c>
      <c r="K111" t="inlineStr">
        <is>
          <t>bank_finance_anchor</t>
        </is>
      </c>
      <c r="L111" s="5" t="inlineStr">
        <is>
          <t>wirtschaft</t>
        </is>
      </c>
      <c r="M111" s="5" t="inlineStr">
        <is>
          <t>finanzierung_foerderung_transformation</t>
        </is>
      </c>
      <c r="N111" s="5" t="inlineStr">
        <is>
          <t>Finanzierung und Förderung von Transformation</t>
        </is>
      </c>
      <c r="O111" s="5" t="n">
        <v>3</v>
      </c>
      <c r="P111" s="5" t="n">
        <v>4</v>
      </c>
      <c r="Q111" s="5" t="n">
        <v>11</v>
      </c>
      <c r="R111" s="5" t="n">
        <v>4</v>
      </c>
      <c r="S111" s="5" t="n">
        <v>0</v>
      </c>
      <c r="T111" s="5" t="n">
        <v>0</v>
      </c>
      <c r="U111" s="5" t="n">
        <v>2</v>
      </c>
      <c r="V111" s="5" t="n">
        <v>8</v>
      </c>
      <c r="W111" s="5" t="n">
        <v>8</v>
      </c>
      <c r="X111" s="5" t="n">
        <v>0</v>
      </c>
      <c r="Y111" s="5" t="n">
        <v>0</v>
      </c>
      <c r="Z111" s="5" t="n">
        <v>0</v>
      </c>
      <c r="AA111" s="5" t="n">
        <v>0</v>
      </c>
      <c r="AB111" s="5" t="n">
        <v>46.20367</v>
      </c>
      <c r="AC111" s="5" t="inlineStr">
        <is>
          <t>Wie kommen Investitionen, Fördermittel, Banken und Unternehmensstrategien schneller zusammen?</t>
        </is>
      </c>
      <c r="AD111" s="5" t="inlineStr">
        <is>
          <t>Finanzierung und Förderung von Transformation: Handwerkskammern Rheinland-Pfalz (implementation_anchor, 3) + Provinzial Versicherung AG (profit_anchor, 4).</t>
        </is>
      </c>
      <c r="AE111" s="5" t="inlineStr">
        <is>
          <t>Handwerkskammern Rheinland-Pfalz | Provinzial Versicherung AG</t>
        </is>
      </c>
      <c r="AF111" s="5" t="inlineStr">
        <is>
          <t>finanzierung-foerderung-transformation-handwerkskammern-rheinland-pfalz-provinzial-versicherung</t>
        </is>
      </c>
    </row>
    <row r="112" ht="30" customHeight="1" s="46">
      <c r="A112" s="5" t="inlineStr">
        <is>
          <t>C0111</t>
        </is>
      </c>
      <c r="B112" s="5" t="inlineStr">
        <is>
          <t>x_0111</t>
        </is>
      </c>
      <c r="C112" s="5" t="n">
        <v>0</v>
      </c>
      <c r="D112" s="5" t="inlineStr">
        <is>
          <t>Handwerkskammern Rheinland-Pfalz</t>
        </is>
      </c>
      <c r="E112" s="5" t="inlineStr">
        <is>
          <t>Vereinigte VR Bank Kur- und Rheinpfalz eG</t>
        </is>
      </c>
      <c r="F112" s="5" t="n">
        <v>32</v>
      </c>
      <c r="G112" s="5" t="n">
        <v>94</v>
      </c>
      <c r="H112" s="5" t="inlineStr">
        <is>
          <t>implementation_anchor</t>
        </is>
      </c>
      <c r="I112" t="inlineStr">
        <is>
          <t>chamber_association_anchor</t>
        </is>
      </c>
      <c r="J112" s="5" t="inlineStr">
        <is>
          <t>profit_anchor</t>
        </is>
      </c>
      <c r="K112" t="inlineStr">
        <is>
          <t>bank_finance_anchor</t>
        </is>
      </c>
      <c r="L112" s="5" t="inlineStr">
        <is>
          <t>wirtschaft</t>
        </is>
      </c>
      <c r="M112" s="5" t="inlineStr">
        <is>
          <t>finanzierung_foerderung_transformation</t>
        </is>
      </c>
      <c r="N112" s="5" t="inlineStr">
        <is>
          <t>Finanzierung und Förderung von Transformation</t>
        </is>
      </c>
      <c r="O112" s="5" t="n">
        <v>3</v>
      </c>
      <c r="P112" s="5" t="n">
        <v>4</v>
      </c>
      <c r="Q112" s="5" t="n">
        <v>11</v>
      </c>
      <c r="R112" s="5" t="n">
        <v>4</v>
      </c>
      <c r="S112" s="5" t="n">
        <v>0</v>
      </c>
      <c r="T112" s="5" t="n">
        <v>0</v>
      </c>
      <c r="U112" s="5" t="n">
        <v>2</v>
      </c>
      <c r="V112" s="5" t="n">
        <v>8</v>
      </c>
      <c r="W112" s="5" t="n">
        <v>8</v>
      </c>
      <c r="X112" s="5" t="n">
        <v>0</v>
      </c>
      <c r="Y112" s="5" t="n">
        <v>0</v>
      </c>
      <c r="Z112" s="5" t="n">
        <v>0</v>
      </c>
      <c r="AA112" s="5" t="n">
        <v>0</v>
      </c>
      <c r="AB112" s="5" t="n">
        <v>46.20367</v>
      </c>
      <c r="AC112" s="5" t="inlineStr">
        <is>
          <t>Wie kommen Investitionen, Fördermittel, Banken und Unternehmensstrategien schneller zusammen?</t>
        </is>
      </c>
      <c r="AD112" s="5" t="inlineStr">
        <is>
          <t>Finanzierung und Förderung von Transformation: Handwerkskammern Rheinland-Pfalz (implementation_anchor, 3) + Vereinigte VR Bank Kur- und Rheinpfalz eG (profit_anchor, 4).</t>
        </is>
      </c>
      <c r="AE112" s="5" t="inlineStr">
        <is>
          <t>Handwerkskammern Rheinland-Pfalz | Vereinigte VR Bank Kur- und Rheinpfalz eG</t>
        </is>
      </c>
      <c r="AF112" s="5" t="inlineStr">
        <is>
          <t>finanzierung-foerderung-transformation-handwerkskammern-rheinland-pfalz-vereinigte-vr-bank-kur-</t>
        </is>
      </c>
    </row>
    <row r="113" ht="30" customHeight="1" s="46">
      <c r="A113" s="5" t="inlineStr">
        <is>
          <t>C0112</t>
        </is>
      </c>
      <c r="B113" s="5" t="inlineStr">
        <is>
          <t>x_0112</t>
        </is>
      </c>
      <c r="C113" s="5" t="n">
        <v>0</v>
      </c>
      <c r="D113" s="5" t="inlineStr">
        <is>
          <t>Handwerkskammern Rheinland-Pfalz</t>
        </is>
      </c>
      <c r="E113" s="5" t="inlineStr">
        <is>
          <t>Johannes Gutenberg-Universität Mainz</t>
        </is>
      </c>
      <c r="F113" s="5" t="n">
        <v>32</v>
      </c>
      <c r="G113" s="5" t="n">
        <v>49</v>
      </c>
      <c r="H113" s="5" t="inlineStr">
        <is>
          <t>implementation_anchor</t>
        </is>
      </c>
      <c r="I113" t="inlineStr">
        <is>
          <t>chamber_association_anchor</t>
        </is>
      </c>
      <c r="J113" s="5" t="inlineStr">
        <is>
          <t>academic_support</t>
        </is>
      </c>
      <c r="K113" t="inlineStr">
        <is>
          <t>university_research</t>
        </is>
      </c>
      <c r="L113" s="5" t="inlineStr">
        <is>
          <t>wissen</t>
        </is>
      </c>
      <c r="M113" s="5" t="inlineStr">
        <is>
          <t>hochschule_wirtschaft_transfer</t>
        </is>
      </c>
      <c r="N113" s="5" t="inlineStr">
        <is>
          <t>Hochschule-Wirtschaft-Transfer</t>
        </is>
      </c>
      <c r="O113" s="5" t="n">
        <v>4</v>
      </c>
      <c r="P113" s="5" t="n">
        <v>5</v>
      </c>
      <c r="Q113" s="5" t="n">
        <v>13</v>
      </c>
      <c r="R113" s="5" t="n">
        <v>4</v>
      </c>
      <c r="S113" s="5" t="n">
        <v>0</v>
      </c>
      <c r="T113" s="5" t="n">
        <v>0</v>
      </c>
      <c r="U113" s="5" t="n">
        <v>2</v>
      </c>
      <c r="V113" s="5" t="n">
        <v>7</v>
      </c>
      <c r="W113" s="5" t="n">
        <v>7</v>
      </c>
      <c r="X113" s="5" t="n">
        <v>0</v>
      </c>
      <c r="Y113" s="5" t="n">
        <v>0</v>
      </c>
      <c r="Z113" s="5" t="n">
        <v>0</v>
      </c>
      <c r="AA113" s="5" t="n">
        <v>0</v>
      </c>
      <c r="AB113" s="5" t="n">
        <v>52.515956</v>
      </c>
      <c r="AC113" s="5" t="inlineStr">
        <is>
          <t>Wie kommen Forschung, Unternehmen und öffentliche Akteure schneller in gemeinsame Umsetzungsprojekte?</t>
        </is>
      </c>
      <c r="AD113" s="5" t="inlineStr">
        <is>
          <t>Hochschule-Wirtschaft-Transfer: Handwerkskammern Rheinland-Pfalz (implementation_anchor, 4) + Johannes Gutenberg-Universität Mainz (academic_support, 5).</t>
        </is>
      </c>
      <c r="AE113" s="5" t="inlineStr">
        <is>
          <t>Handwerkskammern Rheinland-Pfalz | Johannes Gutenberg-Universität Mainz</t>
        </is>
      </c>
      <c r="AF113" s="5" t="inlineStr">
        <is>
          <t>hochschule-wirtschaft-transfer-handwerkskammern-rheinland-pfalz-johannes-gutenberg-universität-</t>
        </is>
      </c>
    </row>
    <row r="114" ht="30" customHeight="1" s="46">
      <c r="A114" s="5" t="inlineStr">
        <is>
          <t>C0113</t>
        </is>
      </c>
      <c r="B114" s="5" t="inlineStr">
        <is>
          <t>x_0113</t>
        </is>
      </c>
      <c r="C114" s="5" t="n">
        <v>0</v>
      </c>
      <c r="D114" s="5" t="inlineStr">
        <is>
          <t>Handwerkskammern Rheinland-Pfalz</t>
        </is>
      </c>
      <c r="E114" s="5" t="inlineStr">
        <is>
          <t>Rheinland-Pfälzische Technische Universität Kaiserslautern-Landau (RPTU)</t>
        </is>
      </c>
      <c r="F114" s="5" t="n">
        <v>32</v>
      </c>
      <c r="G114" s="5" t="n">
        <v>74</v>
      </c>
      <c r="H114" s="5" t="inlineStr">
        <is>
          <t>implementation_anchor</t>
        </is>
      </c>
      <c r="I114" t="inlineStr">
        <is>
          <t>chamber_association_anchor</t>
        </is>
      </c>
      <c r="J114" s="5" t="inlineStr">
        <is>
          <t>academic_support</t>
        </is>
      </c>
      <c r="K114" t="inlineStr">
        <is>
          <t>university_research</t>
        </is>
      </c>
      <c r="L114" s="5" t="inlineStr">
        <is>
          <t>wissen</t>
        </is>
      </c>
      <c r="M114" s="5" t="inlineStr">
        <is>
          <t>hochschule_wirtschaft_transfer</t>
        </is>
      </c>
      <c r="N114" s="5" t="inlineStr">
        <is>
          <t>Hochschule-Wirtschaft-Transfer</t>
        </is>
      </c>
      <c r="O114" s="5" t="n">
        <v>4</v>
      </c>
      <c r="P114" s="5" t="n">
        <v>5</v>
      </c>
      <c r="Q114" s="5" t="n">
        <v>13</v>
      </c>
      <c r="R114" s="5" t="n">
        <v>4</v>
      </c>
      <c r="S114" s="5" t="n">
        <v>0</v>
      </c>
      <c r="T114" s="5" t="n">
        <v>0</v>
      </c>
      <c r="U114" s="5" t="n">
        <v>2</v>
      </c>
      <c r="V114" s="5" t="n">
        <v>7</v>
      </c>
      <c r="W114" s="5" t="n">
        <v>7</v>
      </c>
      <c r="X114" s="5" t="n">
        <v>0</v>
      </c>
      <c r="Y114" s="5" t="n">
        <v>0</v>
      </c>
      <c r="Z114" s="5" t="n">
        <v>0</v>
      </c>
      <c r="AA114" s="5" t="n">
        <v>0</v>
      </c>
      <c r="AB114" s="5" t="n">
        <v>52.515956</v>
      </c>
      <c r="AC114" s="5" t="inlineStr">
        <is>
          <t>Wie kommen Forschung, Unternehmen und öffentliche Akteure schneller in gemeinsame Umsetzungsprojekte?</t>
        </is>
      </c>
      <c r="AD114" s="5" t="inlineStr">
        <is>
          <t>Hochschule-Wirtschaft-Transfer: Handwerkskammern Rheinland-Pfalz (implementation_anchor, 4) + Rheinland-Pfälzische Technische Universität Kaiserslautern-Landau (RPTU) (academic_support, 5).</t>
        </is>
      </c>
      <c r="AE114" s="5" t="inlineStr">
        <is>
          <t>Handwerkskammern Rheinland-Pfalz | Rheinland-Pfälzische Technische Universität Kaiserslautern-Landau (RPTU)</t>
        </is>
      </c>
      <c r="AF114" s="5" t="inlineStr">
        <is>
          <t>hochschule-wirtschaft-transfer-handwerkskammern-rheinland-pfalz-rheinland-pfälzische-technische</t>
        </is>
      </c>
    </row>
    <row r="115" ht="30" customHeight="1" s="46">
      <c r="A115" s="5" t="inlineStr">
        <is>
          <t>C0114</t>
        </is>
      </c>
      <c r="B115" s="5" t="inlineStr">
        <is>
          <t>x_0114</t>
        </is>
      </c>
      <c r="C115" s="5" t="n">
        <v>0</v>
      </c>
      <c r="D115" s="5" t="inlineStr">
        <is>
          <t>Handwerkskammern Rheinland-Pfalz</t>
        </is>
      </c>
      <c r="E115" s="5" t="inlineStr">
        <is>
          <t>WHU – Otto Beisheim School of Management</t>
        </is>
      </c>
      <c r="F115" s="5" t="n">
        <v>32</v>
      </c>
      <c r="G115" s="5" t="n">
        <v>99</v>
      </c>
      <c r="H115" s="5" t="inlineStr">
        <is>
          <t>implementation_anchor</t>
        </is>
      </c>
      <c r="I115" t="inlineStr">
        <is>
          <t>chamber_association_anchor</t>
        </is>
      </c>
      <c r="J115" s="5" t="inlineStr">
        <is>
          <t>academic_support</t>
        </is>
      </c>
      <c r="K115" t="inlineStr">
        <is>
          <t>university_research</t>
        </is>
      </c>
      <c r="L115" s="5" t="inlineStr">
        <is>
          <t>wissen</t>
        </is>
      </c>
      <c r="M115" s="5" t="inlineStr">
        <is>
          <t>hochschule_wirtschaft_transfer</t>
        </is>
      </c>
      <c r="N115" s="5" t="inlineStr">
        <is>
          <t>Hochschule-Wirtschaft-Transfer</t>
        </is>
      </c>
      <c r="O115" s="5" t="n">
        <v>4</v>
      </c>
      <c r="P115" s="5" t="n">
        <v>5</v>
      </c>
      <c r="Q115" s="5" t="n">
        <v>13</v>
      </c>
      <c r="R115" s="5" t="n">
        <v>4</v>
      </c>
      <c r="S115" s="5" t="n">
        <v>0</v>
      </c>
      <c r="T115" s="5" t="n">
        <v>0</v>
      </c>
      <c r="U115" s="5" t="n">
        <v>2</v>
      </c>
      <c r="V115" s="5" t="n">
        <v>7</v>
      </c>
      <c r="W115" s="5" t="n">
        <v>7</v>
      </c>
      <c r="X115" s="5" t="n">
        <v>0</v>
      </c>
      <c r="Y115" s="5" t="n">
        <v>0</v>
      </c>
      <c r="Z115" s="5" t="n">
        <v>0</v>
      </c>
      <c r="AA115" s="5" t="n">
        <v>0</v>
      </c>
      <c r="AB115" s="5" t="n">
        <v>52.515956</v>
      </c>
      <c r="AC115" s="5" t="inlineStr">
        <is>
          <t>Wie kommen Forschung, Unternehmen und öffentliche Akteure schneller in gemeinsame Umsetzungsprojekte?</t>
        </is>
      </c>
      <c r="AD115" s="5" t="inlineStr">
        <is>
          <t>Hochschule-Wirtschaft-Transfer: Handwerkskammern Rheinland-Pfalz (implementation_anchor, 4) + WHU – Otto Beisheim School of Management (academic_support, 5).</t>
        </is>
      </c>
      <c r="AE115" s="5" t="inlineStr">
        <is>
          <t>Handwerkskammern Rheinland-Pfalz | WHU – Otto Beisheim School of Management</t>
        </is>
      </c>
      <c r="AF115" s="5" t="inlineStr">
        <is>
          <t>hochschule-wirtschaft-transfer-handwerkskammern-rheinland-pfalz-whu-otto-beisheim-school-of-man</t>
        </is>
      </c>
    </row>
    <row r="116" ht="30" customHeight="1" s="46">
      <c r="A116" s="5" t="inlineStr">
        <is>
          <t>C0115</t>
        </is>
      </c>
      <c r="B116" s="5" t="inlineStr">
        <is>
          <t>x_0115</t>
        </is>
      </c>
      <c r="C116" s="5" t="n">
        <v>0</v>
      </c>
      <c r="D116" s="5" t="inlineStr">
        <is>
          <t>Architektenkammer Rheinland-Pfalz</t>
        </is>
      </c>
      <c r="E116" s="5" t="inlineStr">
        <is>
          <t>JUWI GmbH</t>
        </is>
      </c>
      <c r="F116" s="5" t="n">
        <v>3</v>
      </c>
      <c r="G116" s="5" t="n">
        <v>51</v>
      </c>
      <c r="H116" s="5" t="inlineStr">
        <is>
          <t>implementation_anchor</t>
        </is>
      </c>
      <c r="I116" t="inlineStr">
        <is>
          <t>construction_planning_anchor</t>
        </is>
      </c>
      <c r="J116" s="5" t="inlineStr">
        <is>
          <t>profit_anchor</t>
        </is>
      </c>
      <c r="K116" t="inlineStr">
        <is>
          <t>energy_infrastructure_anchor</t>
        </is>
      </c>
      <c r="L116" s="5" t="inlineStr">
        <is>
          <t>nachhaltigkeit</t>
        </is>
      </c>
      <c r="M116" s="5" t="inlineStr">
        <is>
          <t>klima_anpassung_stadt_land</t>
        </is>
      </c>
      <c r="N116" s="5" t="inlineStr">
        <is>
          <t>Klimaanpassung in Stadt und Land</t>
        </is>
      </c>
      <c r="O116" s="5" t="n">
        <v>4</v>
      </c>
      <c r="P116" s="5" t="n">
        <v>3</v>
      </c>
      <c r="Q116" s="5" t="n">
        <v>11</v>
      </c>
      <c r="R116" s="5" t="n">
        <v>4</v>
      </c>
      <c r="S116" s="5" t="n">
        <v>0</v>
      </c>
      <c r="T116" s="5" t="n">
        <v>0</v>
      </c>
      <c r="U116" s="5" t="n">
        <v>2</v>
      </c>
      <c r="V116" s="5" t="n">
        <v>8</v>
      </c>
      <c r="W116" s="5" t="n">
        <v>8</v>
      </c>
      <c r="X116" s="5" t="n">
        <v>0</v>
      </c>
      <c r="Y116" s="5" t="n">
        <v>0</v>
      </c>
      <c r="Z116" s="5" t="n">
        <v>0</v>
      </c>
      <c r="AA116" s="5" t="n">
        <v>0</v>
      </c>
      <c r="AB116" s="5" t="n">
        <v>35.819322</v>
      </c>
      <c r="AC116" s="5" t="inlineStr">
        <is>
          <t>Wie reagieren Kommunen, Bauwirtschaft, Landwirtschaft und Infrastruktur auf Hitze, Starkregen und Flächendruck?</t>
        </is>
      </c>
      <c r="AD116" s="5" t="inlineStr">
        <is>
          <t>Klimaanpassung in Stadt und Land: Architektenkammer Rheinland-Pfalz (implementation_anchor, 4) + JUWI GmbH (profit_anchor, 3).</t>
        </is>
      </c>
      <c r="AE116" s="5" t="inlineStr">
        <is>
          <t>Architektenkammer Rheinland-Pfalz | JUWI GmbH</t>
        </is>
      </c>
      <c r="AF116" s="5" t="inlineStr">
        <is>
          <t>klima-anpassung-stadt-land-architektenkammer-rheinland-pfalz-juwi-gmbh</t>
        </is>
      </c>
    </row>
    <row r="117" ht="30" customHeight="1" s="46">
      <c r="A117" s="5" t="inlineStr">
        <is>
          <t>C0116</t>
        </is>
      </c>
      <c r="B117" s="5" t="inlineStr">
        <is>
          <t>x_0116</t>
        </is>
      </c>
      <c r="C117" s="5" t="n">
        <v>0</v>
      </c>
      <c r="D117" s="5" t="inlineStr">
        <is>
          <t>Architektenkammer Rheinland-Pfalz</t>
        </is>
      </c>
      <c r="E117" s="5" t="inlineStr">
        <is>
          <t>Pfalzwerke AG</t>
        </is>
      </c>
      <c r="F117" s="5" t="n">
        <v>3</v>
      </c>
      <c r="G117" s="5" t="n">
        <v>72</v>
      </c>
      <c r="H117" s="5" t="inlineStr">
        <is>
          <t>implementation_anchor</t>
        </is>
      </c>
      <c r="I117" t="inlineStr">
        <is>
          <t>construction_planning_anchor</t>
        </is>
      </c>
      <c r="J117" s="5" t="inlineStr">
        <is>
          <t>profit_anchor</t>
        </is>
      </c>
      <c r="K117" t="inlineStr">
        <is>
          <t>energy_infrastructure_anchor</t>
        </is>
      </c>
      <c r="L117" s="5" t="inlineStr">
        <is>
          <t>nachhaltigkeit</t>
        </is>
      </c>
      <c r="M117" s="5" t="inlineStr">
        <is>
          <t>klima_anpassung_stadt_land</t>
        </is>
      </c>
      <c r="N117" s="5" t="inlineStr">
        <is>
          <t>Klimaanpassung in Stadt und Land</t>
        </is>
      </c>
      <c r="O117" s="5" t="n">
        <v>4</v>
      </c>
      <c r="P117" s="5" t="n">
        <v>3</v>
      </c>
      <c r="Q117" s="5" t="n">
        <v>11</v>
      </c>
      <c r="R117" s="5" t="n">
        <v>4</v>
      </c>
      <c r="S117" s="5" t="n">
        <v>0</v>
      </c>
      <c r="T117" s="5" t="n">
        <v>0</v>
      </c>
      <c r="U117" s="5" t="n">
        <v>2</v>
      </c>
      <c r="V117" s="5" t="n">
        <v>8</v>
      </c>
      <c r="W117" s="5" t="n">
        <v>8</v>
      </c>
      <c r="X117" s="5" t="n">
        <v>0</v>
      </c>
      <c r="Y117" s="5" t="n">
        <v>0</v>
      </c>
      <c r="Z117" s="5" t="n">
        <v>0</v>
      </c>
      <c r="AA117" s="5" t="n">
        <v>0</v>
      </c>
      <c r="AB117" s="5" t="n">
        <v>35.819322</v>
      </c>
      <c r="AC117" s="5" t="inlineStr">
        <is>
          <t>Wie reagieren Kommunen, Bauwirtschaft, Landwirtschaft und Infrastruktur auf Hitze, Starkregen und Flächendruck?</t>
        </is>
      </c>
      <c r="AD117" s="5" t="inlineStr">
        <is>
          <t>Klimaanpassung in Stadt und Land: Architektenkammer Rheinland-Pfalz (implementation_anchor, 4) + Pfalzwerke AG (profit_anchor, 3).</t>
        </is>
      </c>
      <c r="AE117" s="5" t="inlineStr">
        <is>
          <t>Architektenkammer Rheinland-Pfalz | Pfalzwerke AG</t>
        </is>
      </c>
      <c r="AF117" s="5" t="inlineStr">
        <is>
          <t>klima-anpassung-stadt-land-architektenkammer-rheinland-pfalz-pfalzwerke-ag</t>
        </is>
      </c>
    </row>
    <row r="118" ht="30" customHeight="1" s="46">
      <c r="A118" s="5" t="inlineStr">
        <is>
          <t>C0117</t>
        </is>
      </c>
      <c r="B118" s="5" t="inlineStr">
        <is>
          <t>x_0117</t>
        </is>
      </c>
      <c r="C118" s="5" t="n">
        <v>0</v>
      </c>
      <c r="D118" s="5" t="inlineStr">
        <is>
          <t>Architektenkammer Rheinland-Pfalz</t>
        </is>
      </c>
      <c r="E118" s="5" t="inlineStr">
        <is>
          <t>Transdev GmbH</t>
        </is>
      </c>
      <c r="F118" s="5" t="n">
        <v>3</v>
      </c>
      <c r="G118" s="5" t="n">
        <v>90</v>
      </c>
      <c r="H118" s="5" t="inlineStr">
        <is>
          <t>implementation_anchor</t>
        </is>
      </c>
      <c r="I118" t="inlineStr">
        <is>
          <t>construction_planning_anchor</t>
        </is>
      </c>
      <c r="J118" s="5" t="inlineStr">
        <is>
          <t>profit_anchor</t>
        </is>
      </c>
      <c r="K118" t="inlineStr">
        <is>
          <t>energy_infrastructure_anchor</t>
        </is>
      </c>
      <c r="L118" s="5" t="inlineStr">
        <is>
          <t>nachhaltigkeit</t>
        </is>
      </c>
      <c r="M118" s="5" t="inlineStr">
        <is>
          <t>klima_anpassung_stadt_land</t>
        </is>
      </c>
      <c r="N118" s="5" t="inlineStr">
        <is>
          <t>Klimaanpassung in Stadt und Land</t>
        </is>
      </c>
      <c r="O118" s="5" t="n">
        <v>4</v>
      </c>
      <c r="P118" s="5" t="n">
        <v>3</v>
      </c>
      <c r="Q118" s="5" t="n">
        <v>11</v>
      </c>
      <c r="R118" s="5" t="n">
        <v>4</v>
      </c>
      <c r="S118" s="5" t="n">
        <v>0</v>
      </c>
      <c r="T118" s="5" t="n">
        <v>0</v>
      </c>
      <c r="U118" s="5" t="n">
        <v>2</v>
      </c>
      <c r="V118" s="5" t="n">
        <v>8</v>
      </c>
      <c r="W118" s="5" t="n">
        <v>8</v>
      </c>
      <c r="X118" s="5" t="n">
        <v>0</v>
      </c>
      <c r="Y118" s="5" t="n">
        <v>0</v>
      </c>
      <c r="Z118" s="5" t="n">
        <v>0</v>
      </c>
      <c r="AA118" s="5" t="n">
        <v>0</v>
      </c>
      <c r="AB118" s="5" t="n">
        <v>35.819322</v>
      </c>
      <c r="AC118" s="5" t="inlineStr">
        <is>
          <t>Wie reagieren Kommunen, Bauwirtschaft, Landwirtschaft und Infrastruktur auf Hitze, Starkregen und Flächendruck?</t>
        </is>
      </c>
      <c r="AD118" s="5" t="inlineStr">
        <is>
          <t>Klimaanpassung in Stadt und Land: Architektenkammer Rheinland-Pfalz (implementation_anchor, 4) + Transdev GmbH (profit_anchor, 3).</t>
        </is>
      </c>
      <c r="AE118" s="5" t="inlineStr">
        <is>
          <t>Architektenkammer Rheinland-Pfalz | Transdev GmbH</t>
        </is>
      </c>
      <c r="AF118" s="5" t="inlineStr">
        <is>
          <t>klima-anpassung-stadt-land-architektenkammer-rheinland-pfalz-transdev-gmbh</t>
        </is>
      </c>
    </row>
    <row r="119" ht="30" customHeight="1" s="46">
      <c r="A119" s="5" t="inlineStr">
        <is>
          <t>C0118</t>
        </is>
      </c>
      <c r="B119" s="5" t="inlineStr">
        <is>
          <t>x_0118</t>
        </is>
      </c>
      <c r="C119" s="5" t="n">
        <v>0</v>
      </c>
      <c r="D119" s="5" t="inlineStr">
        <is>
          <t>Architektenkammer Rheinland-Pfalz</t>
        </is>
      </c>
      <c r="E119" s="5" t="inlineStr">
        <is>
          <t>Westenergie AG</t>
        </is>
      </c>
      <c r="F119" s="5" t="n">
        <v>3</v>
      </c>
      <c r="G119" s="5" t="n">
        <v>98</v>
      </c>
      <c r="H119" s="5" t="inlineStr">
        <is>
          <t>implementation_anchor</t>
        </is>
      </c>
      <c r="I119" t="inlineStr">
        <is>
          <t>construction_planning_anchor</t>
        </is>
      </c>
      <c r="J119" s="5" t="inlineStr">
        <is>
          <t>profit_anchor</t>
        </is>
      </c>
      <c r="K119" t="inlineStr">
        <is>
          <t>energy_infrastructure_anchor</t>
        </is>
      </c>
      <c r="L119" s="5" t="inlineStr">
        <is>
          <t>nachhaltigkeit</t>
        </is>
      </c>
      <c r="M119" s="5" t="inlineStr">
        <is>
          <t>klima_anpassung_stadt_land</t>
        </is>
      </c>
      <c r="N119" s="5" t="inlineStr">
        <is>
          <t>Klimaanpassung in Stadt und Land</t>
        </is>
      </c>
      <c r="O119" s="5" t="n">
        <v>4</v>
      </c>
      <c r="P119" s="5" t="n">
        <v>3</v>
      </c>
      <c r="Q119" s="5" t="n">
        <v>11</v>
      </c>
      <c r="R119" s="5" t="n">
        <v>4</v>
      </c>
      <c r="S119" s="5" t="n">
        <v>0</v>
      </c>
      <c r="T119" s="5" t="n">
        <v>0</v>
      </c>
      <c r="U119" s="5" t="n">
        <v>2</v>
      </c>
      <c r="V119" s="5" t="n">
        <v>8</v>
      </c>
      <c r="W119" s="5" t="n">
        <v>8</v>
      </c>
      <c r="X119" s="5" t="n">
        <v>0</v>
      </c>
      <c r="Y119" s="5" t="n">
        <v>0</v>
      </c>
      <c r="Z119" s="5" t="n">
        <v>0</v>
      </c>
      <c r="AA119" s="5" t="n">
        <v>0</v>
      </c>
      <c r="AB119" s="5" t="n">
        <v>35.819322</v>
      </c>
      <c r="AC119" s="5" t="inlineStr">
        <is>
          <t>Wie reagieren Kommunen, Bauwirtschaft, Landwirtschaft und Infrastruktur auf Hitze, Starkregen und Flächendruck?</t>
        </is>
      </c>
      <c r="AD119" s="5" t="inlineStr">
        <is>
          <t>Klimaanpassung in Stadt und Land: Architektenkammer Rheinland-Pfalz (implementation_anchor, 4) + Westenergie AG (profit_anchor, 3).</t>
        </is>
      </c>
      <c r="AE119" s="5" t="inlineStr">
        <is>
          <t>Architektenkammer Rheinland-Pfalz | Westenergie AG</t>
        </is>
      </c>
      <c r="AF119" s="5" t="inlineStr">
        <is>
          <t>klima-anpassung-stadt-land-architektenkammer-rheinland-pfalz-westenergie-ag</t>
        </is>
      </c>
    </row>
    <row r="120" ht="30" customHeight="1" s="46">
      <c r="A120" s="5" t="inlineStr">
        <is>
          <t>C0119</t>
        </is>
      </c>
      <c r="B120" s="5" t="inlineStr">
        <is>
          <t>x_0119</t>
        </is>
      </c>
      <c r="C120" s="5" t="n">
        <v>0</v>
      </c>
      <c r="D120" s="5" t="inlineStr">
        <is>
          <t>Bauern- und Winzerverband Rheinland-Pfalz Süd e.V.</t>
        </is>
      </c>
      <c r="E120" s="5" t="inlineStr">
        <is>
          <t>Hochschule für Gesellschaftsgestaltung (HfGG)</t>
        </is>
      </c>
      <c r="F120" s="5" t="n">
        <v>7</v>
      </c>
      <c r="G120" s="5" t="n">
        <v>34</v>
      </c>
      <c r="H120" s="5" t="inlineStr">
        <is>
          <t>implementation_anchor</t>
        </is>
      </c>
      <c r="I120" t="inlineStr">
        <is>
          <t>agriculture_wine_anchor</t>
        </is>
      </c>
      <c r="J120" s="5" t="inlineStr">
        <is>
          <t>academic_support</t>
        </is>
      </c>
      <c r="K120" t="inlineStr">
        <is>
          <t>university_applied_sciences</t>
        </is>
      </c>
      <c r="L120" s="5" t="inlineStr">
        <is>
          <t>nachhaltigkeit</t>
        </is>
      </c>
      <c r="M120" s="5" t="inlineStr">
        <is>
          <t>klima_anpassung_stadt_land</t>
        </is>
      </c>
      <c r="N120" s="5" t="inlineStr">
        <is>
          <t>Klimaanpassung in Stadt und Land</t>
        </is>
      </c>
      <c r="O120" s="5" t="n">
        <v>5</v>
      </c>
      <c r="P120" s="5" t="n">
        <v>4</v>
      </c>
      <c r="Q120" s="5" t="n">
        <v>13</v>
      </c>
      <c r="R120" s="5" t="n">
        <v>4</v>
      </c>
      <c r="S120" s="5" t="n">
        <v>0</v>
      </c>
      <c r="T120" s="5" t="n">
        <v>0</v>
      </c>
      <c r="U120" s="5" t="n">
        <v>2</v>
      </c>
      <c r="V120" s="5" t="n">
        <v>7</v>
      </c>
      <c r="W120" s="5" t="n">
        <v>7</v>
      </c>
      <c r="X120" s="5" t="n">
        <v>0</v>
      </c>
      <c r="Y120" s="5" t="n">
        <v>0</v>
      </c>
      <c r="Z120" s="5" t="n">
        <v>0</v>
      </c>
      <c r="AA120" s="5" t="n">
        <v>0</v>
      </c>
      <c r="AB120" s="5" t="n">
        <v>87.512124</v>
      </c>
      <c r="AC120" s="5" t="inlineStr">
        <is>
          <t>Wie reagieren Kommunen, Bauwirtschaft, Landwirtschaft und Infrastruktur auf Hitze, Starkregen und Flächendruck?</t>
        </is>
      </c>
      <c r="AD120" s="5" t="inlineStr">
        <is>
          <t>Klimaanpassung in Stadt und Land: Bauern- und Winzerverband Rheinland-Pfalz Süd e.V. (implementation_anchor, 5) + Hochschule für Gesellschaftsgestaltung (HfGG) (academic_support, 4).</t>
        </is>
      </c>
      <c r="AE120" s="5" t="inlineStr">
        <is>
          <t>Bauern- und Winzerverband Rheinland-Pfalz Süd e.V. | Hochschule für Gesellschaftsgestaltung (HfGG)</t>
        </is>
      </c>
      <c r="AF120" s="5" t="inlineStr">
        <is>
          <t>klima-anpassung-stadt-land-bauern-und-winzerverband-rheinland-pfalz-süd-e-v-hochschule-für-gese</t>
        </is>
      </c>
    </row>
    <row r="121" ht="30" customHeight="1" s="46">
      <c r="A121" s="5" t="inlineStr">
        <is>
          <t>C0120</t>
        </is>
      </c>
      <c r="B121" s="5" t="inlineStr">
        <is>
          <t>x_0120</t>
        </is>
      </c>
      <c r="C121" s="5" t="n">
        <v>0</v>
      </c>
      <c r="D121" s="5" t="inlineStr">
        <is>
          <t>Bauern- und Winzerverband Rheinland-Pfalz Süd e.V.</t>
        </is>
      </c>
      <c r="E121" s="5" t="inlineStr">
        <is>
          <t>Technische Hochschule Bingen</t>
        </is>
      </c>
      <c r="F121" s="5" t="n">
        <v>7</v>
      </c>
      <c r="G121" s="5" t="n">
        <v>88</v>
      </c>
      <c r="H121" s="5" t="inlineStr">
        <is>
          <t>implementation_anchor</t>
        </is>
      </c>
      <c r="I121" t="inlineStr">
        <is>
          <t>agriculture_wine_anchor</t>
        </is>
      </c>
      <c r="J121" s="5" t="inlineStr">
        <is>
          <t>academic_support</t>
        </is>
      </c>
      <c r="K121" t="inlineStr">
        <is>
          <t>university_applied_sciences</t>
        </is>
      </c>
      <c r="L121" s="5" t="inlineStr">
        <is>
          <t>nachhaltigkeit</t>
        </is>
      </c>
      <c r="M121" s="5" t="inlineStr">
        <is>
          <t>klima_anpassung_stadt_land</t>
        </is>
      </c>
      <c r="N121" s="5" t="inlineStr">
        <is>
          <t>Klimaanpassung in Stadt und Land</t>
        </is>
      </c>
      <c r="O121" s="5" t="n">
        <v>5</v>
      </c>
      <c r="P121" s="5" t="n">
        <v>4</v>
      </c>
      <c r="Q121" s="5" t="n">
        <v>13</v>
      </c>
      <c r="R121" s="5" t="n">
        <v>4</v>
      </c>
      <c r="S121" s="5" t="n">
        <v>0</v>
      </c>
      <c r="T121" s="5" t="n">
        <v>0</v>
      </c>
      <c r="U121" s="5" t="n">
        <v>2</v>
      </c>
      <c r="V121" s="5" t="n">
        <v>7</v>
      </c>
      <c r="W121" s="5" t="n">
        <v>7</v>
      </c>
      <c r="X121" s="5" t="n">
        <v>0</v>
      </c>
      <c r="Y121" s="5" t="n">
        <v>0</v>
      </c>
      <c r="Z121" s="5" t="n">
        <v>0</v>
      </c>
      <c r="AA121" s="5" t="n">
        <v>0</v>
      </c>
      <c r="AB121" s="5" t="n">
        <v>87.512124</v>
      </c>
      <c r="AC121" s="5" t="inlineStr">
        <is>
          <t>Wie reagieren Kommunen, Bauwirtschaft, Landwirtschaft und Infrastruktur auf Hitze, Starkregen und Flächendruck?</t>
        </is>
      </c>
      <c r="AD121" s="5" t="inlineStr">
        <is>
          <t>Klimaanpassung in Stadt und Land: Bauern- und Winzerverband Rheinland-Pfalz Süd e.V. (implementation_anchor, 5) + Technische Hochschule Bingen (academic_support, 4).</t>
        </is>
      </c>
      <c r="AE121" s="5" t="inlineStr">
        <is>
          <t>Bauern- und Winzerverband Rheinland-Pfalz Süd e.V. | Technische Hochschule Bingen</t>
        </is>
      </c>
      <c r="AF121" s="5" t="inlineStr">
        <is>
          <t>klima-anpassung-stadt-land-bauern-und-winzerverband-rheinland-pfalz-süd-e-v-technische-hochschu</t>
        </is>
      </c>
    </row>
    <row r="122" ht="30" customHeight="1" s="46">
      <c r="A122" s="5" t="inlineStr">
        <is>
          <t>C0121</t>
        </is>
      </c>
      <c r="B122" s="5" t="inlineStr">
        <is>
          <t>x_0121</t>
        </is>
      </c>
      <c r="C122" s="5" t="n">
        <v>0</v>
      </c>
      <c r="D122" s="5" t="inlineStr">
        <is>
          <t>Entwicklungsagentur Rheinland-Pfalz e.V.</t>
        </is>
      </c>
      <c r="E122" s="5" t="inlineStr">
        <is>
          <t>Hochschule für Gesellschaftsgestaltung (HfGG)</t>
        </is>
      </c>
      <c r="F122" s="5" t="n">
        <v>25</v>
      </c>
      <c r="G122" s="5" t="n">
        <v>34</v>
      </c>
      <c r="H122" s="5" t="inlineStr">
        <is>
          <t>implementation_anchor</t>
        </is>
      </c>
      <c r="I122" t="inlineStr">
        <is>
          <t>public_policy_anchor</t>
        </is>
      </c>
      <c r="J122" s="5" t="inlineStr">
        <is>
          <t>academic_support</t>
        </is>
      </c>
      <c r="K122" t="inlineStr">
        <is>
          <t>university_applied_sciences</t>
        </is>
      </c>
      <c r="L122" s="5" t="inlineStr">
        <is>
          <t>nachhaltigkeit</t>
        </is>
      </c>
      <c r="M122" s="5" t="inlineStr">
        <is>
          <t>klima_anpassung_stadt_land</t>
        </is>
      </c>
      <c r="N122" s="5" t="inlineStr">
        <is>
          <t>Klimaanpassung in Stadt und Land</t>
        </is>
      </c>
      <c r="O122" s="5" t="n">
        <v>5</v>
      </c>
      <c r="P122" s="5" t="n">
        <v>4</v>
      </c>
      <c r="Q122" s="5" t="n">
        <v>13</v>
      </c>
      <c r="R122" s="5" t="n">
        <v>4</v>
      </c>
      <c r="S122" s="5" t="n">
        <v>0</v>
      </c>
      <c r="T122" s="5" t="n">
        <v>0</v>
      </c>
      <c r="U122" s="5" t="n">
        <v>2</v>
      </c>
      <c r="V122" s="5" t="n">
        <v>7</v>
      </c>
      <c r="W122" s="5" t="n">
        <v>7</v>
      </c>
      <c r="X122" s="5" t="n">
        <v>0</v>
      </c>
      <c r="Y122" s="5" t="n">
        <v>0</v>
      </c>
      <c r="Z122" s="5" t="n">
        <v>0</v>
      </c>
      <c r="AA122" s="5" t="n">
        <v>0</v>
      </c>
      <c r="AB122" s="5" t="n">
        <v>42.523249</v>
      </c>
      <c r="AC122" s="5" t="inlineStr">
        <is>
          <t>Wie reagieren Kommunen, Bauwirtschaft, Landwirtschaft und Infrastruktur auf Hitze, Starkregen und Flächendruck?</t>
        </is>
      </c>
      <c r="AD122" s="5" t="inlineStr">
        <is>
          <t>Klimaanpassung in Stadt und Land: Entwicklungsagentur Rheinland-Pfalz e.V. (implementation_anchor, 5) + Hochschule für Gesellschaftsgestaltung (HfGG) (academic_support, 4).</t>
        </is>
      </c>
      <c r="AE122" s="5" t="inlineStr">
        <is>
          <t>Entwicklungsagentur Rheinland-Pfalz e.V. | Hochschule für Gesellschaftsgestaltung (HfGG)</t>
        </is>
      </c>
      <c r="AF122" s="5" t="inlineStr">
        <is>
          <t>klima-anpassung-stadt-land-entwicklungsagentur-rheinland-pfalz-e-v-hochschule-für-gesellschafts</t>
        </is>
      </c>
    </row>
    <row r="123" ht="30" customHeight="1" s="46">
      <c r="A123" s="5" t="inlineStr">
        <is>
          <t>C0122</t>
        </is>
      </c>
      <c r="B123" s="5" t="inlineStr">
        <is>
          <t>x_0122</t>
        </is>
      </c>
      <c r="C123" s="5" t="n">
        <v>0</v>
      </c>
      <c r="D123" s="5" t="inlineStr">
        <is>
          <t>Entwicklungsagentur Rheinland-Pfalz e.V.</t>
        </is>
      </c>
      <c r="E123" s="5" t="inlineStr">
        <is>
          <t>Technische Hochschule Bingen</t>
        </is>
      </c>
      <c r="F123" s="5" t="n">
        <v>25</v>
      </c>
      <c r="G123" s="5" t="n">
        <v>88</v>
      </c>
      <c r="H123" s="5" t="inlineStr">
        <is>
          <t>implementation_anchor</t>
        </is>
      </c>
      <c r="I123" t="inlineStr">
        <is>
          <t>public_policy_anchor</t>
        </is>
      </c>
      <c r="J123" s="5" t="inlineStr">
        <is>
          <t>academic_support</t>
        </is>
      </c>
      <c r="K123" t="inlineStr">
        <is>
          <t>university_applied_sciences</t>
        </is>
      </c>
      <c r="L123" s="5" t="inlineStr">
        <is>
          <t>nachhaltigkeit</t>
        </is>
      </c>
      <c r="M123" s="5" t="inlineStr">
        <is>
          <t>klima_anpassung_stadt_land</t>
        </is>
      </c>
      <c r="N123" s="5" t="inlineStr">
        <is>
          <t>Klimaanpassung in Stadt und Land</t>
        </is>
      </c>
      <c r="O123" s="5" t="n">
        <v>5</v>
      </c>
      <c r="P123" s="5" t="n">
        <v>4</v>
      </c>
      <c r="Q123" s="5" t="n">
        <v>13</v>
      </c>
      <c r="R123" s="5" t="n">
        <v>4</v>
      </c>
      <c r="S123" s="5" t="n">
        <v>0</v>
      </c>
      <c r="T123" s="5" t="n">
        <v>0</v>
      </c>
      <c r="U123" s="5" t="n">
        <v>2</v>
      </c>
      <c r="V123" s="5" t="n">
        <v>7</v>
      </c>
      <c r="W123" s="5" t="n">
        <v>7</v>
      </c>
      <c r="X123" s="5" t="n">
        <v>0</v>
      </c>
      <c r="Y123" s="5" t="n">
        <v>0</v>
      </c>
      <c r="Z123" s="5" t="n">
        <v>0</v>
      </c>
      <c r="AA123" s="5" t="n">
        <v>0</v>
      </c>
      <c r="AB123" s="5" t="n">
        <v>42.523249</v>
      </c>
      <c r="AC123" s="5" t="inlineStr">
        <is>
          <t>Wie reagieren Kommunen, Bauwirtschaft, Landwirtschaft und Infrastruktur auf Hitze, Starkregen und Flächendruck?</t>
        </is>
      </c>
      <c r="AD123" s="5" t="inlineStr">
        <is>
          <t>Klimaanpassung in Stadt und Land: Entwicklungsagentur Rheinland-Pfalz e.V. (implementation_anchor, 5) + Technische Hochschule Bingen (academic_support, 4).</t>
        </is>
      </c>
      <c r="AE123" s="5" t="inlineStr">
        <is>
          <t>Entwicklungsagentur Rheinland-Pfalz e.V. | Technische Hochschule Bingen</t>
        </is>
      </c>
      <c r="AF123" s="5" t="inlineStr">
        <is>
          <t>klima-anpassung-stadt-land-entwicklungsagentur-rheinland-pfalz-e-v-technische-hochschule-bingen</t>
        </is>
      </c>
    </row>
    <row r="124" ht="30" customHeight="1" s="46">
      <c r="A124" s="5" t="inlineStr">
        <is>
          <t>C0123</t>
        </is>
      </c>
      <c r="B124" s="5" t="inlineStr">
        <is>
          <t>x_0123</t>
        </is>
      </c>
      <c r="C124" s="5" t="n">
        <v>0</v>
      </c>
      <c r="D124" s="5" t="inlineStr">
        <is>
          <t>Ingenieurkammer Rheinland-Pfalz</t>
        </is>
      </c>
      <c r="E124" s="5" t="inlineStr">
        <is>
          <t>JUWI GmbH</t>
        </is>
      </c>
      <c r="F124" s="5" t="n">
        <v>44</v>
      </c>
      <c r="G124" s="5" t="n">
        <v>51</v>
      </c>
      <c r="H124" s="5" t="inlineStr">
        <is>
          <t>implementation_anchor</t>
        </is>
      </c>
      <c r="I124" t="inlineStr">
        <is>
          <t>construction_planning_anchor</t>
        </is>
      </c>
      <c r="J124" s="5" t="inlineStr">
        <is>
          <t>profit_anchor</t>
        </is>
      </c>
      <c r="K124" t="inlineStr">
        <is>
          <t>energy_infrastructure_anchor</t>
        </is>
      </c>
      <c r="L124" s="5" t="inlineStr">
        <is>
          <t>nachhaltigkeit</t>
        </is>
      </c>
      <c r="M124" s="5" t="inlineStr">
        <is>
          <t>klima_anpassung_stadt_land</t>
        </is>
      </c>
      <c r="N124" s="5" t="inlineStr">
        <is>
          <t>Klimaanpassung in Stadt und Land</t>
        </is>
      </c>
      <c r="O124" s="5" t="n">
        <v>4</v>
      </c>
      <c r="P124" s="5" t="n">
        <v>3</v>
      </c>
      <c r="Q124" s="5" t="n">
        <v>11</v>
      </c>
      <c r="R124" s="5" t="n">
        <v>4</v>
      </c>
      <c r="S124" s="5" t="n">
        <v>0</v>
      </c>
      <c r="T124" s="5" t="n">
        <v>0</v>
      </c>
      <c r="U124" s="5" t="n">
        <v>2</v>
      </c>
      <c r="V124" s="5" t="n">
        <v>8</v>
      </c>
      <c r="W124" s="5" t="n">
        <v>8</v>
      </c>
      <c r="X124" s="5" t="n">
        <v>0</v>
      </c>
      <c r="Y124" s="5" t="n">
        <v>0</v>
      </c>
      <c r="Z124" s="5" t="n">
        <v>0</v>
      </c>
      <c r="AA124" s="5" t="n">
        <v>0</v>
      </c>
      <c r="AB124" s="5" t="n">
        <v>35.819322</v>
      </c>
      <c r="AC124" s="5" t="inlineStr">
        <is>
          <t>Wie reagieren Kommunen, Bauwirtschaft, Landwirtschaft und Infrastruktur auf Hitze, Starkregen und Flächendruck?</t>
        </is>
      </c>
      <c r="AD124" s="5" t="inlineStr">
        <is>
          <t>Klimaanpassung in Stadt und Land: Ingenieurkammer Rheinland-Pfalz (implementation_anchor, 4) + JUWI GmbH (profit_anchor, 3).</t>
        </is>
      </c>
      <c r="AE124" s="5" t="inlineStr">
        <is>
          <t>Ingenieurkammer Rheinland-Pfalz | JUWI GmbH</t>
        </is>
      </c>
      <c r="AF124" s="5" t="inlineStr">
        <is>
          <t>klima-anpassung-stadt-land-ingenieurkammer-rheinland-pfalz-juwi-gmbh</t>
        </is>
      </c>
    </row>
    <row r="125" ht="30" customHeight="1" s="46">
      <c r="A125" s="5" t="inlineStr">
        <is>
          <t>C0124</t>
        </is>
      </c>
      <c r="B125" s="5" t="inlineStr">
        <is>
          <t>x_0124</t>
        </is>
      </c>
      <c r="C125" s="5" t="n">
        <v>0</v>
      </c>
      <c r="D125" s="5" t="inlineStr">
        <is>
          <t>Ingenieurkammer Rheinland-Pfalz</t>
        </is>
      </c>
      <c r="E125" s="5" t="inlineStr">
        <is>
          <t>Pfalzwerke AG</t>
        </is>
      </c>
      <c r="F125" s="5" t="n">
        <v>44</v>
      </c>
      <c r="G125" s="5" t="n">
        <v>72</v>
      </c>
      <c r="H125" s="5" t="inlineStr">
        <is>
          <t>implementation_anchor</t>
        </is>
      </c>
      <c r="I125" t="inlineStr">
        <is>
          <t>construction_planning_anchor</t>
        </is>
      </c>
      <c r="J125" s="5" t="inlineStr">
        <is>
          <t>profit_anchor</t>
        </is>
      </c>
      <c r="K125" t="inlineStr">
        <is>
          <t>energy_infrastructure_anchor</t>
        </is>
      </c>
      <c r="L125" s="5" t="inlineStr">
        <is>
          <t>nachhaltigkeit</t>
        </is>
      </c>
      <c r="M125" s="5" t="inlineStr">
        <is>
          <t>klima_anpassung_stadt_land</t>
        </is>
      </c>
      <c r="N125" s="5" t="inlineStr">
        <is>
          <t>Klimaanpassung in Stadt und Land</t>
        </is>
      </c>
      <c r="O125" s="5" t="n">
        <v>4</v>
      </c>
      <c r="P125" s="5" t="n">
        <v>3</v>
      </c>
      <c r="Q125" s="5" t="n">
        <v>11</v>
      </c>
      <c r="R125" s="5" t="n">
        <v>4</v>
      </c>
      <c r="S125" s="5" t="n">
        <v>0</v>
      </c>
      <c r="T125" s="5" t="n">
        <v>0</v>
      </c>
      <c r="U125" s="5" t="n">
        <v>2</v>
      </c>
      <c r="V125" s="5" t="n">
        <v>8</v>
      </c>
      <c r="W125" s="5" t="n">
        <v>8</v>
      </c>
      <c r="X125" s="5" t="n">
        <v>0</v>
      </c>
      <c r="Y125" s="5" t="n">
        <v>0</v>
      </c>
      <c r="Z125" s="5" t="n">
        <v>0</v>
      </c>
      <c r="AA125" s="5" t="n">
        <v>0</v>
      </c>
      <c r="AB125" s="5" t="n">
        <v>35.819322</v>
      </c>
      <c r="AC125" s="5" t="inlineStr">
        <is>
          <t>Wie reagieren Kommunen, Bauwirtschaft, Landwirtschaft und Infrastruktur auf Hitze, Starkregen und Flächendruck?</t>
        </is>
      </c>
      <c r="AD125" s="5" t="inlineStr">
        <is>
          <t>Klimaanpassung in Stadt und Land: Ingenieurkammer Rheinland-Pfalz (implementation_anchor, 4) + Pfalzwerke AG (profit_anchor, 3).</t>
        </is>
      </c>
      <c r="AE125" s="5" t="inlineStr">
        <is>
          <t>Ingenieurkammer Rheinland-Pfalz | Pfalzwerke AG</t>
        </is>
      </c>
      <c r="AF125" s="5" t="inlineStr">
        <is>
          <t>klima-anpassung-stadt-land-ingenieurkammer-rheinland-pfalz-pfalzwerke-ag</t>
        </is>
      </c>
    </row>
    <row r="126" ht="30" customHeight="1" s="46">
      <c r="A126" s="5" t="inlineStr">
        <is>
          <t>C0125</t>
        </is>
      </c>
      <c r="B126" s="5" t="inlineStr">
        <is>
          <t>x_0125</t>
        </is>
      </c>
      <c r="C126" s="5" t="n">
        <v>0</v>
      </c>
      <c r="D126" s="5" t="inlineStr">
        <is>
          <t>Ingenieurkammer Rheinland-Pfalz</t>
        </is>
      </c>
      <c r="E126" s="5" t="inlineStr">
        <is>
          <t>Transdev GmbH</t>
        </is>
      </c>
      <c r="F126" s="5" t="n">
        <v>44</v>
      </c>
      <c r="G126" s="5" t="n">
        <v>90</v>
      </c>
      <c r="H126" s="5" t="inlineStr">
        <is>
          <t>implementation_anchor</t>
        </is>
      </c>
      <c r="I126" t="inlineStr">
        <is>
          <t>construction_planning_anchor</t>
        </is>
      </c>
      <c r="J126" s="5" t="inlineStr">
        <is>
          <t>profit_anchor</t>
        </is>
      </c>
      <c r="K126" t="inlineStr">
        <is>
          <t>energy_infrastructure_anchor</t>
        </is>
      </c>
      <c r="L126" s="5" t="inlineStr">
        <is>
          <t>nachhaltigkeit</t>
        </is>
      </c>
      <c r="M126" s="5" t="inlineStr">
        <is>
          <t>klima_anpassung_stadt_land</t>
        </is>
      </c>
      <c r="N126" s="5" t="inlineStr">
        <is>
          <t>Klimaanpassung in Stadt und Land</t>
        </is>
      </c>
      <c r="O126" s="5" t="n">
        <v>4</v>
      </c>
      <c r="P126" s="5" t="n">
        <v>3</v>
      </c>
      <c r="Q126" s="5" t="n">
        <v>11</v>
      </c>
      <c r="R126" s="5" t="n">
        <v>4</v>
      </c>
      <c r="S126" s="5" t="n">
        <v>0</v>
      </c>
      <c r="T126" s="5" t="n">
        <v>0</v>
      </c>
      <c r="U126" s="5" t="n">
        <v>2</v>
      </c>
      <c r="V126" s="5" t="n">
        <v>8</v>
      </c>
      <c r="W126" s="5" t="n">
        <v>8</v>
      </c>
      <c r="X126" s="5" t="n">
        <v>0</v>
      </c>
      <c r="Y126" s="5" t="n">
        <v>0</v>
      </c>
      <c r="Z126" s="5" t="n">
        <v>0</v>
      </c>
      <c r="AA126" s="5" t="n">
        <v>0</v>
      </c>
      <c r="AB126" s="5" t="n">
        <v>35.819322</v>
      </c>
      <c r="AC126" s="5" t="inlineStr">
        <is>
          <t>Wie reagieren Kommunen, Bauwirtschaft, Landwirtschaft und Infrastruktur auf Hitze, Starkregen und Flächendruck?</t>
        </is>
      </c>
      <c r="AD126" s="5" t="inlineStr">
        <is>
          <t>Klimaanpassung in Stadt und Land: Ingenieurkammer Rheinland-Pfalz (implementation_anchor, 4) + Transdev GmbH (profit_anchor, 3).</t>
        </is>
      </c>
      <c r="AE126" s="5" t="inlineStr">
        <is>
          <t>Ingenieurkammer Rheinland-Pfalz | Transdev GmbH</t>
        </is>
      </c>
      <c r="AF126" s="5" t="inlineStr">
        <is>
          <t>klima-anpassung-stadt-land-ingenieurkammer-rheinland-pfalz-transdev-gmbh</t>
        </is>
      </c>
    </row>
    <row r="127" ht="30" customHeight="1" s="46">
      <c r="A127" s="5" t="inlineStr">
        <is>
          <t>C0126</t>
        </is>
      </c>
      <c r="B127" s="5" t="inlineStr">
        <is>
          <t>x_0126</t>
        </is>
      </c>
      <c r="C127" s="5" t="n">
        <v>0</v>
      </c>
      <c r="D127" s="5" t="inlineStr">
        <is>
          <t>Ingenieurkammer Rheinland-Pfalz</t>
        </is>
      </c>
      <c r="E127" s="5" t="inlineStr">
        <is>
          <t>Westenergie AG</t>
        </is>
      </c>
      <c r="F127" s="5" t="n">
        <v>44</v>
      </c>
      <c r="G127" s="5" t="n">
        <v>98</v>
      </c>
      <c r="H127" s="5" t="inlineStr">
        <is>
          <t>implementation_anchor</t>
        </is>
      </c>
      <c r="I127" t="inlineStr">
        <is>
          <t>construction_planning_anchor</t>
        </is>
      </c>
      <c r="J127" s="5" t="inlineStr">
        <is>
          <t>profit_anchor</t>
        </is>
      </c>
      <c r="K127" t="inlineStr">
        <is>
          <t>energy_infrastructure_anchor</t>
        </is>
      </c>
      <c r="L127" s="5" t="inlineStr">
        <is>
          <t>nachhaltigkeit</t>
        </is>
      </c>
      <c r="M127" s="5" t="inlineStr">
        <is>
          <t>klima_anpassung_stadt_land</t>
        </is>
      </c>
      <c r="N127" s="5" t="inlineStr">
        <is>
          <t>Klimaanpassung in Stadt und Land</t>
        </is>
      </c>
      <c r="O127" s="5" t="n">
        <v>4</v>
      </c>
      <c r="P127" s="5" t="n">
        <v>3</v>
      </c>
      <c r="Q127" s="5" t="n">
        <v>11</v>
      </c>
      <c r="R127" s="5" t="n">
        <v>4</v>
      </c>
      <c r="S127" s="5" t="n">
        <v>0</v>
      </c>
      <c r="T127" s="5" t="n">
        <v>0</v>
      </c>
      <c r="U127" s="5" t="n">
        <v>2</v>
      </c>
      <c r="V127" s="5" t="n">
        <v>8</v>
      </c>
      <c r="W127" s="5" t="n">
        <v>8</v>
      </c>
      <c r="X127" s="5" t="n">
        <v>0</v>
      </c>
      <c r="Y127" s="5" t="n">
        <v>0</v>
      </c>
      <c r="Z127" s="5" t="n">
        <v>0</v>
      </c>
      <c r="AA127" s="5" t="n">
        <v>0</v>
      </c>
      <c r="AB127" s="5" t="n">
        <v>35.819322</v>
      </c>
      <c r="AC127" s="5" t="inlineStr">
        <is>
          <t>Wie reagieren Kommunen, Bauwirtschaft, Landwirtschaft und Infrastruktur auf Hitze, Starkregen und Flächendruck?</t>
        </is>
      </c>
      <c r="AD127" s="5" t="inlineStr">
        <is>
          <t>Klimaanpassung in Stadt und Land: Ingenieurkammer Rheinland-Pfalz (implementation_anchor, 4) + Westenergie AG (profit_anchor, 3).</t>
        </is>
      </c>
      <c r="AE127" s="5" t="inlineStr">
        <is>
          <t>Ingenieurkammer Rheinland-Pfalz | Westenergie AG</t>
        </is>
      </c>
      <c r="AF127" s="5" t="inlineStr">
        <is>
          <t>klima-anpassung-stadt-land-ingenieurkammer-rheinland-pfalz-westenergie-ag</t>
        </is>
      </c>
    </row>
    <row r="128" ht="30" customHeight="1" s="46">
      <c r="A128" s="5" t="inlineStr">
        <is>
          <t>C0127</t>
        </is>
      </c>
      <c r="B128" s="5" t="inlineStr">
        <is>
          <t>x_0127</t>
        </is>
      </c>
      <c r="C128" s="5" t="n">
        <v>0</v>
      </c>
      <c r="D128" s="5" t="inlineStr">
        <is>
          <t>Deutsche Telekom AG</t>
        </is>
      </c>
      <c r="E128" s="5" t="inlineStr">
        <is>
          <t>Entwicklungsagentur Rheinland-Pfalz e.V.</t>
        </is>
      </c>
      <c r="F128" s="5" t="n">
        <v>18</v>
      </c>
      <c r="G128" s="5" t="n">
        <v>25</v>
      </c>
      <c r="H128" s="5" t="inlineStr">
        <is>
          <t>profit_anchor</t>
        </is>
      </c>
      <c r="I128" t="inlineStr">
        <is>
          <t>technology_digital_anchor</t>
        </is>
      </c>
      <c r="J128" s="5" t="inlineStr">
        <is>
          <t>implementation_anchor</t>
        </is>
      </c>
      <c r="K128" t="inlineStr">
        <is>
          <t>public_policy_anchor</t>
        </is>
      </c>
      <c r="L128" s="5" t="inlineStr">
        <is>
          <t>kultur</t>
        </is>
      </c>
      <c r="M128" s="5" t="inlineStr">
        <is>
          <t>kreativwirtschaft_digitale_medien</t>
        </is>
      </c>
      <c r="N128" s="5" t="inlineStr">
        <is>
          <t>Kreativwirtschaft, Medien und digitale Öffentlichkeit</t>
        </is>
      </c>
      <c r="O128" s="5" t="n">
        <v>4</v>
      </c>
      <c r="P128" s="5" t="n">
        <v>3</v>
      </c>
      <c r="Q128" s="5" t="n">
        <v>11</v>
      </c>
      <c r="R128" s="5" t="n">
        <v>4</v>
      </c>
      <c r="S128" s="5" t="n">
        <v>0</v>
      </c>
      <c r="T128" s="5" t="n">
        <v>0</v>
      </c>
      <c r="U128" s="5" t="n">
        <v>2</v>
      </c>
      <c r="V128" s="5" t="n">
        <v>8</v>
      </c>
      <c r="W128" s="5" t="n">
        <v>8</v>
      </c>
      <c r="X128" s="5" t="n">
        <v>0</v>
      </c>
      <c r="Y128" s="5" t="n">
        <v>0</v>
      </c>
      <c r="Z128" s="5" t="n">
        <v>0</v>
      </c>
      <c r="AA128" s="5" t="n">
        <v>0</v>
      </c>
      <c r="AB128" s="5" t="n">
        <v>38.85151</v>
      </c>
      <c r="AC128" s="5" t="inlineStr">
        <is>
          <t>Wie verändern Medien, Plattformen und kreative Arbeit die öffentliche Wahrnehmung von Rheinland-Pfalz?</t>
        </is>
      </c>
      <c r="AD128" s="5" t="inlineStr">
        <is>
          <t>Kreativwirtschaft, Medien und digitale Öffentlichkeit: Deutsche Telekom AG (profit_anchor, 4) + Entwicklungsagentur Rheinland-Pfalz e.V. (implementation_anchor, 3).</t>
        </is>
      </c>
      <c r="AE128" s="5" t="inlineStr">
        <is>
          <t>Deutsche Telekom AG | Entwicklungsagentur Rheinland-Pfalz e.V.</t>
        </is>
      </c>
      <c r="AF128" s="5" t="inlineStr">
        <is>
          <t>kreativwirtschaft-digitale-medien-deutsche-telekom-ag-entwicklungsagentur-rheinland-pfalz-e-v</t>
        </is>
      </c>
    </row>
    <row r="129" ht="30" customHeight="1" s="46">
      <c r="A129" s="5" t="inlineStr">
        <is>
          <t>C0128</t>
        </is>
      </c>
      <c r="B129" s="5" t="inlineStr">
        <is>
          <t>x_0128</t>
        </is>
      </c>
      <c r="C129" s="5" t="n">
        <v>0</v>
      </c>
      <c r="D129" s="5" t="inlineStr">
        <is>
          <t>Architektenkammer Rheinland-Pfalz</t>
        </is>
      </c>
      <c r="E129" s="5" t="inlineStr">
        <is>
          <t>Wilhelm Faber GmbH</t>
        </is>
      </c>
      <c r="F129" s="5" t="n">
        <v>3</v>
      </c>
      <c r="G129" s="5" t="n">
        <v>100</v>
      </c>
      <c r="H129" s="5" t="inlineStr">
        <is>
          <t>implementation_anchor</t>
        </is>
      </c>
      <c r="I129" t="inlineStr">
        <is>
          <t>construction_planning_anchor</t>
        </is>
      </c>
      <c r="J129" s="5" t="inlineStr">
        <is>
          <t>profit_anchor</t>
        </is>
      </c>
      <c r="K129" t="inlineStr">
        <is>
          <t>construction_planning_anchor</t>
        </is>
      </c>
      <c r="L129" s="5" t="inlineStr">
        <is>
          <t>nachhaltigkeit</t>
        </is>
      </c>
      <c r="M129" s="5" t="inlineStr">
        <is>
          <t>kreislaufwirtschaft_bau_ebv</t>
        </is>
      </c>
      <c r="N129" s="5" t="inlineStr">
        <is>
          <t>Kreislaufwirtschaft, Bau und Ersatzbaustoffverordnung</t>
        </is>
      </c>
      <c r="O129" s="5" t="n">
        <v>4</v>
      </c>
      <c r="P129" s="5" t="n">
        <v>3</v>
      </c>
      <c r="Q129" s="5" t="n">
        <v>11</v>
      </c>
      <c r="R129" s="5" t="n">
        <v>4</v>
      </c>
      <c r="S129" s="5" t="n">
        <v>0</v>
      </c>
      <c r="T129" s="5" t="n">
        <v>0</v>
      </c>
      <c r="U129" s="5" t="n">
        <v>2</v>
      </c>
      <c r="V129" s="5" t="n">
        <v>8</v>
      </c>
      <c r="W129" s="5" t="n">
        <v>8</v>
      </c>
      <c r="X129" s="5" t="n">
        <v>0</v>
      </c>
      <c r="Y129" s="5" t="n">
        <v>0</v>
      </c>
      <c r="Z129" s="5" t="n">
        <v>0</v>
      </c>
      <c r="AA129" s="5" t="n">
        <v>0</v>
      </c>
      <c r="AB129" s="5" t="n">
        <v>36.857778</v>
      </c>
      <c r="AC129" s="5" t="inlineStr">
        <is>
          <t>Wie können Bauwirtschaft, Rohstoffindustrie, Kommunen und Verwaltung Kreislaufwirtschaft praktisch und rechtssicher umsetzen?</t>
        </is>
      </c>
      <c r="AD129" s="5" t="inlineStr">
        <is>
          <t>Kreislaufwirtschaft, Bau und Ersatzbaustoffverordnung: Architektenkammer Rheinland-Pfalz (implementation_anchor, 4) + Wilhelm Faber GmbH (profit_anchor, 3).</t>
        </is>
      </c>
      <c r="AE129" s="5" t="inlineStr">
        <is>
          <t>Architektenkammer Rheinland-Pfalz | Wilhelm Faber GmbH</t>
        </is>
      </c>
      <c r="AF129" s="5" t="inlineStr">
        <is>
          <t>kreislaufwirtschaft-bau-ebv-architektenkammer-rheinland-pfalz-wilhelm-faber-gmbh</t>
        </is>
      </c>
    </row>
    <row r="130" ht="30" customHeight="1" s="46">
      <c r="A130" s="5" t="inlineStr">
        <is>
          <t>C0129</t>
        </is>
      </c>
      <c r="B130" s="5" t="inlineStr">
        <is>
          <t>x_0129</t>
        </is>
      </c>
      <c r="C130" s="5" t="n">
        <v>0</v>
      </c>
      <c r="D130" s="5" t="inlineStr">
        <is>
          <t>Ingenieurkammer Rheinland-Pfalz</t>
        </is>
      </c>
      <c r="E130" s="5" t="inlineStr">
        <is>
          <t>Wilhelm Faber GmbH</t>
        </is>
      </c>
      <c r="F130" s="5" t="n">
        <v>44</v>
      </c>
      <c r="G130" s="5" t="n">
        <v>100</v>
      </c>
      <c r="H130" s="5" t="inlineStr">
        <is>
          <t>implementation_anchor</t>
        </is>
      </c>
      <c r="I130" t="inlineStr">
        <is>
          <t>construction_planning_anchor</t>
        </is>
      </c>
      <c r="J130" s="5" t="inlineStr">
        <is>
          <t>profit_anchor</t>
        </is>
      </c>
      <c r="K130" t="inlineStr">
        <is>
          <t>construction_planning_anchor</t>
        </is>
      </c>
      <c r="L130" s="5" t="inlineStr">
        <is>
          <t>nachhaltigkeit</t>
        </is>
      </c>
      <c r="M130" s="5" t="inlineStr">
        <is>
          <t>kreislaufwirtschaft_bau_ebv</t>
        </is>
      </c>
      <c r="N130" s="5" t="inlineStr">
        <is>
          <t>Kreislaufwirtschaft, Bau und Ersatzbaustoffverordnung</t>
        </is>
      </c>
      <c r="O130" s="5" t="n">
        <v>4</v>
      </c>
      <c r="P130" s="5" t="n">
        <v>3</v>
      </c>
      <c r="Q130" s="5" t="n">
        <v>11</v>
      </c>
      <c r="R130" s="5" t="n">
        <v>4</v>
      </c>
      <c r="S130" s="5" t="n">
        <v>0</v>
      </c>
      <c r="T130" s="5" t="n">
        <v>0</v>
      </c>
      <c r="U130" s="5" t="n">
        <v>2</v>
      </c>
      <c r="V130" s="5" t="n">
        <v>8</v>
      </c>
      <c r="W130" s="5" t="n">
        <v>8</v>
      </c>
      <c r="X130" s="5" t="n">
        <v>0</v>
      </c>
      <c r="Y130" s="5" t="n">
        <v>0</v>
      </c>
      <c r="Z130" s="5" t="n">
        <v>0</v>
      </c>
      <c r="AA130" s="5" t="n">
        <v>0</v>
      </c>
      <c r="AB130" s="5" t="n">
        <v>36.857778</v>
      </c>
      <c r="AC130" s="5" t="inlineStr">
        <is>
          <t>Wie können Bauwirtschaft, Rohstoffindustrie, Kommunen und Verwaltung Kreislaufwirtschaft praktisch und rechtssicher umsetzen?</t>
        </is>
      </c>
      <c r="AD130" s="5" t="inlineStr">
        <is>
          <t>Kreislaufwirtschaft, Bau und Ersatzbaustoffverordnung: Ingenieurkammer Rheinland-Pfalz (implementation_anchor, 4) + Wilhelm Faber GmbH (profit_anchor, 3).</t>
        </is>
      </c>
      <c r="AE130" s="5" t="inlineStr">
        <is>
          <t>Ingenieurkammer Rheinland-Pfalz | Wilhelm Faber GmbH</t>
        </is>
      </c>
      <c r="AF130" s="5" t="inlineStr">
        <is>
          <t>kreislaufwirtschaft-bau-ebv-ingenieurkammer-rheinland-pfalz-wilhelm-faber-gmbh</t>
        </is>
      </c>
    </row>
    <row r="131" ht="30" customHeight="1" s="46">
      <c r="A131" s="5" t="inlineStr">
        <is>
          <t>C0130</t>
        </is>
      </c>
      <c r="B131" s="5" t="inlineStr">
        <is>
          <t>x_0130</t>
        </is>
      </c>
      <c r="C131" s="5" t="n">
        <v>0</v>
      </c>
      <c r="D131" s="5" t="inlineStr">
        <is>
          <t>Entwicklungsagentur Rheinland-Pfalz e.V.</t>
        </is>
      </c>
      <c r="E131" s="5" t="inlineStr">
        <is>
          <t>Hochschule für Musik Mainz</t>
        </is>
      </c>
      <c r="F131" s="5" t="n">
        <v>25</v>
      </c>
      <c r="G131" s="5" t="n">
        <v>35</v>
      </c>
      <c r="H131" s="5" t="inlineStr">
        <is>
          <t>implementation_anchor</t>
        </is>
      </c>
      <c r="I131" t="inlineStr">
        <is>
          <t>public_policy_anchor</t>
        </is>
      </c>
      <c r="J131" s="5" t="inlineStr">
        <is>
          <t>academic_support</t>
        </is>
      </c>
      <c r="K131" t="inlineStr">
        <is>
          <t>university_applied_sciences</t>
        </is>
      </c>
      <c r="L131" s="5" t="inlineStr">
        <is>
          <t>kultur</t>
        </is>
      </c>
      <c r="M131" s="5" t="inlineStr">
        <is>
          <t>kultur_standort_identitaet</t>
        </is>
      </c>
      <c r="N131" s="5" t="inlineStr">
        <is>
          <t>Kultur, Standortidentität und regionale Attraktivität</t>
        </is>
      </c>
      <c r="O131" s="5" t="n">
        <v>5</v>
      </c>
      <c r="P131" s="5" t="n">
        <v>4</v>
      </c>
      <c r="Q131" s="5" t="n">
        <v>13</v>
      </c>
      <c r="R131" s="5" t="n">
        <v>4</v>
      </c>
      <c r="S131" s="5" t="n">
        <v>0</v>
      </c>
      <c r="T131" s="5" t="n">
        <v>0</v>
      </c>
      <c r="U131" s="5" t="n">
        <v>2</v>
      </c>
      <c r="V131" s="5" t="n">
        <v>7</v>
      </c>
      <c r="W131" s="5" t="n">
        <v>7</v>
      </c>
      <c r="X131" s="5" t="n">
        <v>0</v>
      </c>
      <c r="Y131" s="5" t="n">
        <v>0</v>
      </c>
      <c r="Z131" s="5" t="n">
        <v>0</v>
      </c>
      <c r="AA131" s="5" t="n">
        <v>0</v>
      </c>
      <c r="AB131" s="5" t="n">
        <v>42.523249</v>
      </c>
      <c r="AC131" s="5" t="inlineStr">
        <is>
          <t>Wie stärkt Kultur die Attraktivität von Städten, Regionen und Arbeitgeberstandorten?</t>
        </is>
      </c>
      <c r="AD131" s="5" t="inlineStr">
        <is>
          <t>Kultur, Standortidentität und regionale Attraktivität: Entwicklungsagentur Rheinland-Pfalz e.V. (implementation_anchor, 5) + Hochschule für Musik Mainz (academic_support, 4).</t>
        </is>
      </c>
      <c r="AE131" s="5" t="inlineStr">
        <is>
          <t>Entwicklungsagentur Rheinland-Pfalz e.V. | Hochschule für Musik Mainz</t>
        </is>
      </c>
      <c r="AF131" s="5" t="inlineStr">
        <is>
          <t>kultur-standort-identitaet-entwicklungsagentur-rheinland-pfalz-e-v-hochschule-für-musik-mainz</t>
        </is>
      </c>
    </row>
    <row r="132" ht="30" customHeight="1" s="46">
      <c r="A132" s="5" t="inlineStr">
        <is>
          <t>C0131</t>
        </is>
      </c>
      <c r="B132" s="5" t="inlineStr">
        <is>
          <t>x_0131</t>
        </is>
      </c>
      <c r="C132" s="5" t="n">
        <v>0</v>
      </c>
      <c r="D132" s="5" t="inlineStr">
        <is>
          <t>Handwerkskammern Rheinland-Pfalz</t>
        </is>
      </c>
      <c r="E132" s="5" t="inlineStr">
        <is>
          <t>KÜBLER GmbH</t>
        </is>
      </c>
      <c r="F132" s="5" t="n">
        <v>32</v>
      </c>
      <c r="G132" s="5" t="n">
        <v>58</v>
      </c>
      <c r="H132" s="5" t="inlineStr">
        <is>
          <t>implementation_anchor</t>
        </is>
      </c>
      <c r="I132" t="inlineStr">
        <is>
          <t>chamber_association_anchor</t>
        </is>
      </c>
      <c r="J132" s="5" t="inlineStr">
        <is>
          <t>profit_anchor</t>
        </is>
      </c>
      <c r="K132" t="inlineStr">
        <is>
          <t>energy_infrastructure_anchor</t>
        </is>
      </c>
      <c r="L132" s="5" t="inlineStr">
        <is>
          <t>wirtschaft</t>
        </is>
      </c>
      <c r="M132" s="5" t="inlineStr">
        <is>
          <t>mittelstand_digitalisierung_produktivitaet</t>
        </is>
      </c>
      <c r="N132" s="5" t="inlineStr">
        <is>
          <t>Mittelstand, Digitalisierung und Produktivität</t>
        </is>
      </c>
      <c r="O132" s="5" t="n">
        <v>4</v>
      </c>
      <c r="P132" s="5" t="n">
        <v>3</v>
      </c>
      <c r="Q132" s="5" t="n">
        <v>11</v>
      </c>
      <c r="R132" s="5" t="n">
        <v>4</v>
      </c>
      <c r="S132" s="5" t="n">
        <v>0</v>
      </c>
      <c r="T132" s="5" t="n">
        <v>0</v>
      </c>
      <c r="U132" s="5" t="n">
        <v>2</v>
      </c>
      <c r="V132" s="5" t="n">
        <v>8</v>
      </c>
      <c r="W132" s="5" t="n">
        <v>8</v>
      </c>
      <c r="X132" s="5" t="n">
        <v>0</v>
      </c>
      <c r="Y132" s="5" t="n">
        <v>0</v>
      </c>
      <c r="Z132" s="5" t="n">
        <v>0</v>
      </c>
      <c r="AA132" s="5" t="n">
        <v>0</v>
      </c>
      <c r="AB132" s="5" t="n">
        <v>44.297536</v>
      </c>
      <c r="AC132" s="5" t="inlineStr">
        <is>
          <t>Wie können mittelständische Unternehmen digitale Werkzeuge praktisch einsetzen, ohne dass daraus nur Pilotprojekte entstehen?</t>
        </is>
      </c>
      <c r="AD132" s="5" t="inlineStr">
        <is>
          <t>Mittelstand, Digitalisierung und Produktivität: Handwerkskammern Rheinland-Pfalz (implementation_anchor, 4) + KÜBLER GmbH (profit_anchor, 3).</t>
        </is>
      </c>
      <c r="AE132" s="5" t="inlineStr">
        <is>
          <t>Handwerkskammern Rheinland-Pfalz | KÜBLER GmbH</t>
        </is>
      </c>
      <c r="AF132" s="5" t="inlineStr">
        <is>
          <t>mittelstand-digitalisierung-produktivitaet-handwerkskammern-rheinland-pfalz-kübler-gmbh</t>
        </is>
      </c>
    </row>
    <row r="133" ht="30" customHeight="1" s="46">
      <c r="A133" s="5" t="inlineStr">
        <is>
          <t>C0132</t>
        </is>
      </c>
      <c r="B133" s="5" t="inlineStr">
        <is>
          <t>x_0132</t>
        </is>
      </c>
      <c r="C133" s="5" t="n">
        <v>0</v>
      </c>
      <c r="D133" s="5" t="inlineStr">
        <is>
          <t>Handwerkskammern Rheinland-Pfalz</t>
        </is>
      </c>
      <c r="E133" s="5" t="inlineStr">
        <is>
          <t>Licharz GmbH</t>
        </is>
      </c>
      <c r="F133" s="5" t="n">
        <v>32</v>
      </c>
      <c r="G133" s="5" t="n">
        <v>65</v>
      </c>
      <c r="H133" s="5" t="inlineStr">
        <is>
          <t>implementation_anchor</t>
        </is>
      </c>
      <c r="I133" t="inlineStr">
        <is>
          <t>chamber_association_anchor</t>
        </is>
      </c>
      <c r="J133" s="5" t="inlineStr">
        <is>
          <t>profit_anchor</t>
        </is>
      </c>
      <c r="K133" t="inlineStr">
        <is>
          <t>industry_anchor</t>
        </is>
      </c>
      <c r="L133" s="5" t="inlineStr">
        <is>
          <t>wirtschaft</t>
        </is>
      </c>
      <c r="M133" s="5" t="inlineStr">
        <is>
          <t>mittelstand_digitalisierung_produktivitaet</t>
        </is>
      </c>
      <c r="N133" s="5" t="inlineStr">
        <is>
          <t>Mittelstand, Digitalisierung und Produktivität</t>
        </is>
      </c>
      <c r="O133" s="5" t="n">
        <v>4</v>
      </c>
      <c r="P133" s="5" t="n">
        <v>3</v>
      </c>
      <c r="Q133" s="5" t="n">
        <v>11</v>
      </c>
      <c r="R133" s="5" t="n">
        <v>4</v>
      </c>
      <c r="S133" s="5" t="n">
        <v>0</v>
      </c>
      <c r="T133" s="5" t="n">
        <v>0</v>
      </c>
      <c r="U133" s="5" t="n">
        <v>2</v>
      </c>
      <c r="V133" s="5" t="n">
        <v>8</v>
      </c>
      <c r="W133" s="5" t="n">
        <v>8</v>
      </c>
      <c r="X133" s="5" t="n">
        <v>0</v>
      </c>
      <c r="Y133" s="5" t="n">
        <v>0</v>
      </c>
      <c r="Z133" s="5" t="n">
        <v>0</v>
      </c>
      <c r="AA133" s="5" t="n">
        <v>0</v>
      </c>
      <c r="AB133" s="5" t="n">
        <v>43.040612</v>
      </c>
      <c r="AC133" s="5" t="inlineStr">
        <is>
          <t>Wie können mittelständische Unternehmen digitale Werkzeuge praktisch einsetzen, ohne dass daraus nur Pilotprojekte entstehen?</t>
        </is>
      </c>
      <c r="AD133" s="5" t="inlineStr">
        <is>
          <t>Mittelstand, Digitalisierung und Produktivität: Handwerkskammern Rheinland-Pfalz (implementation_anchor, 4) + Licharz GmbH (profit_anchor, 3).</t>
        </is>
      </c>
      <c r="AE133" s="5" t="inlineStr">
        <is>
          <t>Handwerkskammern Rheinland-Pfalz | Licharz GmbH</t>
        </is>
      </c>
      <c r="AF133" s="5" t="inlineStr">
        <is>
          <t>mittelstand-digitalisierung-produktivitaet-handwerkskammern-rheinland-pfalz-licharz-gmbh</t>
        </is>
      </c>
    </row>
    <row r="134" ht="30" customHeight="1" s="46">
      <c r="A134" s="5" t="inlineStr">
        <is>
          <t>C0133</t>
        </is>
      </c>
      <c r="B134" s="5" t="inlineStr">
        <is>
          <t>x_0133</t>
        </is>
      </c>
      <c r="C134" s="5" t="n">
        <v>0</v>
      </c>
      <c r="D134" s="5" t="inlineStr">
        <is>
          <t>Handwerkskammern Rheinland-Pfalz</t>
        </is>
      </c>
      <c r="E134" s="5" t="inlineStr">
        <is>
          <t>Rheinland-Pfälzische Technische Universität Kaiserslautern-Landau (RPTU)</t>
        </is>
      </c>
      <c r="F134" s="5" t="n">
        <v>32</v>
      </c>
      <c r="G134" s="5" t="n">
        <v>74</v>
      </c>
      <c r="H134" s="5" t="inlineStr">
        <is>
          <t>implementation_anchor</t>
        </is>
      </c>
      <c r="I134" t="inlineStr">
        <is>
          <t>chamber_association_anchor</t>
        </is>
      </c>
      <c r="J134" s="5" t="inlineStr">
        <is>
          <t>academic_support</t>
        </is>
      </c>
      <c r="K134" t="inlineStr">
        <is>
          <t>university_research</t>
        </is>
      </c>
      <c r="L134" s="5" t="inlineStr">
        <is>
          <t>wirtschaft</t>
        </is>
      </c>
      <c r="M134" s="5" t="inlineStr">
        <is>
          <t>mittelstand_digitalisierung_produktivitaet</t>
        </is>
      </c>
      <c r="N134" s="5" t="inlineStr">
        <is>
          <t>Mittelstand, Digitalisierung und Produktivität</t>
        </is>
      </c>
      <c r="O134" s="5" t="n">
        <v>4</v>
      </c>
      <c r="P134" s="5" t="n">
        <v>5</v>
      </c>
      <c r="Q134" s="5" t="n">
        <v>13</v>
      </c>
      <c r="R134" s="5" t="n">
        <v>4</v>
      </c>
      <c r="S134" s="5" t="n">
        <v>0</v>
      </c>
      <c r="T134" s="5" t="n">
        <v>0</v>
      </c>
      <c r="U134" s="5" t="n">
        <v>2</v>
      </c>
      <c r="V134" s="5" t="n">
        <v>7</v>
      </c>
      <c r="W134" s="5" t="n">
        <v>7</v>
      </c>
      <c r="X134" s="5" t="n">
        <v>0</v>
      </c>
      <c r="Y134" s="5" t="n">
        <v>0</v>
      </c>
      <c r="Z134" s="5" t="n">
        <v>0</v>
      </c>
      <c r="AA134" s="5" t="n">
        <v>0</v>
      </c>
      <c r="AB134" s="5" t="n">
        <v>52.515956</v>
      </c>
      <c r="AC134" s="5" t="inlineStr">
        <is>
          <t>Wie können mittelständische Unternehmen digitale Werkzeuge praktisch einsetzen, ohne dass daraus nur Pilotprojekte entstehen?</t>
        </is>
      </c>
      <c r="AD134" s="5" t="inlineStr">
        <is>
          <t>Mittelstand, Digitalisierung und Produktivität: Handwerkskammern Rheinland-Pfalz (implementation_anchor, 4) + Rheinland-Pfälzische Technische Universität Kaiserslautern-Landau (RPTU) (academic_support, 5).</t>
        </is>
      </c>
      <c r="AE134" s="5" t="inlineStr">
        <is>
          <t>Handwerkskammern Rheinland-Pfalz | Rheinland-Pfälzische Technische Universität Kaiserslautern-Landau (RPTU)</t>
        </is>
      </c>
      <c r="AF134" s="5" t="inlineStr">
        <is>
          <t>mittelstand-digitalisierung-produktivitaet-handwerkskammern-rheinland-pfalz-rheinland-pfälzisch</t>
        </is>
      </c>
    </row>
    <row r="135" ht="30" customHeight="1" s="46">
      <c r="A135" s="5" t="inlineStr">
        <is>
          <t>C0134</t>
        </is>
      </c>
      <c r="B135" s="5" t="inlineStr">
        <is>
          <t>x_0134</t>
        </is>
      </c>
      <c r="C135" s="5" t="n">
        <v>0</v>
      </c>
      <c r="D135" s="5" t="inlineStr">
        <is>
          <t>Handwerkskammern Rheinland-Pfalz</t>
        </is>
      </c>
      <c r="E135" s="5" t="inlineStr">
        <is>
          <t>Sparkassenverband Rheinland-Pfalz</t>
        </is>
      </c>
      <c r="F135" s="5" t="n">
        <v>32</v>
      </c>
      <c r="G135" s="5" t="n">
        <v>82</v>
      </c>
      <c r="H135" s="5" t="inlineStr">
        <is>
          <t>implementation_anchor</t>
        </is>
      </c>
      <c r="I135" t="inlineStr">
        <is>
          <t>chamber_association_anchor</t>
        </is>
      </c>
      <c r="J135" s="5" t="inlineStr">
        <is>
          <t>profit_anchor</t>
        </is>
      </c>
      <c r="K135" t="inlineStr">
        <is>
          <t>bank_finance_anchor</t>
        </is>
      </c>
      <c r="L135" s="5" t="inlineStr">
        <is>
          <t>wirtschaft</t>
        </is>
      </c>
      <c r="M135" s="5" t="inlineStr">
        <is>
          <t>mittelstand_digitalisierung_produktivitaet</t>
        </is>
      </c>
      <c r="N135" s="5" t="inlineStr">
        <is>
          <t>Mittelstand, Digitalisierung und Produktivität</t>
        </is>
      </c>
      <c r="O135" s="5" t="n">
        <v>4</v>
      </c>
      <c r="P135" s="5" t="n">
        <v>3</v>
      </c>
      <c r="Q135" s="5" t="n">
        <v>11</v>
      </c>
      <c r="R135" s="5" t="n">
        <v>4</v>
      </c>
      <c r="S135" s="5" t="n">
        <v>0</v>
      </c>
      <c r="T135" s="5" t="n">
        <v>0</v>
      </c>
      <c r="U135" s="5" t="n">
        <v>2</v>
      </c>
      <c r="V135" s="5" t="n">
        <v>8</v>
      </c>
      <c r="W135" s="5" t="n">
        <v>8</v>
      </c>
      <c r="X135" s="5" t="n">
        <v>0</v>
      </c>
      <c r="Y135" s="5" t="n">
        <v>0</v>
      </c>
      <c r="Z135" s="5" t="n">
        <v>0</v>
      </c>
      <c r="AA135" s="5" t="n">
        <v>0</v>
      </c>
      <c r="AB135" s="5" t="n">
        <v>46.20367</v>
      </c>
      <c r="AC135" s="5" t="inlineStr">
        <is>
          <t>Wie können mittelständische Unternehmen digitale Werkzeuge praktisch einsetzen, ohne dass daraus nur Pilotprojekte entstehen?</t>
        </is>
      </c>
      <c r="AD135" s="5" t="inlineStr">
        <is>
          <t>Mittelstand, Digitalisierung und Produktivität: Handwerkskammern Rheinland-Pfalz (implementation_anchor, 4) + Sparkassenverband Rheinland-Pfalz (profit_anchor, 3).</t>
        </is>
      </c>
      <c r="AE135" s="5" t="inlineStr">
        <is>
          <t>Handwerkskammern Rheinland-Pfalz | Sparkassenverband Rheinland-Pfalz</t>
        </is>
      </c>
      <c r="AF135" s="5" t="inlineStr">
        <is>
          <t>mittelstand-digitalisierung-produktivitaet-handwerkskammern-rheinland-pfalz-sparkassenverband-r</t>
        </is>
      </c>
    </row>
    <row r="136" ht="30" customHeight="1" s="46">
      <c r="A136" s="5" t="inlineStr">
        <is>
          <t>C0135</t>
        </is>
      </c>
      <c r="B136" s="5" t="inlineStr">
        <is>
          <t>x_0135</t>
        </is>
      </c>
      <c r="C136" s="5" t="n">
        <v>0</v>
      </c>
      <c r="D136" s="5" t="inlineStr">
        <is>
          <t>Bundesagentur für Arbeit, Regionaldirektion Rheinland-Pfalz-Saarland</t>
        </is>
      </c>
      <c r="E136" s="5" t="inlineStr">
        <is>
          <t>Duale Hochschule Rheinland-Pfalz</t>
        </is>
      </c>
      <c r="F136" s="5" t="n">
        <v>13</v>
      </c>
      <c r="G136" s="5" t="n">
        <v>21</v>
      </c>
      <c r="H136" s="5" t="inlineStr">
        <is>
          <t>implementation_anchor</t>
        </is>
      </c>
      <c r="I136" t="inlineStr">
        <is>
          <t>public_policy_anchor</t>
        </is>
      </c>
      <c r="J136" s="5" t="inlineStr">
        <is>
          <t>academic_support</t>
        </is>
      </c>
      <c r="K136" t="inlineStr">
        <is>
          <t>university_applied_sciences</t>
        </is>
      </c>
      <c r="L136" s="5" t="inlineStr">
        <is>
          <t>gesellschaft</t>
        </is>
      </c>
      <c r="M136" s="5" t="inlineStr">
        <is>
          <t>pflege_fachkraefte_sozialwirtschaft</t>
        </is>
      </c>
      <c r="N136" s="5" t="inlineStr">
        <is>
          <t>Pflege, Fachkräfte und Sozialwirtschaft</t>
        </is>
      </c>
      <c r="O136" s="5" t="n">
        <v>5</v>
      </c>
      <c r="P136" s="5" t="n">
        <v>4</v>
      </c>
      <c r="Q136" s="5" t="n">
        <v>13</v>
      </c>
      <c r="R136" s="5" t="n">
        <v>4</v>
      </c>
      <c r="S136" s="5" t="n">
        <v>0</v>
      </c>
      <c r="T136" s="5" t="n">
        <v>0</v>
      </c>
      <c r="U136" s="5" t="n">
        <v>2</v>
      </c>
      <c r="V136" s="5" t="n">
        <v>7</v>
      </c>
      <c r="W136" s="5" t="n">
        <v>7</v>
      </c>
      <c r="X136" s="5" t="n">
        <v>0</v>
      </c>
      <c r="Y136" s="5" t="n">
        <v>0</v>
      </c>
      <c r="Z136" s="5" t="n">
        <v>0</v>
      </c>
      <c r="AA136" s="5" t="n">
        <v>0</v>
      </c>
      <c r="AB136" s="5" t="n">
        <v>42.523249</v>
      </c>
      <c r="AC136" s="5" t="inlineStr">
        <is>
          <t>Wie sichern Pflege- und Sozialträger Personal, Qualität und Versorgung in einer alternden Gesellschaft?</t>
        </is>
      </c>
      <c r="AD136" s="5" t="inlineStr">
        <is>
          <t>Pflege, Fachkräfte und Sozialwirtschaft: Bundesagentur für Arbeit, Regionaldirektion Rheinland-Pfalz-Saarland (implementation_anchor, 5) + Duale Hochschule Rheinland-Pfalz (academic_support, 4).</t>
        </is>
      </c>
      <c r="AE136" s="5" t="inlineStr">
        <is>
          <t>Bundesagentur für Arbeit, Regionaldirektion Rheinland-Pfalz-Saarland | Duale Hochschule Rheinland-Pfalz</t>
        </is>
      </c>
      <c r="AF136" s="5" t="inlineStr">
        <is>
          <t>pflege-fachkraefte-sozialwirtschaft-bundesagentur-für-arbeit-regionaldirektion-rheinland-pfalz-</t>
        </is>
      </c>
    </row>
    <row r="137" ht="30" customHeight="1" s="46">
      <c r="A137" s="5" t="inlineStr">
        <is>
          <t>C0136</t>
        </is>
      </c>
      <c r="B137" s="5" t="inlineStr">
        <is>
          <t>x_0136</t>
        </is>
      </c>
      <c r="C137" s="5" t="n">
        <v>0</v>
      </c>
      <c r="D137" s="5" t="inlineStr">
        <is>
          <t>Bundesagentur für Arbeit, Regionaldirektion Rheinland-Pfalz-Saarland</t>
        </is>
      </c>
      <c r="E137" s="5" t="inlineStr">
        <is>
          <t>Vinzenz Pallotti University gGmbH</t>
        </is>
      </c>
      <c r="F137" s="5" t="n">
        <v>13</v>
      </c>
      <c r="G137" s="5" t="n">
        <v>97</v>
      </c>
      <c r="H137" s="5" t="inlineStr">
        <is>
          <t>implementation_anchor</t>
        </is>
      </c>
      <c r="I137" t="inlineStr">
        <is>
          <t>public_policy_anchor</t>
        </is>
      </c>
      <c r="J137" s="5" t="inlineStr">
        <is>
          <t>academic_support</t>
        </is>
      </c>
      <c r="K137" t="inlineStr">
        <is>
          <t>university_research</t>
        </is>
      </c>
      <c r="L137" s="5" t="inlineStr">
        <is>
          <t>gesellschaft</t>
        </is>
      </c>
      <c r="M137" s="5" t="inlineStr">
        <is>
          <t>pflege_fachkraefte_sozialwirtschaft</t>
        </is>
      </c>
      <c r="N137" s="5" t="inlineStr">
        <is>
          <t>Pflege, Fachkräfte und Sozialwirtschaft</t>
        </is>
      </c>
      <c r="O137" s="5" t="n">
        <v>5</v>
      </c>
      <c r="P137" s="5" t="n">
        <v>4</v>
      </c>
      <c r="Q137" s="5" t="n">
        <v>13</v>
      </c>
      <c r="R137" s="5" t="n">
        <v>4</v>
      </c>
      <c r="S137" s="5" t="n">
        <v>0</v>
      </c>
      <c r="T137" s="5" t="n">
        <v>0</v>
      </c>
      <c r="U137" s="5" t="n">
        <v>2</v>
      </c>
      <c r="V137" s="5" t="n">
        <v>7</v>
      </c>
      <c r="W137" s="5" t="n">
        <v>7</v>
      </c>
      <c r="X137" s="5" t="n">
        <v>0</v>
      </c>
      <c r="Y137" s="5" t="n">
        <v>0</v>
      </c>
      <c r="Z137" s="5" t="n">
        <v>0</v>
      </c>
      <c r="AA137" s="5" t="n">
        <v>0</v>
      </c>
      <c r="AB137" s="5" t="n">
        <v>46.614494</v>
      </c>
      <c r="AC137" s="5" t="inlineStr">
        <is>
          <t>Wie sichern Pflege- und Sozialträger Personal, Qualität und Versorgung in einer alternden Gesellschaft?</t>
        </is>
      </c>
      <c r="AD137" s="5" t="inlineStr">
        <is>
          <t>Pflege, Fachkräfte und Sozialwirtschaft: Bundesagentur für Arbeit, Regionaldirektion Rheinland-Pfalz-Saarland (implementation_anchor, 5) + Vinzenz Pallotti University gGmbH (academic_support, 4).</t>
        </is>
      </c>
      <c r="AE137" s="5" t="inlineStr">
        <is>
          <t>Bundesagentur für Arbeit, Regionaldirektion Rheinland-Pfalz-Saarland | Vinzenz Pallotti University gGmbH</t>
        </is>
      </c>
      <c r="AF137" s="5" t="inlineStr">
        <is>
          <t>pflege-fachkraefte-sozialwirtschaft-bundesagentur-für-arbeit-regionaldirektion-rheinland-pfalz-</t>
        </is>
      </c>
    </row>
    <row r="138" ht="30" customHeight="1" s="46">
      <c r="A138" s="5" t="inlineStr">
        <is>
          <t>C0137</t>
        </is>
      </c>
      <c r="B138" s="5" t="inlineStr">
        <is>
          <t>x_0137</t>
        </is>
      </c>
      <c r="C138" s="5" t="n">
        <v>0</v>
      </c>
      <c r="D138" s="5" t="inlineStr">
        <is>
          <t>Caritasverband für die Diözese Speyer e.V.</t>
        </is>
      </c>
      <c r="E138" s="5" t="inlineStr">
        <is>
          <t>Duale Hochschule Rheinland-Pfalz</t>
        </is>
      </c>
      <c r="F138" s="5" t="n">
        <v>14</v>
      </c>
      <c r="G138" s="5" t="n">
        <v>21</v>
      </c>
      <c r="H138" s="5" t="inlineStr">
        <is>
          <t>implementation_anchor</t>
        </is>
      </c>
      <c r="I138" t="inlineStr">
        <is>
          <t>health_social_anchor</t>
        </is>
      </c>
      <c r="J138" s="5" t="inlineStr">
        <is>
          <t>academic_support</t>
        </is>
      </c>
      <c r="K138" t="inlineStr">
        <is>
          <t>university_applied_sciences</t>
        </is>
      </c>
      <c r="L138" s="5" t="inlineStr">
        <is>
          <t>gesellschaft</t>
        </is>
      </c>
      <c r="M138" s="5" t="inlineStr">
        <is>
          <t>pflege_fachkraefte_sozialwirtschaft</t>
        </is>
      </c>
      <c r="N138" s="5" t="inlineStr">
        <is>
          <t>Pflege, Fachkräfte und Sozialwirtschaft</t>
        </is>
      </c>
      <c r="O138" s="5" t="n">
        <v>5</v>
      </c>
      <c r="P138" s="5" t="n">
        <v>4</v>
      </c>
      <c r="Q138" s="5" t="n">
        <v>13</v>
      </c>
      <c r="R138" s="5" t="n">
        <v>4</v>
      </c>
      <c r="S138" s="5" t="n">
        <v>0</v>
      </c>
      <c r="T138" s="5" t="n">
        <v>0</v>
      </c>
      <c r="U138" s="5" t="n">
        <v>2</v>
      </c>
      <c r="V138" s="5" t="n">
        <v>7</v>
      </c>
      <c r="W138" s="5" t="n">
        <v>7</v>
      </c>
      <c r="X138" s="5" t="n">
        <v>0</v>
      </c>
      <c r="Y138" s="5" t="n">
        <v>0</v>
      </c>
      <c r="Z138" s="5" t="n">
        <v>0</v>
      </c>
      <c r="AA138" s="5" t="n">
        <v>0</v>
      </c>
      <c r="AB138" s="5" t="n">
        <v>34.97445</v>
      </c>
      <c r="AC138" s="5" t="inlineStr">
        <is>
          <t>Wie sichern Pflege- und Sozialträger Personal, Qualität und Versorgung in einer alternden Gesellschaft?</t>
        </is>
      </c>
      <c r="AD138" s="5" t="inlineStr">
        <is>
          <t>Pflege, Fachkräfte und Sozialwirtschaft: Caritasverband für die Diözese Speyer e.V. (implementation_anchor, 5) + Duale Hochschule Rheinland-Pfalz (academic_support, 4).</t>
        </is>
      </c>
      <c r="AE138" s="5" t="inlineStr">
        <is>
          <t>Caritasverband für die Diözese Speyer e.V. | Duale Hochschule Rheinland-Pfalz</t>
        </is>
      </c>
      <c r="AF138" s="5" t="inlineStr">
        <is>
          <t>pflege-fachkraefte-sozialwirtschaft-caritasverband-für-die-diözese-speyer-e-v-duale-hochschule-</t>
        </is>
      </c>
    </row>
    <row r="139" ht="30" customHeight="1" s="46">
      <c r="A139" s="5" t="inlineStr">
        <is>
          <t>C0138</t>
        </is>
      </c>
      <c r="B139" s="5" t="inlineStr">
        <is>
          <t>x_0138</t>
        </is>
      </c>
      <c r="C139" s="5" t="n">
        <v>0</v>
      </c>
      <c r="D139" s="5" t="inlineStr">
        <is>
          <t>Caritasverband für die Diözese Speyer e.V.</t>
        </is>
      </c>
      <c r="E139" s="5" t="inlineStr">
        <is>
          <t>Vinzenz Pallotti University gGmbH</t>
        </is>
      </c>
      <c r="F139" s="5" t="n">
        <v>14</v>
      </c>
      <c r="G139" s="5" t="n">
        <v>97</v>
      </c>
      <c r="H139" s="5" t="inlineStr">
        <is>
          <t>implementation_anchor</t>
        </is>
      </c>
      <c r="I139" t="inlineStr">
        <is>
          <t>health_social_anchor</t>
        </is>
      </c>
      <c r="J139" s="5" t="inlineStr">
        <is>
          <t>academic_support</t>
        </is>
      </c>
      <c r="K139" t="inlineStr">
        <is>
          <t>university_research</t>
        </is>
      </c>
      <c r="L139" s="5" t="inlineStr">
        <is>
          <t>gesellschaft</t>
        </is>
      </c>
      <c r="M139" s="5" t="inlineStr">
        <is>
          <t>pflege_fachkraefte_sozialwirtschaft</t>
        </is>
      </c>
      <c r="N139" s="5" t="inlineStr">
        <is>
          <t>Pflege, Fachkräfte und Sozialwirtschaft</t>
        </is>
      </c>
      <c r="O139" s="5" t="n">
        <v>5</v>
      </c>
      <c r="P139" s="5" t="n">
        <v>4</v>
      </c>
      <c r="Q139" s="5" t="n">
        <v>13</v>
      </c>
      <c r="R139" s="5" t="n">
        <v>4</v>
      </c>
      <c r="S139" s="5" t="n">
        <v>0</v>
      </c>
      <c r="T139" s="5" t="n">
        <v>0</v>
      </c>
      <c r="U139" s="5" t="n">
        <v>2</v>
      </c>
      <c r="V139" s="5" t="n">
        <v>7</v>
      </c>
      <c r="W139" s="5" t="n">
        <v>7</v>
      </c>
      <c r="X139" s="5" t="n">
        <v>0</v>
      </c>
      <c r="Y139" s="5" t="n">
        <v>0</v>
      </c>
      <c r="Z139" s="5" t="n">
        <v>0</v>
      </c>
      <c r="AA139" s="5" t="n">
        <v>0</v>
      </c>
      <c r="AB139" s="5" t="n">
        <v>39.84842</v>
      </c>
      <c r="AC139" s="5" t="inlineStr">
        <is>
          <t>Wie sichern Pflege- und Sozialträger Personal, Qualität und Versorgung in einer alternden Gesellschaft?</t>
        </is>
      </c>
      <c r="AD139" s="5" t="inlineStr">
        <is>
          <t>Pflege, Fachkräfte und Sozialwirtschaft: Caritasverband für die Diözese Speyer e.V. (implementation_anchor, 5) + Vinzenz Pallotti University gGmbH (academic_support, 4).</t>
        </is>
      </c>
      <c r="AE139" s="5" t="inlineStr">
        <is>
          <t>Caritasverband für die Diözese Speyer e.V. | Vinzenz Pallotti University gGmbH</t>
        </is>
      </c>
      <c r="AF139" s="5" t="inlineStr">
        <is>
          <t>pflege-fachkraefte-sozialwirtschaft-caritasverband-für-die-diözese-speyer-e-v-vinzenz-pallotti-</t>
        </is>
      </c>
    </row>
    <row r="140" ht="30" customHeight="1" s="46">
      <c r="A140" s="5" t="inlineStr">
        <is>
          <t>C0139</t>
        </is>
      </c>
      <c r="B140" s="5" t="inlineStr">
        <is>
          <t>x_0139</t>
        </is>
      </c>
      <c r="C140" s="5" t="n">
        <v>0</v>
      </c>
      <c r="D140" s="5" t="inlineStr">
        <is>
          <t>Katholische Hochschule Mainz</t>
        </is>
      </c>
      <c r="E140" s="5" t="inlineStr">
        <is>
          <t>LandesPsychotherapeutenKammer Rheinland-Pfalz</t>
        </is>
      </c>
      <c r="F140" s="5" t="n">
        <v>55</v>
      </c>
      <c r="G140" s="5" t="n">
        <v>61</v>
      </c>
      <c r="H140" s="5" t="inlineStr">
        <is>
          <t>academic_support</t>
        </is>
      </c>
      <c r="I140" t="inlineStr">
        <is>
          <t>university_applied_sciences</t>
        </is>
      </c>
      <c r="J140" s="5" t="inlineStr">
        <is>
          <t>implementation_anchor</t>
        </is>
      </c>
      <c r="K140" t="inlineStr">
        <is>
          <t>health_social_anchor</t>
        </is>
      </c>
      <c r="L140" s="5" t="inlineStr">
        <is>
          <t>gesellschaft</t>
        </is>
      </c>
      <c r="M140" s="5" t="inlineStr">
        <is>
          <t>pflege_fachkraefte_sozialwirtschaft</t>
        </is>
      </c>
      <c r="N140" s="5" t="inlineStr">
        <is>
          <t>Pflege, Fachkräfte und Sozialwirtschaft</t>
        </is>
      </c>
      <c r="O140" s="5" t="n">
        <v>5</v>
      </c>
      <c r="P140" s="5" t="n">
        <v>4</v>
      </c>
      <c r="Q140" s="5" t="n">
        <v>13</v>
      </c>
      <c r="R140" s="5" t="n">
        <v>4</v>
      </c>
      <c r="S140" s="5" t="n">
        <v>0</v>
      </c>
      <c r="T140" s="5" t="n">
        <v>0</v>
      </c>
      <c r="U140" s="5" t="n">
        <v>2</v>
      </c>
      <c r="V140" s="5" t="n">
        <v>7</v>
      </c>
      <c r="W140" s="5" t="n">
        <v>7</v>
      </c>
      <c r="X140" s="5" t="n">
        <v>0</v>
      </c>
      <c r="Y140" s="5" t="n">
        <v>0</v>
      </c>
      <c r="Z140" s="5" t="n">
        <v>0</v>
      </c>
      <c r="AA140" s="5" t="n">
        <v>0</v>
      </c>
      <c r="AB140" s="5" t="n">
        <v>34.97445</v>
      </c>
      <c r="AC140" s="5" t="inlineStr">
        <is>
          <t>Wie sichern Pflege- und Sozialträger Personal, Qualität und Versorgung in einer alternden Gesellschaft?</t>
        </is>
      </c>
      <c r="AD140" s="5" t="inlineStr">
        <is>
          <t>Pflege, Fachkräfte und Sozialwirtschaft: Katholische Hochschule Mainz (academic_support, 5) + LandesPsychotherapeutenKammer Rheinland-Pfalz (implementation_anchor, 4).</t>
        </is>
      </c>
      <c r="AE140" s="5" t="inlineStr">
        <is>
          <t>Katholische Hochschule Mainz | LandesPsychotherapeutenKammer Rheinland-Pfalz</t>
        </is>
      </c>
      <c r="AF140" s="5" t="inlineStr">
        <is>
          <t>pflege-fachkraefte-sozialwirtschaft-katholische-hochschule-mainz-landespsychotherapeutenkammer-</t>
        </is>
      </c>
    </row>
    <row r="141" ht="30" customHeight="1" s="46">
      <c r="A141" s="5" t="inlineStr">
        <is>
          <t>C0140</t>
        </is>
      </c>
      <c r="B141" s="5" t="inlineStr">
        <is>
          <t>x_0140</t>
        </is>
      </c>
      <c r="C141" s="5" t="n">
        <v>0</v>
      </c>
      <c r="D141" s="5" t="inlineStr">
        <is>
          <t>Katholische Hochschule Mainz</t>
        </is>
      </c>
      <c r="E141" s="5" t="inlineStr">
        <is>
          <t>Landesärztekammer Rheinland-Pfalz</t>
        </is>
      </c>
      <c r="F141" s="5" t="n">
        <v>55</v>
      </c>
      <c r="G141" s="5" t="n">
        <v>62</v>
      </c>
      <c r="H141" s="5" t="inlineStr">
        <is>
          <t>academic_support</t>
        </is>
      </c>
      <c r="I141" t="inlineStr">
        <is>
          <t>university_applied_sciences</t>
        </is>
      </c>
      <c r="J141" s="5" t="inlineStr">
        <is>
          <t>implementation_anchor</t>
        </is>
      </c>
      <c r="K141" t="inlineStr">
        <is>
          <t>health_social_anchor</t>
        </is>
      </c>
      <c r="L141" s="5" t="inlineStr">
        <is>
          <t>gesellschaft</t>
        </is>
      </c>
      <c r="M141" s="5" t="inlineStr">
        <is>
          <t>pflege_fachkraefte_sozialwirtschaft</t>
        </is>
      </c>
      <c r="N141" s="5" t="inlineStr">
        <is>
          <t>Pflege, Fachkräfte und Sozialwirtschaft</t>
        </is>
      </c>
      <c r="O141" s="5" t="n">
        <v>5</v>
      </c>
      <c r="P141" s="5" t="n">
        <v>4</v>
      </c>
      <c r="Q141" s="5" t="n">
        <v>13</v>
      </c>
      <c r="R141" s="5" t="n">
        <v>4</v>
      </c>
      <c r="S141" s="5" t="n">
        <v>0</v>
      </c>
      <c r="T141" s="5" t="n">
        <v>0</v>
      </c>
      <c r="U141" s="5" t="n">
        <v>2</v>
      </c>
      <c r="V141" s="5" t="n">
        <v>7</v>
      </c>
      <c r="W141" s="5" t="n">
        <v>7</v>
      </c>
      <c r="X141" s="5" t="n">
        <v>0</v>
      </c>
      <c r="Y141" s="5" t="n">
        <v>0</v>
      </c>
      <c r="Z141" s="5" t="n">
        <v>0</v>
      </c>
      <c r="AA141" s="5" t="n">
        <v>0</v>
      </c>
      <c r="AB141" s="5" t="n">
        <v>34.97445</v>
      </c>
      <c r="AC141" s="5" t="inlineStr">
        <is>
          <t>Wie sichern Pflege- und Sozialträger Personal, Qualität und Versorgung in einer alternden Gesellschaft?</t>
        </is>
      </c>
      <c r="AD141" s="5" t="inlineStr">
        <is>
          <t>Pflege, Fachkräfte und Sozialwirtschaft: Katholische Hochschule Mainz (academic_support, 5) + Landesärztekammer Rheinland-Pfalz (implementation_anchor, 4).</t>
        </is>
      </c>
      <c r="AE141" s="5" t="inlineStr">
        <is>
          <t>Katholische Hochschule Mainz | Landesärztekammer Rheinland-Pfalz</t>
        </is>
      </c>
      <c r="AF141" s="5" t="inlineStr">
        <is>
          <t>pflege-fachkraefte-sozialwirtschaft-katholische-hochschule-mainz-landesärztekammer-rheinland-pf</t>
        </is>
      </c>
    </row>
    <row r="142" ht="30" customHeight="1" s="46">
      <c r="A142" s="5" t="inlineStr">
        <is>
          <t>C0141</t>
        </is>
      </c>
      <c r="B142" s="5" t="inlineStr">
        <is>
          <t>x_0141</t>
        </is>
      </c>
      <c r="C142" s="5" t="n">
        <v>0</v>
      </c>
      <c r="D142" s="5" t="inlineStr">
        <is>
          <t>LandesPsychotherapeutenKammer Rheinland-Pfalz</t>
        </is>
      </c>
      <c r="E142" s="5" t="inlineStr">
        <is>
          <t>Leonardo PersonalKonzept GmbH</t>
        </is>
      </c>
      <c r="F142" s="5" t="n">
        <v>61</v>
      </c>
      <c r="G142" s="5" t="n">
        <v>64</v>
      </c>
      <c r="H142" s="5" t="inlineStr">
        <is>
          <t>implementation_anchor</t>
        </is>
      </c>
      <c r="I142" t="inlineStr">
        <is>
          <t>health_social_anchor</t>
        </is>
      </c>
      <c r="J142" s="5" t="inlineStr">
        <is>
          <t>profit_anchor</t>
        </is>
      </c>
      <c r="K142" t="inlineStr">
        <is>
          <t>professional_services_anchor</t>
        </is>
      </c>
      <c r="L142" s="5" t="inlineStr">
        <is>
          <t>gesellschaft</t>
        </is>
      </c>
      <c r="M142" s="5" t="inlineStr">
        <is>
          <t>pflege_fachkraefte_sozialwirtschaft</t>
        </is>
      </c>
      <c r="N142" s="5" t="inlineStr">
        <is>
          <t>Pflege, Fachkräfte und Sozialwirtschaft</t>
        </is>
      </c>
      <c r="O142" s="5" t="n">
        <v>4</v>
      </c>
      <c r="P142" s="5" t="n">
        <v>3</v>
      </c>
      <c r="Q142" s="5" t="n">
        <v>11</v>
      </c>
      <c r="R142" s="5" t="n">
        <v>4</v>
      </c>
      <c r="S142" s="5" t="n">
        <v>0</v>
      </c>
      <c r="T142" s="5" t="n">
        <v>0</v>
      </c>
      <c r="U142" s="5" t="n">
        <v>2</v>
      </c>
      <c r="V142" s="5" t="n">
        <v>8</v>
      </c>
      <c r="W142" s="5" t="n">
        <v>8</v>
      </c>
      <c r="X142" s="5" t="n">
        <v>0</v>
      </c>
      <c r="Y142" s="5" t="n">
        <v>0</v>
      </c>
      <c r="Z142" s="5" t="n">
        <v>0</v>
      </c>
      <c r="AA142" s="5" t="n">
        <v>0</v>
      </c>
      <c r="AB142" s="5" t="n">
        <v>39.238101</v>
      </c>
      <c r="AC142" s="5" t="inlineStr">
        <is>
          <t>Wie sichern Pflege- und Sozialträger Personal, Qualität und Versorgung in einer alternden Gesellschaft?</t>
        </is>
      </c>
      <c r="AD142" s="5" t="inlineStr">
        <is>
          <t>Pflege, Fachkräfte und Sozialwirtschaft: LandesPsychotherapeutenKammer Rheinland-Pfalz (implementation_anchor, 4) + Leonardo PersonalKonzept GmbH (profit_anchor, 3).</t>
        </is>
      </c>
      <c r="AE142" s="5" t="inlineStr">
        <is>
          <t>LandesPsychotherapeutenKammer Rheinland-Pfalz | Leonardo PersonalKonzept GmbH</t>
        </is>
      </c>
      <c r="AF142" s="5" t="inlineStr">
        <is>
          <t>pflege-fachkraefte-sozialwirtschaft-landespsychotherapeutenkammer-rheinland-pfalz-leonardo-pers</t>
        </is>
      </c>
    </row>
    <row r="143" ht="30" customHeight="1" s="46">
      <c r="A143" s="5" t="inlineStr">
        <is>
          <t>C0142</t>
        </is>
      </c>
      <c r="B143" s="5" t="inlineStr">
        <is>
          <t>x_0142</t>
        </is>
      </c>
      <c r="C143" s="5" t="n">
        <v>0</v>
      </c>
      <c r="D143" s="5" t="inlineStr">
        <is>
          <t>Landesärztekammer Rheinland-Pfalz</t>
        </is>
      </c>
      <c r="E143" s="5" t="inlineStr">
        <is>
          <t>Leonardo PersonalKonzept GmbH</t>
        </is>
      </c>
      <c r="F143" s="5" t="n">
        <v>62</v>
      </c>
      <c r="G143" s="5" t="n">
        <v>64</v>
      </c>
      <c r="H143" s="5" t="inlineStr">
        <is>
          <t>implementation_anchor</t>
        </is>
      </c>
      <c r="I143" t="inlineStr">
        <is>
          <t>health_social_anchor</t>
        </is>
      </c>
      <c r="J143" s="5" t="inlineStr">
        <is>
          <t>profit_anchor</t>
        </is>
      </c>
      <c r="K143" t="inlineStr">
        <is>
          <t>professional_services_anchor</t>
        </is>
      </c>
      <c r="L143" s="5" t="inlineStr">
        <is>
          <t>gesellschaft</t>
        </is>
      </c>
      <c r="M143" s="5" t="inlineStr">
        <is>
          <t>pflege_fachkraefte_sozialwirtschaft</t>
        </is>
      </c>
      <c r="N143" s="5" t="inlineStr">
        <is>
          <t>Pflege, Fachkräfte und Sozialwirtschaft</t>
        </is>
      </c>
      <c r="O143" s="5" t="n">
        <v>4</v>
      </c>
      <c r="P143" s="5" t="n">
        <v>3</v>
      </c>
      <c r="Q143" s="5" t="n">
        <v>11</v>
      </c>
      <c r="R143" s="5" t="n">
        <v>4</v>
      </c>
      <c r="S143" s="5" t="n">
        <v>0</v>
      </c>
      <c r="T143" s="5" t="n">
        <v>0</v>
      </c>
      <c r="U143" s="5" t="n">
        <v>2</v>
      </c>
      <c r="V143" s="5" t="n">
        <v>8</v>
      </c>
      <c r="W143" s="5" t="n">
        <v>8</v>
      </c>
      <c r="X143" s="5" t="n">
        <v>0</v>
      </c>
      <c r="Y143" s="5" t="n">
        <v>0</v>
      </c>
      <c r="Z143" s="5" t="n">
        <v>0</v>
      </c>
      <c r="AA143" s="5" t="n">
        <v>0</v>
      </c>
      <c r="AB143" s="5" t="n">
        <v>39.238101</v>
      </c>
      <c r="AC143" s="5" t="inlineStr">
        <is>
          <t>Wie sichern Pflege- und Sozialträger Personal, Qualität und Versorgung in einer alternden Gesellschaft?</t>
        </is>
      </c>
      <c r="AD143" s="5" t="inlineStr">
        <is>
          <t>Pflege, Fachkräfte und Sozialwirtschaft: Landesärztekammer Rheinland-Pfalz (implementation_anchor, 4) + Leonardo PersonalKonzept GmbH (profit_anchor, 3).</t>
        </is>
      </c>
      <c r="AE143" s="5" t="inlineStr">
        <is>
          <t>Landesärztekammer Rheinland-Pfalz | Leonardo PersonalKonzept GmbH</t>
        </is>
      </c>
      <c r="AF143" s="5" t="inlineStr">
        <is>
          <t>pflege-fachkraefte-sozialwirtschaft-landesärztekammer-rheinland-pfalz-leonardo-personalkonzept-</t>
        </is>
      </c>
    </row>
    <row r="144" ht="30" customHeight="1" s="46">
      <c r="A144" s="5" t="inlineStr">
        <is>
          <t>C0143</t>
        </is>
      </c>
      <c r="B144" s="5" t="inlineStr">
        <is>
          <t>x_0143</t>
        </is>
      </c>
      <c r="C144" s="5" t="n">
        <v>0</v>
      </c>
      <c r="D144" s="5" t="inlineStr">
        <is>
          <t>Bundesagentur für Arbeit, Regionaldirektion Rheinland-Pfalz-Saarland</t>
        </is>
      </c>
      <c r="E144" s="5" t="inlineStr">
        <is>
          <t>Hochschule für Gesellschaftsgestaltung (HfGG)</t>
        </is>
      </c>
      <c r="F144" s="5" t="n">
        <v>13</v>
      </c>
      <c r="G144" s="5" t="n">
        <v>34</v>
      </c>
      <c r="H144" s="5" t="inlineStr">
        <is>
          <t>implementation_anchor</t>
        </is>
      </c>
      <c r="I144" t="inlineStr">
        <is>
          <t>public_policy_anchor</t>
        </is>
      </c>
      <c r="J144" s="5" t="inlineStr">
        <is>
          <t>academic_support</t>
        </is>
      </c>
      <c r="K144" t="inlineStr">
        <is>
          <t>university_applied_sciences</t>
        </is>
      </c>
      <c r="L144" s="5" t="inlineStr">
        <is>
          <t>gesellschaft</t>
        </is>
      </c>
      <c r="M144" s="5" t="inlineStr">
        <is>
          <t>teilhabe_inklusion_arbeitsmarkt</t>
        </is>
      </c>
      <c r="N144" s="5" t="inlineStr">
        <is>
          <t>Teilhabe, Inklusion und Arbeitsmarkt</t>
        </is>
      </c>
      <c r="O144" s="5" t="n">
        <v>5</v>
      </c>
      <c r="P144" s="5" t="n">
        <v>4</v>
      </c>
      <c r="Q144" s="5" t="n">
        <v>13</v>
      </c>
      <c r="R144" s="5" t="n">
        <v>4</v>
      </c>
      <c r="S144" s="5" t="n">
        <v>0</v>
      </c>
      <c r="T144" s="5" t="n">
        <v>0</v>
      </c>
      <c r="U144" s="5" t="n">
        <v>2</v>
      </c>
      <c r="V144" s="5" t="n">
        <v>7</v>
      </c>
      <c r="W144" s="5" t="n">
        <v>7</v>
      </c>
      <c r="X144" s="5" t="n">
        <v>0</v>
      </c>
      <c r="Y144" s="5" t="n">
        <v>0</v>
      </c>
      <c r="Z144" s="5" t="n">
        <v>0</v>
      </c>
      <c r="AA144" s="5" t="n">
        <v>0</v>
      </c>
      <c r="AB144" s="5" t="n">
        <v>42.523249</v>
      </c>
      <c r="AC144" s="5" t="inlineStr">
        <is>
          <t>Wie können Menschen mit Familienpflichten, Behinderung oder schwierigen Erwerbsbiografien besser am Arbeitsmarkt teilnehmen?</t>
        </is>
      </c>
      <c r="AD144" s="5" t="inlineStr">
        <is>
          <t>Teilhabe, Inklusion und Arbeitsmarkt: Bundesagentur für Arbeit, Regionaldirektion Rheinland-Pfalz-Saarland (implementation_anchor, 5) + Hochschule für Gesellschaftsgestaltung (HfGG) (academic_support, 4).</t>
        </is>
      </c>
      <c r="AE144" s="5" t="inlineStr">
        <is>
          <t>Bundesagentur für Arbeit, Regionaldirektion Rheinland-Pfalz-Saarland | Hochschule für Gesellschaftsgestaltung (HfGG)</t>
        </is>
      </c>
      <c r="AF144" s="5" t="inlineStr">
        <is>
          <t>teilhabe-inklusion-arbeitsmarkt-bundesagentur-für-arbeit-regionaldirektion-rheinland-pfalz-saar</t>
        </is>
      </c>
    </row>
    <row r="145" ht="30" customHeight="1" s="46">
      <c r="A145" s="5" t="inlineStr">
        <is>
          <t>C0144</t>
        </is>
      </c>
      <c r="B145" s="5" t="inlineStr">
        <is>
          <t>x_0144</t>
        </is>
      </c>
      <c r="C145" s="5" t="n">
        <v>0</v>
      </c>
      <c r="D145" s="5" t="inlineStr">
        <is>
          <t>Bundesagentur für Arbeit, Regionaldirektion Rheinland-Pfalz-Saarland</t>
        </is>
      </c>
      <c r="E145" s="5" t="inlineStr">
        <is>
          <t>Katholische Hochschule Mainz</t>
        </is>
      </c>
      <c r="F145" s="5" t="n">
        <v>13</v>
      </c>
      <c r="G145" s="5" t="n">
        <v>55</v>
      </c>
      <c r="H145" s="5" t="inlineStr">
        <is>
          <t>implementation_anchor</t>
        </is>
      </c>
      <c r="I145" t="inlineStr">
        <is>
          <t>public_policy_anchor</t>
        </is>
      </c>
      <c r="J145" s="5" t="inlineStr">
        <is>
          <t>academic_support</t>
        </is>
      </c>
      <c r="K145" t="inlineStr">
        <is>
          <t>university_applied_sciences</t>
        </is>
      </c>
      <c r="L145" s="5" t="inlineStr">
        <is>
          <t>gesellschaft</t>
        </is>
      </c>
      <c r="M145" s="5" t="inlineStr">
        <is>
          <t>teilhabe_inklusion_arbeitsmarkt</t>
        </is>
      </c>
      <c r="N145" s="5" t="inlineStr">
        <is>
          <t>Teilhabe, Inklusion und Arbeitsmarkt</t>
        </is>
      </c>
      <c r="O145" s="5" t="n">
        <v>5</v>
      </c>
      <c r="P145" s="5" t="n">
        <v>4</v>
      </c>
      <c r="Q145" s="5" t="n">
        <v>13</v>
      </c>
      <c r="R145" s="5" t="n">
        <v>4</v>
      </c>
      <c r="S145" s="5" t="n">
        <v>0</v>
      </c>
      <c r="T145" s="5" t="n">
        <v>0</v>
      </c>
      <c r="U145" s="5" t="n">
        <v>2</v>
      </c>
      <c r="V145" s="5" t="n">
        <v>7</v>
      </c>
      <c r="W145" s="5" t="n">
        <v>7</v>
      </c>
      <c r="X145" s="5" t="n">
        <v>0</v>
      </c>
      <c r="Y145" s="5" t="n">
        <v>0</v>
      </c>
      <c r="Z145" s="5" t="n">
        <v>0</v>
      </c>
      <c r="AA145" s="5" t="n">
        <v>0</v>
      </c>
      <c r="AB145" s="5" t="n">
        <v>42.523249</v>
      </c>
      <c r="AC145" s="5" t="inlineStr">
        <is>
          <t>Wie können Menschen mit Familienpflichten, Behinderung oder schwierigen Erwerbsbiografien besser am Arbeitsmarkt teilnehmen?</t>
        </is>
      </c>
      <c r="AD145" s="5" t="inlineStr">
        <is>
          <t>Teilhabe, Inklusion und Arbeitsmarkt: Bundesagentur für Arbeit, Regionaldirektion Rheinland-Pfalz-Saarland (implementation_anchor, 5) + Katholische Hochschule Mainz (academic_support, 4).</t>
        </is>
      </c>
      <c r="AE145" s="5" t="inlineStr">
        <is>
          <t>Bundesagentur für Arbeit, Regionaldirektion Rheinland-Pfalz-Saarland | Katholische Hochschule Mainz</t>
        </is>
      </c>
      <c r="AF145" s="5" t="inlineStr">
        <is>
          <t>teilhabe-inklusion-arbeitsmarkt-bundesagentur-für-arbeit-regionaldirektion-rheinland-pfalz-saar</t>
        </is>
      </c>
    </row>
    <row r="146" ht="30" customHeight="1" s="46">
      <c r="A146" s="5" t="inlineStr">
        <is>
          <t>C0145</t>
        </is>
      </c>
      <c r="B146" s="5" t="inlineStr">
        <is>
          <t>x_0145</t>
        </is>
      </c>
      <c r="C146" s="5" t="n">
        <v>0</v>
      </c>
      <c r="D146" s="5" t="inlineStr">
        <is>
          <t>Bundesagentur für Arbeit, Regionaldirektion Rheinland-Pfalz-Saarland</t>
        </is>
      </c>
      <c r="E146" s="5" t="inlineStr">
        <is>
          <t>Vinzenz Pallotti University gGmbH</t>
        </is>
      </c>
      <c r="F146" s="5" t="n">
        <v>13</v>
      </c>
      <c r="G146" s="5" t="n">
        <v>97</v>
      </c>
      <c r="H146" s="5" t="inlineStr">
        <is>
          <t>implementation_anchor</t>
        </is>
      </c>
      <c r="I146" t="inlineStr">
        <is>
          <t>public_policy_anchor</t>
        </is>
      </c>
      <c r="J146" s="5" t="inlineStr">
        <is>
          <t>academic_support</t>
        </is>
      </c>
      <c r="K146" t="inlineStr">
        <is>
          <t>university_research</t>
        </is>
      </c>
      <c r="L146" s="5" t="inlineStr">
        <is>
          <t>gesellschaft</t>
        </is>
      </c>
      <c r="M146" s="5" t="inlineStr">
        <is>
          <t>teilhabe_inklusion_arbeitsmarkt</t>
        </is>
      </c>
      <c r="N146" s="5" t="inlineStr">
        <is>
          <t>Teilhabe, Inklusion und Arbeitsmarkt</t>
        </is>
      </c>
      <c r="O146" s="5" t="n">
        <v>5</v>
      </c>
      <c r="P146" s="5" t="n">
        <v>4</v>
      </c>
      <c r="Q146" s="5" t="n">
        <v>13</v>
      </c>
      <c r="R146" s="5" t="n">
        <v>4</v>
      </c>
      <c r="S146" s="5" t="n">
        <v>0</v>
      </c>
      <c r="T146" s="5" t="n">
        <v>0</v>
      </c>
      <c r="U146" s="5" t="n">
        <v>2</v>
      </c>
      <c r="V146" s="5" t="n">
        <v>7</v>
      </c>
      <c r="W146" s="5" t="n">
        <v>7</v>
      </c>
      <c r="X146" s="5" t="n">
        <v>0</v>
      </c>
      <c r="Y146" s="5" t="n">
        <v>0</v>
      </c>
      <c r="Z146" s="5" t="n">
        <v>0</v>
      </c>
      <c r="AA146" s="5" t="n">
        <v>0</v>
      </c>
      <c r="AB146" s="5" t="n">
        <v>46.614494</v>
      </c>
      <c r="AC146" s="5" t="inlineStr">
        <is>
          <t>Wie können Menschen mit Familienpflichten, Behinderung oder schwierigen Erwerbsbiografien besser am Arbeitsmarkt teilnehmen?</t>
        </is>
      </c>
      <c r="AD146" s="5" t="inlineStr">
        <is>
          <t>Teilhabe, Inklusion und Arbeitsmarkt: Bundesagentur für Arbeit, Regionaldirektion Rheinland-Pfalz-Saarland (implementation_anchor, 5) + Vinzenz Pallotti University gGmbH (academic_support, 4).</t>
        </is>
      </c>
      <c r="AE146" s="5" t="inlineStr">
        <is>
          <t>Bundesagentur für Arbeit, Regionaldirektion Rheinland-Pfalz-Saarland | Vinzenz Pallotti University gGmbH</t>
        </is>
      </c>
      <c r="AF146" s="5" t="inlineStr">
        <is>
          <t>teilhabe-inklusion-arbeitsmarkt-bundesagentur-für-arbeit-regionaldirektion-rheinland-pfalz-saar</t>
        </is>
      </c>
    </row>
    <row r="147" ht="30" customHeight="1" s="46">
      <c r="A147" s="5" t="inlineStr">
        <is>
          <t>C0146</t>
        </is>
      </c>
      <c r="B147" s="5" t="inlineStr">
        <is>
          <t>x_0146</t>
        </is>
      </c>
      <c r="C147" s="5" t="n">
        <v>0</v>
      </c>
      <c r="D147" s="5" t="inlineStr">
        <is>
          <t>Caritasverband für die Diözese Speyer e.V.</t>
        </is>
      </c>
      <c r="E147" s="5" t="inlineStr">
        <is>
          <t>Hochschule für Gesellschaftsgestaltung (HfGG)</t>
        </is>
      </c>
      <c r="F147" s="5" t="n">
        <v>14</v>
      </c>
      <c r="G147" s="5" t="n">
        <v>34</v>
      </c>
      <c r="H147" s="5" t="inlineStr">
        <is>
          <t>implementation_anchor</t>
        </is>
      </c>
      <c r="I147" t="inlineStr">
        <is>
          <t>health_social_anchor</t>
        </is>
      </c>
      <c r="J147" s="5" t="inlineStr">
        <is>
          <t>academic_support</t>
        </is>
      </c>
      <c r="K147" t="inlineStr">
        <is>
          <t>university_applied_sciences</t>
        </is>
      </c>
      <c r="L147" s="5" t="inlineStr">
        <is>
          <t>gesellschaft</t>
        </is>
      </c>
      <c r="M147" s="5" t="inlineStr">
        <is>
          <t>teilhabe_inklusion_arbeitsmarkt</t>
        </is>
      </c>
      <c r="N147" s="5" t="inlineStr">
        <is>
          <t>Teilhabe, Inklusion und Arbeitsmarkt</t>
        </is>
      </c>
      <c r="O147" s="5" t="n">
        <v>5</v>
      </c>
      <c r="P147" s="5" t="n">
        <v>4</v>
      </c>
      <c r="Q147" s="5" t="n">
        <v>13</v>
      </c>
      <c r="R147" s="5" t="n">
        <v>4</v>
      </c>
      <c r="S147" s="5" t="n">
        <v>0</v>
      </c>
      <c r="T147" s="5" t="n">
        <v>0</v>
      </c>
      <c r="U147" s="5" t="n">
        <v>2</v>
      </c>
      <c r="V147" s="5" t="n">
        <v>7</v>
      </c>
      <c r="W147" s="5" t="n">
        <v>7</v>
      </c>
      <c r="X147" s="5" t="n">
        <v>0</v>
      </c>
      <c r="Y147" s="5" t="n">
        <v>0</v>
      </c>
      <c r="Z147" s="5" t="n">
        <v>0</v>
      </c>
      <c r="AA147" s="5" t="n">
        <v>0</v>
      </c>
      <c r="AB147" s="5" t="n">
        <v>34.97445</v>
      </c>
      <c r="AC147" s="5" t="inlineStr">
        <is>
          <t>Wie können Menschen mit Familienpflichten, Behinderung oder schwierigen Erwerbsbiografien besser am Arbeitsmarkt teilnehmen?</t>
        </is>
      </c>
      <c r="AD147" s="5" t="inlineStr">
        <is>
          <t>Teilhabe, Inklusion und Arbeitsmarkt: Caritasverband für die Diözese Speyer e.V. (implementation_anchor, 5) + Hochschule für Gesellschaftsgestaltung (HfGG) (academic_support, 4).</t>
        </is>
      </c>
      <c r="AE147" s="5" t="inlineStr">
        <is>
          <t>Caritasverband für die Diözese Speyer e.V. | Hochschule für Gesellschaftsgestaltung (HfGG)</t>
        </is>
      </c>
      <c r="AF147" s="5" t="inlineStr">
        <is>
          <t>teilhabe-inklusion-arbeitsmarkt-caritasverband-für-die-diözese-speyer-e-v-hochschule-für-gesell</t>
        </is>
      </c>
    </row>
    <row r="148" ht="30" customHeight="1" s="46">
      <c r="A148" s="5" t="inlineStr">
        <is>
          <t>C0147</t>
        </is>
      </c>
      <c r="B148" s="5" t="inlineStr">
        <is>
          <t>x_0147</t>
        </is>
      </c>
      <c r="C148" s="5" t="n">
        <v>0</v>
      </c>
      <c r="D148" s="5" t="inlineStr">
        <is>
          <t>Caritasverband für die Diözese Speyer e.V.</t>
        </is>
      </c>
      <c r="E148" s="5" t="inlineStr">
        <is>
          <t>Katholische Hochschule Mainz</t>
        </is>
      </c>
      <c r="F148" s="5" t="n">
        <v>14</v>
      </c>
      <c r="G148" s="5" t="n">
        <v>55</v>
      </c>
      <c r="H148" s="5" t="inlineStr">
        <is>
          <t>implementation_anchor</t>
        </is>
      </c>
      <c r="I148" t="inlineStr">
        <is>
          <t>health_social_anchor</t>
        </is>
      </c>
      <c r="J148" s="5" t="inlineStr">
        <is>
          <t>academic_support</t>
        </is>
      </c>
      <c r="K148" t="inlineStr">
        <is>
          <t>university_applied_sciences</t>
        </is>
      </c>
      <c r="L148" s="5" t="inlineStr">
        <is>
          <t>gesellschaft</t>
        </is>
      </c>
      <c r="M148" s="5" t="inlineStr">
        <is>
          <t>teilhabe_inklusion_arbeitsmarkt</t>
        </is>
      </c>
      <c r="N148" s="5" t="inlineStr">
        <is>
          <t>Teilhabe, Inklusion und Arbeitsmarkt</t>
        </is>
      </c>
      <c r="O148" s="5" t="n">
        <v>5</v>
      </c>
      <c r="P148" s="5" t="n">
        <v>4</v>
      </c>
      <c r="Q148" s="5" t="n">
        <v>13</v>
      </c>
      <c r="R148" s="5" t="n">
        <v>4</v>
      </c>
      <c r="S148" s="5" t="n">
        <v>0</v>
      </c>
      <c r="T148" s="5" t="n">
        <v>0</v>
      </c>
      <c r="U148" s="5" t="n">
        <v>2</v>
      </c>
      <c r="V148" s="5" t="n">
        <v>7</v>
      </c>
      <c r="W148" s="5" t="n">
        <v>7</v>
      </c>
      <c r="X148" s="5" t="n">
        <v>0</v>
      </c>
      <c r="Y148" s="5" t="n">
        <v>0</v>
      </c>
      <c r="Z148" s="5" t="n">
        <v>0</v>
      </c>
      <c r="AA148" s="5" t="n">
        <v>0</v>
      </c>
      <c r="AB148" s="5" t="n">
        <v>34.97445</v>
      </c>
      <c r="AC148" s="5" t="inlineStr">
        <is>
          <t>Wie können Menschen mit Familienpflichten, Behinderung oder schwierigen Erwerbsbiografien besser am Arbeitsmarkt teilnehmen?</t>
        </is>
      </c>
      <c r="AD148" s="5" t="inlineStr">
        <is>
          <t>Teilhabe, Inklusion und Arbeitsmarkt: Caritasverband für die Diözese Speyer e.V. (implementation_anchor, 5) + Katholische Hochschule Mainz (academic_support, 4).</t>
        </is>
      </c>
      <c r="AE148" s="5" t="inlineStr">
        <is>
          <t>Caritasverband für die Diözese Speyer e.V. | Katholische Hochschule Mainz</t>
        </is>
      </c>
      <c r="AF148" s="5" t="inlineStr">
        <is>
          <t>teilhabe-inklusion-arbeitsmarkt-caritasverband-für-die-diözese-speyer-e-v-katholische-hochschul</t>
        </is>
      </c>
    </row>
    <row r="149" ht="30" customHeight="1" s="46">
      <c r="A149" s="5" t="inlineStr">
        <is>
          <t>C0148</t>
        </is>
      </c>
      <c r="B149" s="5" t="inlineStr">
        <is>
          <t>x_0148</t>
        </is>
      </c>
      <c r="C149" s="5" t="n">
        <v>0</v>
      </c>
      <c r="D149" s="5" t="inlineStr">
        <is>
          <t>Caritasverband für die Diözese Speyer e.V.</t>
        </is>
      </c>
      <c r="E149" s="5" t="inlineStr">
        <is>
          <t>Vinzenz Pallotti University gGmbH</t>
        </is>
      </c>
      <c r="F149" s="5" t="n">
        <v>14</v>
      </c>
      <c r="G149" s="5" t="n">
        <v>97</v>
      </c>
      <c r="H149" s="5" t="inlineStr">
        <is>
          <t>implementation_anchor</t>
        </is>
      </c>
      <c r="I149" t="inlineStr">
        <is>
          <t>health_social_anchor</t>
        </is>
      </c>
      <c r="J149" s="5" t="inlineStr">
        <is>
          <t>academic_support</t>
        </is>
      </c>
      <c r="K149" t="inlineStr">
        <is>
          <t>university_research</t>
        </is>
      </c>
      <c r="L149" s="5" t="inlineStr">
        <is>
          <t>gesellschaft</t>
        </is>
      </c>
      <c r="M149" s="5" t="inlineStr">
        <is>
          <t>teilhabe_inklusion_arbeitsmarkt</t>
        </is>
      </c>
      <c r="N149" s="5" t="inlineStr">
        <is>
          <t>Teilhabe, Inklusion und Arbeitsmarkt</t>
        </is>
      </c>
      <c r="O149" s="5" t="n">
        <v>5</v>
      </c>
      <c r="P149" s="5" t="n">
        <v>4</v>
      </c>
      <c r="Q149" s="5" t="n">
        <v>13</v>
      </c>
      <c r="R149" s="5" t="n">
        <v>4</v>
      </c>
      <c r="S149" s="5" t="n">
        <v>0</v>
      </c>
      <c r="T149" s="5" t="n">
        <v>0</v>
      </c>
      <c r="U149" s="5" t="n">
        <v>2</v>
      </c>
      <c r="V149" s="5" t="n">
        <v>7</v>
      </c>
      <c r="W149" s="5" t="n">
        <v>7</v>
      </c>
      <c r="X149" s="5" t="n">
        <v>0</v>
      </c>
      <c r="Y149" s="5" t="n">
        <v>0</v>
      </c>
      <c r="Z149" s="5" t="n">
        <v>0</v>
      </c>
      <c r="AA149" s="5" t="n">
        <v>0</v>
      </c>
      <c r="AB149" s="5" t="n">
        <v>39.84842</v>
      </c>
      <c r="AC149" s="5" t="inlineStr">
        <is>
          <t>Wie können Menschen mit Familienpflichten, Behinderung oder schwierigen Erwerbsbiografien besser am Arbeitsmarkt teilnehmen?</t>
        </is>
      </c>
      <c r="AD149" s="5" t="inlineStr">
        <is>
          <t>Teilhabe, Inklusion und Arbeitsmarkt: Caritasverband für die Diözese Speyer e.V. (implementation_anchor, 5) + Vinzenz Pallotti University gGmbH (academic_support, 4).</t>
        </is>
      </c>
      <c r="AE149" s="5" t="inlineStr">
        <is>
          <t>Caritasverband für die Diözese Speyer e.V. | Vinzenz Pallotti University gGmbH</t>
        </is>
      </c>
      <c r="AF149" s="5" t="inlineStr">
        <is>
          <t>teilhabe-inklusion-arbeitsmarkt-caritasverband-für-die-diözese-speyer-e-v-vinzenz-pallotti-univ</t>
        </is>
      </c>
    </row>
    <row r="150" ht="30" customHeight="1" s="46">
      <c r="A150" s="5" t="inlineStr">
        <is>
          <t>C0149</t>
        </is>
      </c>
      <c r="B150" s="5" t="inlineStr">
        <is>
          <t>x_0149</t>
        </is>
      </c>
      <c r="C150" s="5" t="n">
        <v>0</v>
      </c>
      <c r="D150" s="5" t="inlineStr">
        <is>
          <t>Bundesagentur für Arbeit, Regionaldirektion Rheinland-Pfalz-Saarland</t>
        </is>
      </c>
      <c r="E150" s="5" t="inlineStr">
        <is>
          <t>Hochschule Koblenz</t>
        </is>
      </c>
      <c r="F150" s="5" t="n">
        <v>13</v>
      </c>
      <c r="G150" s="5" t="n">
        <v>38</v>
      </c>
      <c r="H150" s="5" t="inlineStr">
        <is>
          <t>implementation_anchor</t>
        </is>
      </c>
      <c r="I150" t="inlineStr">
        <is>
          <t>public_policy_anchor</t>
        </is>
      </c>
      <c r="J150" s="5" t="inlineStr">
        <is>
          <t>academic_support</t>
        </is>
      </c>
      <c r="K150" t="inlineStr">
        <is>
          <t>university_applied_sciences</t>
        </is>
      </c>
      <c r="L150" s="5" t="inlineStr">
        <is>
          <t>wissen</t>
        </is>
      </c>
      <c r="M150" s="5" t="inlineStr">
        <is>
          <t>weiterbildung_lebenslanges_lernen</t>
        </is>
      </c>
      <c r="N150" s="5" t="inlineStr">
        <is>
          <t>Weiterbildung und lebenslanges Lernen</t>
        </is>
      </c>
      <c r="O150" s="5" t="n">
        <v>5</v>
      </c>
      <c r="P150" s="5" t="n">
        <v>4</v>
      </c>
      <c r="Q150" s="5" t="n">
        <v>13</v>
      </c>
      <c r="R150" s="5" t="n">
        <v>4</v>
      </c>
      <c r="S150" s="5" t="n">
        <v>0</v>
      </c>
      <c r="T150" s="5" t="n">
        <v>0</v>
      </c>
      <c r="U150" s="5" t="n">
        <v>2</v>
      </c>
      <c r="V150" s="5" t="n">
        <v>7</v>
      </c>
      <c r="W150" s="5" t="n">
        <v>7</v>
      </c>
      <c r="X150" s="5" t="n">
        <v>0</v>
      </c>
      <c r="Y150" s="5" t="n">
        <v>0</v>
      </c>
      <c r="Z150" s="5" t="n">
        <v>0</v>
      </c>
      <c r="AA150" s="5" t="n">
        <v>0</v>
      </c>
      <c r="AB150" s="5" t="n">
        <v>42.523249</v>
      </c>
      <c r="AC150" s="5" t="inlineStr">
        <is>
          <t>Wie können Beschäftigte, Verwaltung und Unternehmen Weiterbildung in reale Transformationsprozesse integrieren?</t>
        </is>
      </c>
      <c r="AD150" s="5" t="inlineStr">
        <is>
          <t>Weiterbildung und lebenslanges Lernen: Bundesagentur für Arbeit, Regionaldirektion Rheinland-Pfalz-Saarland (implementation_anchor, 5) + Hochschule Koblenz (academic_support, 4).</t>
        </is>
      </c>
      <c r="AE150" s="5" t="inlineStr">
        <is>
          <t>Bundesagentur für Arbeit, Regionaldirektion Rheinland-Pfalz-Saarland | Hochschule Koblenz</t>
        </is>
      </c>
      <c r="AF150" s="5" t="inlineStr">
        <is>
          <t>weiterbildung-lebenslanges-lernen-bundesagentur-für-arbeit-regionaldirektion-rheinland-pfalz-sa</t>
        </is>
      </c>
    </row>
    <row r="151" ht="30" customHeight="1" s="46">
      <c r="A151" s="5" t="inlineStr">
        <is>
          <t>C0150</t>
        </is>
      </c>
      <c r="B151" s="5" t="inlineStr">
        <is>
          <t>x_0150</t>
        </is>
      </c>
      <c r="C151" s="5" t="n">
        <v>0</v>
      </c>
      <c r="D151" s="5" t="inlineStr">
        <is>
          <t>Bundesagentur für Arbeit, Regionaldirektion Rheinland-Pfalz-Saarland</t>
        </is>
      </c>
      <c r="E151" s="5" t="inlineStr">
        <is>
          <t>Hochschule Trier</t>
        </is>
      </c>
      <c r="F151" s="5" t="n">
        <v>13</v>
      </c>
      <c r="G151" s="5" t="n">
        <v>40</v>
      </c>
      <c r="H151" s="5" t="inlineStr">
        <is>
          <t>implementation_anchor</t>
        </is>
      </c>
      <c r="I151" t="inlineStr">
        <is>
          <t>public_policy_anchor</t>
        </is>
      </c>
      <c r="J151" s="5" t="inlineStr">
        <is>
          <t>academic_support</t>
        </is>
      </c>
      <c r="K151" t="inlineStr">
        <is>
          <t>university_applied_sciences</t>
        </is>
      </c>
      <c r="L151" s="5" t="inlineStr">
        <is>
          <t>wissen</t>
        </is>
      </c>
      <c r="M151" s="5" t="inlineStr">
        <is>
          <t>weiterbildung_lebenslanges_lernen</t>
        </is>
      </c>
      <c r="N151" s="5" t="inlineStr">
        <is>
          <t>Weiterbildung und lebenslanges Lernen</t>
        </is>
      </c>
      <c r="O151" s="5" t="n">
        <v>5</v>
      </c>
      <c r="P151" s="5" t="n">
        <v>4</v>
      </c>
      <c r="Q151" s="5" t="n">
        <v>13</v>
      </c>
      <c r="R151" s="5" t="n">
        <v>4</v>
      </c>
      <c r="S151" s="5" t="n">
        <v>0</v>
      </c>
      <c r="T151" s="5" t="n">
        <v>0</v>
      </c>
      <c r="U151" s="5" t="n">
        <v>2</v>
      </c>
      <c r="V151" s="5" t="n">
        <v>7</v>
      </c>
      <c r="W151" s="5" t="n">
        <v>7</v>
      </c>
      <c r="X151" s="5" t="n">
        <v>0</v>
      </c>
      <c r="Y151" s="5" t="n">
        <v>0</v>
      </c>
      <c r="Z151" s="5" t="n">
        <v>0</v>
      </c>
      <c r="AA151" s="5" t="n">
        <v>0</v>
      </c>
      <c r="AB151" s="5" t="n">
        <v>42.523249</v>
      </c>
      <c r="AC151" s="5" t="inlineStr">
        <is>
          <t>Wie können Beschäftigte, Verwaltung und Unternehmen Weiterbildung in reale Transformationsprozesse integrieren?</t>
        </is>
      </c>
      <c r="AD151" s="5" t="inlineStr">
        <is>
          <t>Weiterbildung und lebenslanges Lernen: Bundesagentur für Arbeit, Regionaldirektion Rheinland-Pfalz-Saarland (implementation_anchor, 5) + Hochschule Trier (academic_support, 4).</t>
        </is>
      </c>
      <c r="AE151" s="5" t="inlineStr">
        <is>
          <t>Bundesagentur für Arbeit, Regionaldirektion Rheinland-Pfalz-Saarland | Hochschule Trier</t>
        </is>
      </c>
      <c r="AF151" s="5" t="inlineStr">
        <is>
          <t>weiterbildung-lebenslanges-lernen-bundesagentur-für-arbeit-regionaldirektion-rheinland-pfalz-sa</t>
        </is>
      </c>
    </row>
    <row r="152" ht="30" customHeight="1" s="46">
      <c r="A152" s="5" t="inlineStr">
        <is>
          <t>C0151</t>
        </is>
      </c>
      <c r="B152" s="5" t="inlineStr">
        <is>
          <t>x_0151</t>
        </is>
      </c>
      <c r="C152" s="5" t="n">
        <v>0</v>
      </c>
      <c r="D152" s="5" t="inlineStr">
        <is>
          <t>Bundesagentur für Arbeit, Regionaldirektion Rheinland-Pfalz-Saarland</t>
        </is>
      </c>
      <c r="E152" s="5" t="inlineStr">
        <is>
          <t>Hochschule Worms</t>
        </is>
      </c>
      <c r="F152" s="5" t="n">
        <v>13</v>
      </c>
      <c r="G152" s="5" t="n">
        <v>41</v>
      </c>
      <c r="H152" s="5" t="inlineStr">
        <is>
          <t>implementation_anchor</t>
        </is>
      </c>
      <c r="I152" t="inlineStr">
        <is>
          <t>public_policy_anchor</t>
        </is>
      </c>
      <c r="J152" s="5" t="inlineStr">
        <is>
          <t>academic_support</t>
        </is>
      </c>
      <c r="K152" t="inlineStr">
        <is>
          <t>university_applied_sciences</t>
        </is>
      </c>
      <c r="L152" s="5" t="inlineStr">
        <is>
          <t>wissen</t>
        </is>
      </c>
      <c r="M152" s="5" t="inlineStr">
        <is>
          <t>weiterbildung_lebenslanges_lernen</t>
        </is>
      </c>
      <c r="N152" s="5" t="inlineStr">
        <is>
          <t>Weiterbildung und lebenslanges Lernen</t>
        </is>
      </c>
      <c r="O152" s="5" t="n">
        <v>5</v>
      </c>
      <c r="P152" s="5" t="n">
        <v>4</v>
      </c>
      <c r="Q152" s="5" t="n">
        <v>13</v>
      </c>
      <c r="R152" s="5" t="n">
        <v>4</v>
      </c>
      <c r="S152" s="5" t="n">
        <v>0</v>
      </c>
      <c r="T152" s="5" t="n">
        <v>0</v>
      </c>
      <c r="U152" s="5" t="n">
        <v>2</v>
      </c>
      <c r="V152" s="5" t="n">
        <v>7</v>
      </c>
      <c r="W152" s="5" t="n">
        <v>7</v>
      </c>
      <c r="X152" s="5" t="n">
        <v>0</v>
      </c>
      <c r="Y152" s="5" t="n">
        <v>0</v>
      </c>
      <c r="Z152" s="5" t="n">
        <v>0</v>
      </c>
      <c r="AA152" s="5" t="n">
        <v>0</v>
      </c>
      <c r="AB152" s="5" t="n">
        <v>42.523249</v>
      </c>
      <c r="AC152" s="5" t="inlineStr">
        <is>
          <t>Wie können Beschäftigte, Verwaltung und Unternehmen Weiterbildung in reale Transformationsprozesse integrieren?</t>
        </is>
      </c>
      <c r="AD152" s="5" t="inlineStr">
        <is>
          <t>Weiterbildung und lebenslanges Lernen: Bundesagentur für Arbeit, Regionaldirektion Rheinland-Pfalz-Saarland (implementation_anchor, 5) + Hochschule Worms (academic_support, 4).</t>
        </is>
      </c>
      <c r="AE152" s="5" t="inlineStr">
        <is>
          <t>Bundesagentur für Arbeit, Regionaldirektion Rheinland-Pfalz-Saarland | Hochschule Worms</t>
        </is>
      </c>
      <c r="AF152" s="5" t="inlineStr">
        <is>
          <t>weiterbildung-lebenslanges-lernen-bundesagentur-für-arbeit-regionaldirektion-rheinland-pfalz-sa</t>
        </is>
      </c>
    </row>
    <row r="153" ht="30" customHeight="1" s="46">
      <c r="A153" s="5" t="inlineStr">
        <is>
          <t>C0152</t>
        </is>
      </c>
      <c r="B153" s="5" t="inlineStr">
        <is>
          <t>x_0152</t>
        </is>
      </c>
      <c r="C153" s="5" t="n">
        <v>0</v>
      </c>
      <c r="D153" s="5" t="inlineStr">
        <is>
          <t>Bundesagentur für Arbeit, Regionaldirektion Rheinland-Pfalz-Saarland</t>
        </is>
      </c>
      <c r="E153" s="5" t="inlineStr">
        <is>
          <t>Hochschule für Wirtschaft und Gesellschaft Ludwigshafen</t>
        </is>
      </c>
      <c r="F153" s="5" t="n">
        <v>13</v>
      </c>
      <c r="G153" s="5" t="n">
        <v>36</v>
      </c>
      <c r="H153" s="5" t="inlineStr">
        <is>
          <t>implementation_anchor</t>
        </is>
      </c>
      <c r="I153" t="inlineStr">
        <is>
          <t>public_policy_anchor</t>
        </is>
      </c>
      <c r="J153" s="5" t="inlineStr">
        <is>
          <t>academic_support</t>
        </is>
      </c>
      <c r="K153" t="inlineStr">
        <is>
          <t>university_applied_sciences</t>
        </is>
      </c>
      <c r="L153" s="5" t="inlineStr">
        <is>
          <t>wissen</t>
        </is>
      </c>
      <c r="M153" s="5" t="inlineStr">
        <is>
          <t>weiterbildung_lebenslanges_lernen</t>
        </is>
      </c>
      <c r="N153" s="5" t="inlineStr">
        <is>
          <t>Weiterbildung und lebenslanges Lernen</t>
        </is>
      </c>
      <c r="O153" s="5" t="n">
        <v>5</v>
      </c>
      <c r="P153" s="5" t="n">
        <v>4</v>
      </c>
      <c r="Q153" s="5" t="n">
        <v>13</v>
      </c>
      <c r="R153" s="5" t="n">
        <v>4</v>
      </c>
      <c r="S153" s="5" t="n">
        <v>0</v>
      </c>
      <c r="T153" s="5" t="n">
        <v>0</v>
      </c>
      <c r="U153" s="5" t="n">
        <v>2</v>
      </c>
      <c r="V153" s="5" t="n">
        <v>7</v>
      </c>
      <c r="W153" s="5" t="n">
        <v>7</v>
      </c>
      <c r="X153" s="5" t="n">
        <v>0</v>
      </c>
      <c r="Y153" s="5" t="n">
        <v>0</v>
      </c>
      <c r="Z153" s="5" t="n">
        <v>0</v>
      </c>
      <c r="AA153" s="5" t="n">
        <v>0</v>
      </c>
      <c r="AB153" s="5" t="n">
        <v>42.523249</v>
      </c>
      <c r="AC153" s="5" t="inlineStr">
        <is>
          <t>Wie können Beschäftigte, Verwaltung und Unternehmen Weiterbildung in reale Transformationsprozesse integrieren?</t>
        </is>
      </c>
      <c r="AD153" s="5" t="inlineStr">
        <is>
          <t>Weiterbildung und lebenslanges Lernen: Bundesagentur für Arbeit, Regionaldirektion Rheinland-Pfalz-Saarland (implementation_anchor, 5) + Hochschule für Wirtschaft und Gesellschaft Ludwigshafen (academic_support, 4).</t>
        </is>
      </c>
      <c r="AE153" s="5" t="inlineStr">
        <is>
          <t>Bundesagentur für Arbeit, Regionaldirektion Rheinland-Pfalz-Saarland | Hochschule für Wirtschaft und Gesellschaft Ludwigshafen</t>
        </is>
      </c>
      <c r="AF153" s="5" t="inlineStr">
        <is>
          <t>weiterbildung-lebenslanges-lernen-bundesagentur-für-arbeit-regionaldirektion-rheinland-pfalz-sa</t>
        </is>
      </c>
    </row>
    <row r="154" ht="30" customHeight="1" s="46">
      <c r="A154" s="5" t="inlineStr">
        <is>
          <t>C0153</t>
        </is>
      </c>
      <c r="B154" s="5" t="inlineStr">
        <is>
          <t>x_0153</t>
        </is>
      </c>
      <c r="C154" s="5" t="n">
        <v>0</v>
      </c>
      <c r="D154" s="5" t="inlineStr">
        <is>
          <t>Bundesagentur für Arbeit, Regionaldirektion Rheinland-Pfalz-Saarland</t>
        </is>
      </c>
      <c r="E154" s="5" t="inlineStr">
        <is>
          <t>Katholische Hochschule Mainz</t>
        </is>
      </c>
      <c r="F154" s="5" t="n">
        <v>13</v>
      </c>
      <c r="G154" s="5" t="n">
        <v>55</v>
      </c>
      <c r="H154" s="5" t="inlineStr">
        <is>
          <t>implementation_anchor</t>
        </is>
      </c>
      <c r="I154" t="inlineStr">
        <is>
          <t>public_policy_anchor</t>
        </is>
      </c>
      <c r="J154" s="5" t="inlineStr">
        <is>
          <t>academic_support</t>
        </is>
      </c>
      <c r="K154" t="inlineStr">
        <is>
          <t>university_applied_sciences</t>
        </is>
      </c>
      <c r="L154" s="5" t="inlineStr">
        <is>
          <t>wissen</t>
        </is>
      </c>
      <c r="M154" s="5" t="inlineStr">
        <is>
          <t>weiterbildung_lebenslanges_lernen</t>
        </is>
      </c>
      <c r="N154" s="5" t="inlineStr">
        <is>
          <t>Weiterbildung und lebenslanges Lernen</t>
        </is>
      </c>
      <c r="O154" s="5" t="n">
        <v>5</v>
      </c>
      <c r="P154" s="5" t="n">
        <v>4</v>
      </c>
      <c r="Q154" s="5" t="n">
        <v>13</v>
      </c>
      <c r="R154" s="5" t="n">
        <v>4</v>
      </c>
      <c r="S154" s="5" t="n">
        <v>0</v>
      </c>
      <c r="T154" s="5" t="n">
        <v>0</v>
      </c>
      <c r="U154" s="5" t="n">
        <v>2</v>
      </c>
      <c r="V154" s="5" t="n">
        <v>7</v>
      </c>
      <c r="W154" s="5" t="n">
        <v>7</v>
      </c>
      <c r="X154" s="5" t="n">
        <v>0</v>
      </c>
      <c r="Y154" s="5" t="n">
        <v>0</v>
      </c>
      <c r="Z154" s="5" t="n">
        <v>0</v>
      </c>
      <c r="AA154" s="5" t="n">
        <v>0</v>
      </c>
      <c r="AB154" s="5" t="n">
        <v>42.523249</v>
      </c>
      <c r="AC154" s="5" t="inlineStr">
        <is>
          <t>Wie können Beschäftigte, Verwaltung und Unternehmen Weiterbildung in reale Transformationsprozesse integrieren?</t>
        </is>
      </c>
      <c r="AD154" s="5" t="inlineStr">
        <is>
          <t>Weiterbildung und lebenslanges Lernen: Bundesagentur für Arbeit, Regionaldirektion Rheinland-Pfalz-Saarland (implementation_anchor, 5) + Katholische Hochschule Mainz (academic_support, 4).</t>
        </is>
      </c>
      <c r="AE154" s="5" t="inlineStr">
        <is>
          <t>Bundesagentur für Arbeit, Regionaldirektion Rheinland-Pfalz-Saarland | Katholische Hochschule Mainz</t>
        </is>
      </c>
      <c r="AF154" s="5" t="inlineStr">
        <is>
          <t>weiterbildung-lebenslanges-lernen-bundesagentur-für-arbeit-regionaldirektion-rheinland-pfalz-sa</t>
        </is>
      </c>
    </row>
    <row r="155" ht="30" customHeight="1" s="46">
      <c r="A155" s="5" t="inlineStr">
        <is>
          <t>C0154</t>
        </is>
      </c>
      <c r="B155" s="5" t="inlineStr">
        <is>
          <t>x_0154</t>
        </is>
      </c>
      <c r="C155" s="5" t="n">
        <v>0</v>
      </c>
      <c r="D155" s="5" t="inlineStr">
        <is>
          <t>Bundesagentur für Arbeit, Regionaldirektion Rheinland-Pfalz-Saarland</t>
        </is>
      </c>
      <c r="E155" s="5" t="inlineStr">
        <is>
          <t>Vinzenz Pallotti University gGmbH</t>
        </is>
      </c>
      <c r="F155" s="5" t="n">
        <v>13</v>
      </c>
      <c r="G155" s="5" t="n">
        <v>97</v>
      </c>
      <c r="H155" s="5" t="inlineStr">
        <is>
          <t>implementation_anchor</t>
        </is>
      </c>
      <c r="I155" t="inlineStr">
        <is>
          <t>public_policy_anchor</t>
        </is>
      </c>
      <c r="J155" s="5" t="inlineStr">
        <is>
          <t>academic_support</t>
        </is>
      </c>
      <c r="K155" t="inlineStr">
        <is>
          <t>university_research</t>
        </is>
      </c>
      <c r="L155" s="5" t="inlineStr">
        <is>
          <t>wissen</t>
        </is>
      </c>
      <c r="M155" s="5" t="inlineStr">
        <is>
          <t>weiterbildung_lebenslanges_lernen</t>
        </is>
      </c>
      <c r="N155" s="5" t="inlineStr">
        <is>
          <t>Weiterbildung und lebenslanges Lernen</t>
        </is>
      </c>
      <c r="O155" s="5" t="n">
        <v>5</v>
      </c>
      <c r="P155" s="5" t="n">
        <v>4</v>
      </c>
      <c r="Q155" s="5" t="n">
        <v>13</v>
      </c>
      <c r="R155" s="5" t="n">
        <v>4</v>
      </c>
      <c r="S155" s="5" t="n">
        <v>0</v>
      </c>
      <c r="T155" s="5" t="n">
        <v>0</v>
      </c>
      <c r="U155" s="5" t="n">
        <v>2</v>
      </c>
      <c r="V155" s="5" t="n">
        <v>7</v>
      </c>
      <c r="W155" s="5" t="n">
        <v>7</v>
      </c>
      <c r="X155" s="5" t="n">
        <v>0</v>
      </c>
      <c r="Y155" s="5" t="n">
        <v>0</v>
      </c>
      <c r="Z155" s="5" t="n">
        <v>0</v>
      </c>
      <c r="AA155" s="5" t="n">
        <v>0</v>
      </c>
      <c r="AB155" s="5" t="n">
        <v>46.614494</v>
      </c>
      <c r="AC155" s="5" t="inlineStr">
        <is>
          <t>Wie können Beschäftigte, Verwaltung und Unternehmen Weiterbildung in reale Transformationsprozesse integrieren?</t>
        </is>
      </c>
      <c r="AD155" s="5" t="inlineStr">
        <is>
          <t>Weiterbildung und lebenslanges Lernen: Bundesagentur für Arbeit, Regionaldirektion Rheinland-Pfalz-Saarland (implementation_anchor, 5) + Vinzenz Pallotti University gGmbH (academic_support, 4).</t>
        </is>
      </c>
      <c r="AE155" s="5" t="inlineStr">
        <is>
          <t>Bundesagentur für Arbeit, Regionaldirektion Rheinland-Pfalz-Saarland | Vinzenz Pallotti University gGmbH</t>
        </is>
      </c>
      <c r="AF155" s="5" t="inlineStr">
        <is>
          <t>weiterbildung-lebenslanges-lernen-bundesagentur-für-arbeit-regionaldirektion-rheinland-pfalz-sa</t>
        </is>
      </c>
    </row>
    <row r="156" ht="30" customHeight="1" s="46">
      <c r="A156" s="5" t="inlineStr">
        <is>
          <t>C0155</t>
        </is>
      </c>
      <c r="B156" s="5" t="inlineStr">
        <is>
          <t>x_0155</t>
        </is>
      </c>
      <c r="C156" s="5" t="n">
        <v>0</v>
      </c>
      <c r="D156" s="5" t="inlineStr">
        <is>
          <t>Handwerkskammern Rheinland-Pfalz</t>
        </is>
      </c>
      <c r="E156" s="5" t="inlineStr">
        <is>
          <t>Hochschule Koblenz</t>
        </is>
      </c>
      <c r="F156" s="5" t="n">
        <v>32</v>
      </c>
      <c r="G156" s="5" t="n">
        <v>38</v>
      </c>
      <c r="H156" s="5" t="inlineStr">
        <is>
          <t>implementation_anchor</t>
        </is>
      </c>
      <c r="I156" t="inlineStr">
        <is>
          <t>chamber_association_anchor</t>
        </is>
      </c>
      <c r="J156" s="5" t="inlineStr">
        <is>
          <t>academic_support</t>
        </is>
      </c>
      <c r="K156" t="inlineStr">
        <is>
          <t>university_applied_sciences</t>
        </is>
      </c>
      <c r="L156" s="5" t="inlineStr">
        <is>
          <t>wissen</t>
        </is>
      </c>
      <c r="M156" s="5" t="inlineStr">
        <is>
          <t>weiterbildung_lebenslanges_lernen</t>
        </is>
      </c>
      <c r="N156" s="5" t="inlineStr">
        <is>
          <t>Weiterbildung und lebenslanges Lernen</t>
        </is>
      </c>
      <c r="O156" s="5" t="n">
        <v>5</v>
      </c>
      <c r="P156" s="5" t="n">
        <v>4</v>
      </c>
      <c r="Q156" s="5" t="n">
        <v>13</v>
      </c>
      <c r="R156" s="5" t="n">
        <v>4</v>
      </c>
      <c r="S156" s="5" t="n">
        <v>0</v>
      </c>
      <c r="T156" s="5" t="n">
        <v>0</v>
      </c>
      <c r="U156" s="5" t="n">
        <v>2</v>
      </c>
      <c r="V156" s="5" t="n">
        <v>7</v>
      </c>
      <c r="W156" s="5" t="n">
        <v>7</v>
      </c>
      <c r="X156" s="5" t="n">
        <v>0</v>
      </c>
      <c r="Y156" s="5" t="n">
        <v>0</v>
      </c>
      <c r="Z156" s="5" t="n">
        <v>0</v>
      </c>
      <c r="AA156" s="5" t="n">
        <v>0</v>
      </c>
      <c r="AB156" s="5" t="n">
        <v>48.920765</v>
      </c>
      <c r="AC156" s="5" t="inlineStr">
        <is>
          <t>Wie können Beschäftigte, Verwaltung und Unternehmen Weiterbildung in reale Transformationsprozesse integrieren?</t>
        </is>
      </c>
      <c r="AD156" s="5" t="inlineStr">
        <is>
          <t>Weiterbildung und lebenslanges Lernen: Handwerkskammern Rheinland-Pfalz (implementation_anchor, 5) + Hochschule Koblenz (academic_support, 4).</t>
        </is>
      </c>
      <c r="AE156" s="5" t="inlineStr">
        <is>
          <t>Handwerkskammern Rheinland-Pfalz | Hochschule Koblenz</t>
        </is>
      </c>
      <c r="AF156" s="5" t="inlineStr">
        <is>
          <t>weiterbildung-lebenslanges-lernen-handwerkskammern-rheinland-pfalz-hochschule-koblenz</t>
        </is>
      </c>
    </row>
    <row r="157" ht="30" customHeight="1" s="46">
      <c r="A157" s="5" t="inlineStr">
        <is>
          <t>C0156</t>
        </is>
      </c>
      <c r="B157" s="5" t="inlineStr">
        <is>
          <t>x_0156</t>
        </is>
      </c>
      <c r="C157" s="5" t="n">
        <v>0</v>
      </c>
      <c r="D157" s="5" t="inlineStr">
        <is>
          <t>Handwerkskammern Rheinland-Pfalz</t>
        </is>
      </c>
      <c r="E157" s="5" t="inlineStr">
        <is>
          <t>Hochschule Trier</t>
        </is>
      </c>
      <c r="F157" s="5" t="n">
        <v>32</v>
      </c>
      <c r="G157" s="5" t="n">
        <v>40</v>
      </c>
      <c r="H157" s="5" t="inlineStr">
        <is>
          <t>implementation_anchor</t>
        </is>
      </c>
      <c r="I157" t="inlineStr">
        <is>
          <t>chamber_association_anchor</t>
        </is>
      </c>
      <c r="J157" s="5" t="inlineStr">
        <is>
          <t>academic_support</t>
        </is>
      </c>
      <c r="K157" t="inlineStr">
        <is>
          <t>university_applied_sciences</t>
        </is>
      </c>
      <c r="L157" s="5" t="inlineStr">
        <is>
          <t>wissen</t>
        </is>
      </c>
      <c r="M157" s="5" t="inlineStr">
        <is>
          <t>weiterbildung_lebenslanges_lernen</t>
        </is>
      </c>
      <c r="N157" s="5" t="inlineStr">
        <is>
          <t>Weiterbildung und lebenslanges Lernen</t>
        </is>
      </c>
      <c r="O157" s="5" t="n">
        <v>5</v>
      </c>
      <c r="P157" s="5" t="n">
        <v>4</v>
      </c>
      <c r="Q157" s="5" t="n">
        <v>13</v>
      </c>
      <c r="R157" s="5" t="n">
        <v>4</v>
      </c>
      <c r="S157" s="5" t="n">
        <v>0</v>
      </c>
      <c r="T157" s="5" t="n">
        <v>0</v>
      </c>
      <c r="U157" s="5" t="n">
        <v>2</v>
      </c>
      <c r="V157" s="5" t="n">
        <v>7</v>
      </c>
      <c r="W157" s="5" t="n">
        <v>7</v>
      </c>
      <c r="X157" s="5" t="n">
        <v>0</v>
      </c>
      <c r="Y157" s="5" t="n">
        <v>0</v>
      </c>
      <c r="Z157" s="5" t="n">
        <v>0</v>
      </c>
      <c r="AA157" s="5" t="n">
        <v>0</v>
      </c>
      <c r="AB157" s="5" t="n">
        <v>48.920765</v>
      </c>
      <c r="AC157" s="5" t="inlineStr">
        <is>
          <t>Wie können Beschäftigte, Verwaltung und Unternehmen Weiterbildung in reale Transformationsprozesse integrieren?</t>
        </is>
      </c>
      <c r="AD157" s="5" t="inlineStr">
        <is>
          <t>Weiterbildung und lebenslanges Lernen: Handwerkskammern Rheinland-Pfalz (implementation_anchor, 5) + Hochschule Trier (academic_support, 4).</t>
        </is>
      </c>
      <c r="AE157" s="5" t="inlineStr">
        <is>
          <t>Handwerkskammern Rheinland-Pfalz | Hochschule Trier</t>
        </is>
      </c>
      <c r="AF157" s="5" t="inlineStr">
        <is>
          <t>weiterbildung-lebenslanges-lernen-handwerkskammern-rheinland-pfalz-hochschule-trier</t>
        </is>
      </c>
    </row>
    <row r="158" ht="30" customHeight="1" s="46">
      <c r="A158" s="5" t="inlineStr">
        <is>
          <t>C0157</t>
        </is>
      </c>
      <c r="B158" s="5" t="inlineStr">
        <is>
          <t>x_0157</t>
        </is>
      </c>
      <c r="C158" s="5" t="n">
        <v>0</v>
      </c>
      <c r="D158" s="5" t="inlineStr">
        <is>
          <t>Handwerkskammern Rheinland-Pfalz</t>
        </is>
      </c>
      <c r="E158" s="5" t="inlineStr">
        <is>
          <t>Hochschule Worms</t>
        </is>
      </c>
      <c r="F158" s="5" t="n">
        <v>32</v>
      </c>
      <c r="G158" s="5" t="n">
        <v>41</v>
      </c>
      <c r="H158" s="5" t="inlineStr">
        <is>
          <t>implementation_anchor</t>
        </is>
      </c>
      <c r="I158" t="inlineStr">
        <is>
          <t>chamber_association_anchor</t>
        </is>
      </c>
      <c r="J158" s="5" t="inlineStr">
        <is>
          <t>academic_support</t>
        </is>
      </c>
      <c r="K158" t="inlineStr">
        <is>
          <t>university_applied_sciences</t>
        </is>
      </c>
      <c r="L158" s="5" t="inlineStr">
        <is>
          <t>wissen</t>
        </is>
      </c>
      <c r="M158" s="5" t="inlineStr">
        <is>
          <t>weiterbildung_lebenslanges_lernen</t>
        </is>
      </c>
      <c r="N158" s="5" t="inlineStr">
        <is>
          <t>Weiterbildung und lebenslanges Lernen</t>
        </is>
      </c>
      <c r="O158" s="5" t="n">
        <v>5</v>
      </c>
      <c r="P158" s="5" t="n">
        <v>4</v>
      </c>
      <c r="Q158" s="5" t="n">
        <v>13</v>
      </c>
      <c r="R158" s="5" t="n">
        <v>4</v>
      </c>
      <c r="S158" s="5" t="n">
        <v>0</v>
      </c>
      <c r="T158" s="5" t="n">
        <v>0</v>
      </c>
      <c r="U158" s="5" t="n">
        <v>2</v>
      </c>
      <c r="V158" s="5" t="n">
        <v>7</v>
      </c>
      <c r="W158" s="5" t="n">
        <v>7</v>
      </c>
      <c r="X158" s="5" t="n">
        <v>0</v>
      </c>
      <c r="Y158" s="5" t="n">
        <v>0</v>
      </c>
      <c r="Z158" s="5" t="n">
        <v>0</v>
      </c>
      <c r="AA158" s="5" t="n">
        <v>0</v>
      </c>
      <c r="AB158" s="5" t="n">
        <v>48.920765</v>
      </c>
      <c r="AC158" s="5" t="inlineStr">
        <is>
          <t>Wie können Beschäftigte, Verwaltung und Unternehmen Weiterbildung in reale Transformationsprozesse integrieren?</t>
        </is>
      </c>
      <c r="AD158" s="5" t="inlineStr">
        <is>
          <t>Weiterbildung und lebenslanges Lernen: Handwerkskammern Rheinland-Pfalz (implementation_anchor, 5) + Hochschule Worms (academic_support, 4).</t>
        </is>
      </c>
      <c r="AE158" s="5" t="inlineStr">
        <is>
          <t>Handwerkskammern Rheinland-Pfalz | Hochschule Worms</t>
        </is>
      </c>
      <c r="AF158" s="5" t="inlineStr">
        <is>
          <t>weiterbildung-lebenslanges-lernen-handwerkskammern-rheinland-pfalz-hochschule-worms</t>
        </is>
      </c>
    </row>
    <row r="159" ht="30" customHeight="1" s="46">
      <c r="A159" s="5" t="inlineStr">
        <is>
          <t>C0158</t>
        </is>
      </c>
      <c r="B159" s="5" t="inlineStr">
        <is>
          <t>x_0158</t>
        </is>
      </c>
      <c r="C159" s="5" t="n">
        <v>0</v>
      </c>
      <c r="D159" s="5" t="inlineStr">
        <is>
          <t>Handwerkskammern Rheinland-Pfalz</t>
        </is>
      </c>
      <c r="E159" s="5" t="inlineStr">
        <is>
          <t>Hochschule für Wirtschaft und Gesellschaft Ludwigshafen</t>
        </is>
      </c>
      <c r="F159" s="5" t="n">
        <v>32</v>
      </c>
      <c r="G159" s="5" t="n">
        <v>36</v>
      </c>
      <c r="H159" s="5" t="inlineStr">
        <is>
          <t>implementation_anchor</t>
        </is>
      </c>
      <c r="I159" t="inlineStr">
        <is>
          <t>chamber_association_anchor</t>
        </is>
      </c>
      <c r="J159" s="5" t="inlineStr">
        <is>
          <t>academic_support</t>
        </is>
      </c>
      <c r="K159" t="inlineStr">
        <is>
          <t>university_applied_sciences</t>
        </is>
      </c>
      <c r="L159" s="5" t="inlineStr">
        <is>
          <t>wissen</t>
        </is>
      </c>
      <c r="M159" s="5" t="inlineStr">
        <is>
          <t>weiterbildung_lebenslanges_lernen</t>
        </is>
      </c>
      <c r="N159" s="5" t="inlineStr">
        <is>
          <t>Weiterbildung und lebenslanges Lernen</t>
        </is>
      </c>
      <c r="O159" s="5" t="n">
        <v>5</v>
      </c>
      <c r="P159" s="5" t="n">
        <v>4</v>
      </c>
      <c r="Q159" s="5" t="n">
        <v>13</v>
      </c>
      <c r="R159" s="5" t="n">
        <v>4</v>
      </c>
      <c r="S159" s="5" t="n">
        <v>0</v>
      </c>
      <c r="T159" s="5" t="n">
        <v>0</v>
      </c>
      <c r="U159" s="5" t="n">
        <v>2</v>
      </c>
      <c r="V159" s="5" t="n">
        <v>7</v>
      </c>
      <c r="W159" s="5" t="n">
        <v>7</v>
      </c>
      <c r="X159" s="5" t="n">
        <v>0</v>
      </c>
      <c r="Y159" s="5" t="n">
        <v>0</v>
      </c>
      <c r="Z159" s="5" t="n">
        <v>0</v>
      </c>
      <c r="AA159" s="5" t="n">
        <v>0</v>
      </c>
      <c r="AB159" s="5" t="n">
        <v>48.920765</v>
      </c>
      <c r="AC159" s="5" t="inlineStr">
        <is>
          <t>Wie können Beschäftigte, Verwaltung und Unternehmen Weiterbildung in reale Transformationsprozesse integrieren?</t>
        </is>
      </c>
      <c r="AD159" s="5" t="inlineStr">
        <is>
          <t>Weiterbildung und lebenslanges Lernen: Handwerkskammern Rheinland-Pfalz (implementation_anchor, 5) + Hochschule für Wirtschaft und Gesellschaft Ludwigshafen (academic_support, 4).</t>
        </is>
      </c>
      <c r="AE159" s="5" t="inlineStr">
        <is>
          <t>Handwerkskammern Rheinland-Pfalz | Hochschule für Wirtschaft und Gesellschaft Ludwigshafen</t>
        </is>
      </c>
      <c r="AF159" s="5" t="inlineStr">
        <is>
          <t>weiterbildung-lebenslanges-lernen-handwerkskammern-rheinland-pfalz-hochschule-für-wirtschaft-un</t>
        </is>
      </c>
    </row>
    <row r="160" ht="30" customHeight="1" s="46">
      <c r="A160" s="5" t="inlineStr">
        <is>
          <t>C0159</t>
        </is>
      </c>
      <c r="B160" s="5" t="inlineStr">
        <is>
          <t>x_0159</t>
        </is>
      </c>
      <c r="C160" s="5" t="n">
        <v>0</v>
      </c>
      <c r="D160" s="5" t="inlineStr">
        <is>
          <t>Handwerkskammern Rheinland-Pfalz</t>
        </is>
      </c>
      <c r="E160" s="5" t="inlineStr">
        <is>
          <t>Katholische Hochschule Mainz</t>
        </is>
      </c>
      <c r="F160" s="5" t="n">
        <v>32</v>
      </c>
      <c r="G160" s="5" t="n">
        <v>55</v>
      </c>
      <c r="H160" s="5" t="inlineStr">
        <is>
          <t>implementation_anchor</t>
        </is>
      </c>
      <c r="I160" t="inlineStr">
        <is>
          <t>chamber_association_anchor</t>
        </is>
      </c>
      <c r="J160" s="5" t="inlineStr">
        <is>
          <t>academic_support</t>
        </is>
      </c>
      <c r="K160" t="inlineStr">
        <is>
          <t>university_applied_sciences</t>
        </is>
      </c>
      <c r="L160" s="5" t="inlineStr">
        <is>
          <t>wissen</t>
        </is>
      </c>
      <c r="M160" s="5" t="inlineStr">
        <is>
          <t>weiterbildung_lebenslanges_lernen</t>
        </is>
      </c>
      <c r="N160" s="5" t="inlineStr">
        <is>
          <t>Weiterbildung und lebenslanges Lernen</t>
        </is>
      </c>
      <c r="O160" s="5" t="n">
        <v>5</v>
      </c>
      <c r="P160" s="5" t="n">
        <v>4</v>
      </c>
      <c r="Q160" s="5" t="n">
        <v>13</v>
      </c>
      <c r="R160" s="5" t="n">
        <v>4</v>
      </c>
      <c r="S160" s="5" t="n">
        <v>0</v>
      </c>
      <c r="T160" s="5" t="n">
        <v>0</v>
      </c>
      <c r="U160" s="5" t="n">
        <v>2</v>
      </c>
      <c r="V160" s="5" t="n">
        <v>7</v>
      </c>
      <c r="W160" s="5" t="n">
        <v>7</v>
      </c>
      <c r="X160" s="5" t="n">
        <v>0</v>
      </c>
      <c r="Y160" s="5" t="n">
        <v>0</v>
      </c>
      <c r="Z160" s="5" t="n">
        <v>0</v>
      </c>
      <c r="AA160" s="5" t="n">
        <v>0</v>
      </c>
      <c r="AB160" s="5" t="n">
        <v>48.920765</v>
      </c>
      <c r="AC160" s="5" t="inlineStr">
        <is>
          <t>Wie können Beschäftigte, Verwaltung und Unternehmen Weiterbildung in reale Transformationsprozesse integrieren?</t>
        </is>
      </c>
      <c r="AD160" s="5" t="inlineStr">
        <is>
          <t>Weiterbildung und lebenslanges Lernen: Handwerkskammern Rheinland-Pfalz (implementation_anchor, 5) + Katholische Hochschule Mainz (academic_support, 4).</t>
        </is>
      </c>
      <c r="AE160" s="5" t="inlineStr">
        <is>
          <t>Handwerkskammern Rheinland-Pfalz | Katholische Hochschule Mainz</t>
        </is>
      </c>
      <c r="AF160" s="5" t="inlineStr">
        <is>
          <t>weiterbildung-lebenslanges-lernen-handwerkskammern-rheinland-pfalz-katholische-hochschule-mainz</t>
        </is>
      </c>
    </row>
    <row r="161" ht="30" customHeight="1" s="46">
      <c r="A161" s="5" t="inlineStr">
        <is>
          <t>C0160</t>
        </is>
      </c>
      <c r="B161" s="5" t="inlineStr">
        <is>
          <t>x_0160</t>
        </is>
      </c>
      <c r="C161" s="5" t="n">
        <v>0</v>
      </c>
      <c r="D161" s="5" t="inlineStr">
        <is>
          <t>Handwerkskammern Rheinland-Pfalz</t>
        </is>
      </c>
      <c r="E161" s="5" t="inlineStr">
        <is>
          <t>Vinzenz Pallotti University gGmbH</t>
        </is>
      </c>
      <c r="F161" s="5" t="n">
        <v>32</v>
      </c>
      <c r="G161" s="5" t="n">
        <v>97</v>
      </c>
      <c r="H161" s="5" t="inlineStr">
        <is>
          <t>implementation_anchor</t>
        </is>
      </c>
      <c r="I161" t="inlineStr">
        <is>
          <t>chamber_association_anchor</t>
        </is>
      </c>
      <c r="J161" s="5" t="inlineStr">
        <is>
          <t>academic_support</t>
        </is>
      </c>
      <c r="K161" t="inlineStr">
        <is>
          <t>university_research</t>
        </is>
      </c>
      <c r="L161" s="5" t="inlineStr">
        <is>
          <t>wissen</t>
        </is>
      </c>
      <c r="M161" s="5" t="inlineStr">
        <is>
          <t>weiterbildung_lebenslanges_lernen</t>
        </is>
      </c>
      <c r="N161" s="5" t="inlineStr">
        <is>
          <t>Weiterbildung und lebenslanges Lernen</t>
        </is>
      </c>
      <c r="O161" s="5" t="n">
        <v>5</v>
      </c>
      <c r="P161" s="5" t="n">
        <v>4</v>
      </c>
      <c r="Q161" s="5" t="n">
        <v>13</v>
      </c>
      <c r="R161" s="5" t="n">
        <v>4</v>
      </c>
      <c r="S161" s="5" t="n">
        <v>0</v>
      </c>
      <c r="T161" s="5" t="n">
        <v>0</v>
      </c>
      <c r="U161" s="5" t="n">
        <v>2</v>
      </c>
      <c r="V161" s="5" t="n">
        <v>7</v>
      </c>
      <c r="W161" s="5" t="n">
        <v>7</v>
      </c>
      <c r="X161" s="5" t="n">
        <v>0</v>
      </c>
      <c r="Y161" s="5" t="n">
        <v>0</v>
      </c>
      <c r="Z161" s="5" t="n">
        <v>0</v>
      </c>
      <c r="AA161" s="5" t="n">
        <v>0</v>
      </c>
      <c r="AB161" s="5" t="n">
        <v>52.515956</v>
      </c>
      <c r="AC161" s="5" t="inlineStr">
        <is>
          <t>Wie können Beschäftigte, Verwaltung und Unternehmen Weiterbildung in reale Transformationsprozesse integrieren?</t>
        </is>
      </c>
      <c r="AD161" s="5" t="inlineStr">
        <is>
          <t>Weiterbildung und lebenslanges Lernen: Handwerkskammern Rheinland-Pfalz (implementation_anchor, 5) + Vinzenz Pallotti University gGmbH (academic_support, 4).</t>
        </is>
      </c>
      <c r="AE161" s="5" t="inlineStr">
        <is>
          <t>Handwerkskammern Rheinland-Pfalz | Vinzenz Pallotti University gGmbH</t>
        </is>
      </c>
      <c r="AF161" s="5" t="inlineStr">
        <is>
          <t>weiterbildung-lebenslanges-lernen-handwerkskammern-rheinland-pfalz-vinzenz-pallotti-university-</t>
        </is>
      </c>
    </row>
    <row r="162" ht="30" customHeight="1" s="46">
      <c r="A162" s="5" t="inlineStr">
        <is>
          <t>C0161</t>
        </is>
      </c>
      <c r="B162" s="5" t="inlineStr">
        <is>
          <t>x_0161</t>
        </is>
      </c>
      <c r="C162" s="5" t="n">
        <v>0</v>
      </c>
      <c r="D162" s="5" t="inlineStr">
        <is>
          <t>Deutsche Telekom AG</t>
        </is>
      </c>
      <c r="E162" s="5" t="inlineStr">
        <is>
          <t>Rheinland-Pfälzische Technische Universität Kaiserslautern-Landau (RPTU)</t>
        </is>
      </c>
      <c r="F162" s="5" t="n">
        <v>18</v>
      </c>
      <c r="G162" s="5" t="n">
        <v>74</v>
      </c>
      <c r="H162" s="5" t="inlineStr">
        <is>
          <t>profit_anchor</t>
        </is>
      </c>
      <c r="I162" t="inlineStr">
        <is>
          <t>technology_digital_anchor</t>
        </is>
      </c>
      <c r="J162" s="5" t="inlineStr">
        <is>
          <t>academic_support</t>
        </is>
      </c>
      <c r="K162" t="inlineStr">
        <is>
          <t>university_research</t>
        </is>
      </c>
      <c r="L162" s="5" t="inlineStr">
        <is>
          <t>technologie</t>
        </is>
      </c>
      <c r="M162" s="5" t="inlineStr">
        <is>
          <t>cyber_resilienz_kritische_infrastruktur</t>
        </is>
      </c>
      <c r="N162" s="5" t="inlineStr">
        <is>
          <t>Cyberresilienz und kritische Infrastruktur</t>
        </is>
      </c>
      <c r="O162" s="5" t="n">
        <v>5</v>
      </c>
      <c r="P162" s="5" t="n">
        <v>5</v>
      </c>
      <c r="Q162" s="5" t="n">
        <v>14</v>
      </c>
      <c r="R162" s="5" t="n">
        <v>4</v>
      </c>
      <c r="S162" s="5" t="n">
        <v>0</v>
      </c>
      <c r="T162" s="5" t="n">
        <v>0</v>
      </c>
      <c r="U162" s="5" t="n">
        <v>2</v>
      </c>
      <c r="V162" s="5" t="n">
        <v>6</v>
      </c>
      <c r="W162" s="5" t="n">
        <v>6</v>
      </c>
      <c r="X162" s="5" t="n">
        <v>0</v>
      </c>
      <c r="Y162" s="5" t="n">
        <v>0</v>
      </c>
      <c r="Z162" s="5" t="n">
        <v>0</v>
      </c>
      <c r="AA162" s="5" t="n">
        <v>0</v>
      </c>
      <c r="AB162" s="5" t="n">
        <v>28.612779</v>
      </c>
      <c r="AC162" s="5" t="inlineStr">
        <is>
          <t>Wie schützen Unternehmen, Kommunen und Versorger digitale Systeme, Daten und kritische Infrastruktur?</t>
        </is>
      </c>
      <c r="AD162" s="5" t="inlineStr">
        <is>
          <t>Cyberresilienz und kritische Infrastruktur: Deutsche Telekom AG (profit_anchor, 5) + Rheinland-Pfälzische Technische Universität Kaiserslautern-Landau (RPTU) (academic_support, 5).</t>
        </is>
      </c>
      <c r="AE162" s="5" t="inlineStr">
        <is>
          <t>Deutsche Telekom AG | Rheinland-Pfälzische Technische Universität Kaiserslautern-Landau (RPTU)</t>
        </is>
      </c>
      <c r="AF162" s="5" t="inlineStr">
        <is>
          <t>cyber-resilienz-kritische-infrastruktur-deutsche-telekom-ag-rheinland-pfälzische-technische-uni</t>
        </is>
      </c>
    </row>
    <row r="163" ht="30" customHeight="1" s="46">
      <c r="A163" s="5" t="inlineStr">
        <is>
          <t>C0162</t>
        </is>
      </c>
      <c r="B163" s="5" t="inlineStr">
        <is>
          <t>x_0162</t>
        </is>
      </c>
      <c r="C163" s="5" t="n">
        <v>0</v>
      </c>
      <c r="D163" s="5" t="inlineStr">
        <is>
          <t>Deutsche Telekom AG</t>
        </is>
      </c>
      <c r="E163" s="5" t="inlineStr">
        <is>
          <t>Staatskanzlei des Landes Rheinland-Pfalz</t>
        </is>
      </c>
      <c r="F163" s="5" t="n">
        <v>18</v>
      </c>
      <c r="G163" s="5" t="n">
        <v>83</v>
      </c>
      <c r="H163" s="5" t="inlineStr">
        <is>
          <t>profit_anchor</t>
        </is>
      </c>
      <c r="I163" t="inlineStr">
        <is>
          <t>technology_digital_anchor</t>
        </is>
      </c>
      <c r="J163" s="5" t="inlineStr">
        <is>
          <t>context_actor</t>
        </is>
      </c>
      <c r="K163" t="inlineStr">
        <is>
          <t>public_policy_anchor</t>
        </is>
      </c>
      <c r="L163" s="5" t="inlineStr">
        <is>
          <t>technologie</t>
        </is>
      </c>
      <c r="M163" s="5" t="inlineStr">
        <is>
          <t>cyber_resilienz_kritische_infrastruktur</t>
        </is>
      </c>
      <c r="N163" s="5" t="inlineStr">
        <is>
          <t>Cyberresilienz und kritische Infrastruktur</t>
        </is>
      </c>
      <c r="O163" s="5" t="n">
        <v>5</v>
      </c>
      <c r="P163" s="5" t="n">
        <v>5</v>
      </c>
      <c r="Q163" s="5" t="n">
        <v>14</v>
      </c>
      <c r="R163" s="5" t="n">
        <v>4</v>
      </c>
      <c r="S163" s="5" t="n">
        <v>0</v>
      </c>
      <c r="T163" s="5" t="n">
        <v>0</v>
      </c>
      <c r="U163" s="5" t="n">
        <v>2</v>
      </c>
      <c r="V163" s="5" t="n">
        <v>6</v>
      </c>
      <c r="W163" s="5" t="n">
        <v>6</v>
      </c>
      <c r="X163" s="5" t="n">
        <v>0</v>
      </c>
      <c r="Y163" s="5" t="n">
        <v>0</v>
      </c>
      <c r="Z163" s="5" t="n">
        <v>0</v>
      </c>
      <c r="AA163" s="5" t="n">
        <v>0</v>
      </c>
      <c r="AB163" s="5" t="n">
        <v>26.342797</v>
      </c>
      <c r="AC163" s="5" t="inlineStr">
        <is>
          <t>Wie schützen Unternehmen, Kommunen und Versorger digitale Systeme, Daten und kritische Infrastruktur?</t>
        </is>
      </c>
      <c r="AD163" s="5" t="inlineStr">
        <is>
          <t>Cyberresilienz und kritische Infrastruktur: Deutsche Telekom AG (profit_anchor, 5) + Staatskanzlei des Landes Rheinland-Pfalz (context_actor, 5).</t>
        </is>
      </c>
      <c r="AE163" s="5" t="inlineStr">
        <is>
          <t>Deutsche Telekom AG | Staatskanzlei des Landes Rheinland-Pfalz</t>
        </is>
      </c>
      <c r="AF163" s="5" t="inlineStr">
        <is>
          <t>cyber-resilienz-kritische-infrastruktur-deutsche-telekom-ag-staatskanzlei-des-landes-rheinland-</t>
        </is>
      </c>
    </row>
    <row r="164" ht="30" customHeight="1" s="46">
      <c r="A164" s="5" t="inlineStr">
        <is>
          <t>C0163</t>
        </is>
      </c>
      <c r="B164" s="5" t="inlineStr">
        <is>
          <t>x_0163</t>
        </is>
      </c>
      <c r="C164" s="5" t="n">
        <v>0</v>
      </c>
      <c r="D164" s="5" t="inlineStr">
        <is>
          <t>Deutsche Telekom AG</t>
        </is>
      </c>
      <c r="E164" s="5" t="inlineStr">
        <is>
          <t>TÜV Rheinland Berlin Brandenburg Pfalz e.V.</t>
        </is>
      </c>
      <c r="F164" s="5" t="n">
        <v>18</v>
      </c>
      <c r="G164" s="5" t="n">
        <v>91</v>
      </c>
      <c r="H164" s="5" t="inlineStr">
        <is>
          <t>profit_anchor</t>
        </is>
      </c>
      <c r="I164" t="inlineStr">
        <is>
          <t>technology_digital_anchor</t>
        </is>
      </c>
      <c r="J164" s="5" t="inlineStr">
        <is>
          <t>context_actor</t>
        </is>
      </c>
      <c r="K164" t="inlineStr">
        <is>
          <t>chamber_association_anchor</t>
        </is>
      </c>
      <c r="L164" s="5" t="inlineStr">
        <is>
          <t>technologie</t>
        </is>
      </c>
      <c r="M164" s="5" t="inlineStr">
        <is>
          <t>cyber_resilienz_kritische_infrastruktur</t>
        </is>
      </c>
      <c r="N164" s="5" t="inlineStr">
        <is>
          <t>Cyberresilienz und kritische Infrastruktur</t>
        </is>
      </c>
      <c r="O164" s="5" t="n">
        <v>5</v>
      </c>
      <c r="P164" s="5" t="n">
        <v>5</v>
      </c>
      <c r="Q164" s="5" t="n">
        <v>14</v>
      </c>
      <c r="R164" s="5" t="n">
        <v>4</v>
      </c>
      <c r="S164" s="5" t="n">
        <v>0</v>
      </c>
      <c r="T164" s="5" t="n">
        <v>0</v>
      </c>
      <c r="U164" s="5" t="n">
        <v>2</v>
      </c>
      <c r="V164" s="5" t="n">
        <v>6</v>
      </c>
      <c r="W164" s="5" t="n">
        <v>6</v>
      </c>
      <c r="X164" s="5" t="n">
        <v>0</v>
      </c>
      <c r="Y164" s="5" t="n">
        <v>0</v>
      </c>
      <c r="Z164" s="5" t="n">
        <v>0</v>
      </c>
      <c r="AA164" s="5" t="n">
        <v>0</v>
      </c>
      <c r="AB164" s="5" t="n">
        <v>30.03541</v>
      </c>
      <c r="AC164" s="5" t="inlineStr">
        <is>
          <t>Wie schützen Unternehmen, Kommunen und Versorger digitale Systeme, Daten und kritische Infrastruktur?</t>
        </is>
      </c>
      <c r="AD164" s="5" t="inlineStr">
        <is>
          <t>Cyberresilienz und kritische Infrastruktur: Deutsche Telekom AG (profit_anchor, 5) + TÜV Rheinland Berlin Brandenburg Pfalz e.V. (context_actor, 5).</t>
        </is>
      </c>
      <c r="AE164" s="5" t="inlineStr">
        <is>
          <t>Deutsche Telekom AG | TÜV Rheinland Berlin Brandenburg Pfalz e.V.</t>
        </is>
      </c>
      <c r="AF164" s="5" t="inlineStr">
        <is>
          <t>cyber-resilienz-kritische-infrastruktur-deutsche-telekom-ag-tüv-rheinland-berlin-brandenburg-pf</t>
        </is>
      </c>
    </row>
    <row r="165" ht="30" customHeight="1" s="46">
      <c r="A165" s="5" t="inlineStr">
        <is>
          <t>C0164</t>
        </is>
      </c>
      <c r="B165" s="5" t="inlineStr">
        <is>
          <t>x_0164</t>
        </is>
      </c>
      <c r="C165" s="5" t="n">
        <v>0</v>
      </c>
      <c r="D165" s="5" t="inlineStr">
        <is>
          <t>ENTEGA Plus GmbH</t>
        </is>
      </c>
      <c r="E165" s="5" t="inlineStr">
        <is>
          <t>Rheinland-Pfälzische Technische Universität Kaiserslautern-Landau (RPTU)</t>
        </is>
      </c>
      <c r="F165" s="5" t="n">
        <v>24</v>
      </c>
      <c r="G165" s="5" t="n">
        <v>74</v>
      </c>
      <c r="H165" s="5" t="inlineStr">
        <is>
          <t>profit_anchor</t>
        </is>
      </c>
      <c r="I165" t="inlineStr">
        <is>
          <t>energy_infrastructure_anchor</t>
        </is>
      </c>
      <c r="J165" s="5" t="inlineStr">
        <is>
          <t>academic_support</t>
        </is>
      </c>
      <c r="K165" t="inlineStr">
        <is>
          <t>university_research</t>
        </is>
      </c>
      <c r="L165" s="5" t="inlineStr">
        <is>
          <t>technologie</t>
        </is>
      </c>
      <c r="M165" s="5" t="inlineStr">
        <is>
          <t>cyber_resilienz_kritische_infrastruktur</t>
        </is>
      </c>
      <c r="N165" s="5" t="inlineStr">
        <is>
          <t>Cyberresilienz und kritische Infrastruktur</t>
        </is>
      </c>
      <c r="O165" s="5" t="n">
        <v>5</v>
      </c>
      <c r="P165" s="5" t="n">
        <v>5</v>
      </c>
      <c r="Q165" s="5" t="n">
        <v>14</v>
      </c>
      <c r="R165" s="5" t="n">
        <v>4</v>
      </c>
      <c r="S165" s="5" t="n">
        <v>0</v>
      </c>
      <c r="T165" s="5" t="n">
        <v>0</v>
      </c>
      <c r="U165" s="5" t="n">
        <v>2</v>
      </c>
      <c r="V165" s="5" t="n">
        <v>6</v>
      </c>
      <c r="W165" s="5" t="n">
        <v>6</v>
      </c>
      <c r="X165" s="5" t="n">
        <v>0</v>
      </c>
      <c r="Y165" s="5" t="n">
        <v>0</v>
      </c>
      <c r="Z165" s="5" t="n">
        <v>0</v>
      </c>
      <c r="AA165" s="5" t="n">
        <v>0</v>
      </c>
      <c r="AB165" s="5" t="n">
        <v>28.612779</v>
      </c>
      <c r="AC165" s="5" t="inlineStr">
        <is>
          <t>Wie schützen Unternehmen, Kommunen und Versorger digitale Systeme, Daten und kritische Infrastruktur?</t>
        </is>
      </c>
      <c r="AD165" s="5" t="inlineStr">
        <is>
          <t>Cyberresilienz und kritische Infrastruktur: ENTEGA Plus GmbH (profit_anchor, 5) + Rheinland-Pfälzische Technische Universität Kaiserslautern-Landau (RPTU) (academic_support, 5).</t>
        </is>
      </c>
      <c r="AE165" s="5" t="inlineStr">
        <is>
          <t>ENTEGA Plus GmbH | Rheinland-Pfälzische Technische Universität Kaiserslautern-Landau (RPTU)</t>
        </is>
      </c>
      <c r="AF165" s="5" t="inlineStr">
        <is>
          <t>cyber-resilienz-kritische-infrastruktur-entega-plus-gmbh-rheinland-pfälzische-technische-univer</t>
        </is>
      </c>
    </row>
    <row r="166" ht="30" customHeight="1" s="46">
      <c r="A166" s="5" t="inlineStr">
        <is>
          <t>C0165</t>
        </is>
      </c>
      <c r="B166" s="5" t="inlineStr">
        <is>
          <t>x_0165</t>
        </is>
      </c>
      <c r="C166" s="5" t="n">
        <v>0</v>
      </c>
      <c r="D166" s="5" t="inlineStr">
        <is>
          <t>ENTEGA Plus GmbH</t>
        </is>
      </c>
      <c r="E166" s="5" t="inlineStr">
        <is>
          <t>Staatskanzlei des Landes Rheinland-Pfalz</t>
        </is>
      </c>
      <c r="F166" s="5" t="n">
        <v>24</v>
      </c>
      <c r="G166" s="5" t="n">
        <v>83</v>
      </c>
      <c r="H166" s="5" t="inlineStr">
        <is>
          <t>profit_anchor</t>
        </is>
      </c>
      <c r="I166" t="inlineStr">
        <is>
          <t>energy_infrastructure_anchor</t>
        </is>
      </c>
      <c r="J166" s="5" t="inlineStr">
        <is>
          <t>context_actor</t>
        </is>
      </c>
      <c r="K166" t="inlineStr">
        <is>
          <t>public_policy_anchor</t>
        </is>
      </c>
      <c r="L166" s="5" t="inlineStr">
        <is>
          <t>technologie</t>
        </is>
      </c>
      <c r="M166" s="5" t="inlineStr">
        <is>
          <t>cyber_resilienz_kritische_infrastruktur</t>
        </is>
      </c>
      <c r="N166" s="5" t="inlineStr">
        <is>
          <t>Cyberresilienz und kritische Infrastruktur</t>
        </is>
      </c>
      <c r="O166" s="5" t="n">
        <v>5</v>
      </c>
      <c r="P166" s="5" t="n">
        <v>5</v>
      </c>
      <c r="Q166" s="5" t="n">
        <v>14</v>
      </c>
      <c r="R166" s="5" t="n">
        <v>4</v>
      </c>
      <c r="S166" s="5" t="n">
        <v>0</v>
      </c>
      <c r="T166" s="5" t="n">
        <v>0</v>
      </c>
      <c r="U166" s="5" t="n">
        <v>2</v>
      </c>
      <c r="V166" s="5" t="n">
        <v>6</v>
      </c>
      <c r="W166" s="5" t="n">
        <v>6</v>
      </c>
      <c r="X166" s="5" t="n">
        <v>0</v>
      </c>
      <c r="Y166" s="5" t="n">
        <v>0</v>
      </c>
      <c r="Z166" s="5" t="n">
        <v>0</v>
      </c>
      <c r="AA166" s="5" t="n">
        <v>0</v>
      </c>
      <c r="AB166" s="5" t="n">
        <v>26.342797</v>
      </c>
      <c r="AC166" s="5" t="inlineStr">
        <is>
          <t>Wie schützen Unternehmen, Kommunen und Versorger digitale Systeme, Daten und kritische Infrastruktur?</t>
        </is>
      </c>
      <c r="AD166" s="5" t="inlineStr">
        <is>
          <t>Cyberresilienz und kritische Infrastruktur: ENTEGA Plus GmbH (profit_anchor, 5) + Staatskanzlei des Landes Rheinland-Pfalz (context_actor, 5).</t>
        </is>
      </c>
      <c r="AE166" s="5" t="inlineStr">
        <is>
          <t>ENTEGA Plus GmbH | Staatskanzlei des Landes Rheinland-Pfalz</t>
        </is>
      </c>
      <c r="AF166" s="5" t="inlineStr">
        <is>
          <t>cyber-resilienz-kritische-infrastruktur-entega-plus-gmbh-staatskanzlei-des-landes-rheinland-pfa</t>
        </is>
      </c>
    </row>
    <row r="167" ht="30" customHeight="1" s="46">
      <c r="A167" s="5" t="inlineStr">
        <is>
          <t>C0166</t>
        </is>
      </c>
      <c r="B167" s="5" t="inlineStr">
        <is>
          <t>x_0166</t>
        </is>
      </c>
      <c r="C167" s="5" t="n">
        <v>0</v>
      </c>
      <c r="D167" s="5" t="inlineStr">
        <is>
          <t>ENTEGA Plus GmbH</t>
        </is>
      </c>
      <c r="E167" s="5" t="inlineStr">
        <is>
          <t>TÜV Rheinland Berlin Brandenburg Pfalz e.V.</t>
        </is>
      </c>
      <c r="F167" s="5" t="n">
        <v>24</v>
      </c>
      <c r="G167" s="5" t="n">
        <v>91</v>
      </c>
      <c r="H167" s="5" t="inlineStr">
        <is>
          <t>profit_anchor</t>
        </is>
      </c>
      <c r="I167" t="inlineStr">
        <is>
          <t>energy_infrastructure_anchor</t>
        </is>
      </c>
      <c r="J167" s="5" t="inlineStr">
        <is>
          <t>context_actor</t>
        </is>
      </c>
      <c r="K167" t="inlineStr">
        <is>
          <t>chamber_association_anchor</t>
        </is>
      </c>
      <c r="L167" s="5" t="inlineStr">
        <is>
          <t>technologie</t>
        </is>
      </c>
      <c r="M167" s="5" t="inlineStr">
        <is>
          <t>cyber_resilienz_kritische_infrastruktur</t>
        </is>
      </c>
      <c r="N167" s="5" t="inlineStr">
        <is>
          <t>Cyberresilienz und kritische Infrastruktur</t>
        </is>
      </c>
      <c r="O167" s="5" t="n">
        <v>5</v>
      </c>
      <c r="P167" s="5" t="n">
        <v>5</v>
      </c>
      <c r="Q167" s="5" t="n">
        <v>14</v>
      </c>
      <c r="R167" s="5" t="n">
        <v>4</v>
      </c>
      <c r="S167" s="5" t="n">
        <v>0</v>
      </c>
      <c r="T167" s="5" t="n">
        <v>0</v>
      </c>
      <c r="U167" s="5" t="n">
        <v>2</v>
      </c>
      <c r="V167" s="5" t="n">
        <v>6</v>
      </c>
      <c r="W167" s="5" t="n">
        <v>6</v>
      </c>
      <c r="X167" s="5" t="n">
        <v>0</v>
      </c>
      <c r="Y167" s="5" t="n">
        <v>0</v>
      </c>
      <c r="Z167" s="5" t="n">
        <v>0</v>
      </c>
      <c r="AA167" s="5" t="n">
        <v>0</v>
      </c>
      <c r="AB167" s="5" t="n">
        <v>30.03541</v>
      </c>
      <c r="AC167" s="5" t="inlineStr">
        <is>
          <t>Wie schützen Unternehmen, Kommunen und Versorger digitale Systeme, Daten und kritische Infrastruktur?</t>
        </is>
      </c>
      <c r="AD167" s="5" t="inlineStr">
        <is>
          <t>Cyberresilienz und kritische Infrastruktur: ENTEGA Plus GmbH (profit_anchor, 5) + TÜV Rheinland Berlin Brandenburg Pfalz e.V. (context_actor, 5).</t>
        </is>
      </c>
      <c r="AE167" s="5" t="inlineStr">
        <is>
          <t>ENTEGA Plus GmbH | TÜV Rheinland Berlin Brandenburg Pfalz e.V.</t>
        </is>
      </c>
      <c r="AF167" s="5" t="inlineStr">
        <is>
          <t>cyber-resilienz-kritische-infrastruktur-entega-plus-gmbh-tüv-rheinland-berlin-brandenburg-pfalz</t>
        </is>
      </c>
    </row>
    <row r="168" ht="30" customHeight="1" s="46">
      <c r="A168" s="5" t="inlineStr">
        <is>
          <t>C0167</t>
        </is>
      </c>
      <c r="B168" s="5" t="inlineStr">
        <is>
          <t>x_0167</t>
        </is>
      </c>
      <c r="C168" s="5" t="n">
        <v>0</v>
      </c>
      <c r="D168" s="5" t="inlineStr">
        <is>
          <t>Mainzer Stadtwerke AG</t>
        </is>
      </c>
      <c r="E168" s="5" t="inlineStr">
        <is>
          <t>Rheinland-Pfälzische Technische Universität Kaiserslautern-Landau (RPTU)</t>
        </is>
      </c>
      <c r="F168" s="5" t="n">
        <v>68</v>
      </c>
      <c r="G168" s="5" t="n">
        <v>74</v>
      </c>
      <c r="H168" s="5" t="inlineStr">
        <is>
          <t>profit_anchor</t>
        </is>
      </c>
      <c r="I168" t="inlineStr">
        <is>
          <t>energy_infrastructure_anchor</t>
        </is>
      </c>
      <c r="J168" s="5" t="inlineStr">
        <is>
          <t>academic_support</t>
        </is>
      </c>
      <c r="K168" t="inlineStr">
        <is>
          <t>university_research</t>
        </is>
      </c>
      <c r="L168" s="5" t="inlineStr">
        <is>
          <t>technologie</t>
        </is>
      </c>
      <c r="M168" s="5" t="inlineStr">
        <is>
          <t>cyber_resilienz_kritische_infrastruktur</t>
        </is>
      </c>
      <c r="N168" s="5" t="inlineStr">
        <is>
          <t>Cyberresilienz und kritische Infrastruktur</t>
        </is>
      </c>
      <c r="O168" s="5" t="n">
        <v>5</v>
      </c>
      <c r="P168" s="5" t="n">
        <v>5</v>
      </c>
      <c r="Q168" s="5" t="n">
        <v>14</v>
      </c>
      <c r="R168" s="5" t="n">
        <v>4</v>
      </c>
      <c r="S168" s="5" t="n">
        <v>0</v>
      </c>
      <c r="T168" s="5" t="n">
        <v>0</v>
      </c>
      <c r="U168" s="5" t="n">
        <v>2</v>
      </c>
      <c r="V168" s="5" t="n">
        <v>6</v>
      </c>
      <c r="W168" s="5" t="n">
        <v>6</v>
      </c>
      <c r="X168" s="5" t="n">
        <v>0</v>
      </c>
      <c r="Y168" s="5" t="n">
        <v>0</v>
      </c>
      <c r="Z168" s="5" t="n">
        <v>0</v>
      </c>
      <c r="AA168" s="5" t="n">
        <v>0</v>
      </c>
      <c r="AB168" s="5" t="n">
        <v>28.612779</v>
      </c>
      <c r="AC168" s="5" t="inlineStr">
        <is>
          <t>Wie schützen Unternehmen, Kommunen und Versorger digitale Systeme, Daten und kritische Infrastruktur?</t>
        </is>
      </c>
      <c r="AD168" s="5" t="inlineStr">
        <is>
          <t>Cyberresilienz und kritische Infrastruktur: Mainzer Stadtwerke AG (profit_anchor, 5) + Rheinland-Pfälzische Technische Universität Kaiserslautern-Landau (RPTU) (academic_support, 5).</t>
        </is>
      </c>
      <c r="AE168" s="5" t="inlineStr">
        <is>
          <t>Mainzer Stadtwerke AG | Rheinland-Pfälzische Technische Universität Kaiserslautern-Landau (RPTU)</t>
        </is>
      </c>
      <c r="AF168" s="5" t="inlineStr">
        <is>
          <t>cyber-resilienz-kritische-infrastruktur-mainzer-stadtwerke-ag-rheinland-pfälzische-technische-u</t>
        </is>
      </c>
    </row>
    <row r="169" ht="30" customHeight="1" s="46">
      <c r="A169" s="5" t="inlineStr">
        <is>
          <t>C0168</t>
        </is>
      </c>
      <c r="B169" s="5" t="inlineStr">
        <is>
          <t>x_0168</t>
        </is>
      </c>
      <c r="C169" s="5" t="n">
        <v>0</v>
      </c>
      <c r="D169" s="5" t="inlineStr">
        <is>
          <t>Mainzer Stadtwerke AG</t>
        </is>
      </c>
      <c r="E169" s="5" t="inlineStr">
        <is>
          <t>Staatskanzlei des Landes Rheinland-Pfalz</t>
        </is>
      </c>
      <c r="F169" s="5" t="n">
        <v>68</v>
      </c>
      <c r="G169" s="5" t="n">
        <v>83</v>
      </c>
      <c r="H169" s="5" t="inlineStr">
        <is>
          <t>profit_anchor</t>
        </is>
      </c>
      <c r="I169" t="inlineStr">
        <is>
          <t>energy_infrastructure_anchor</t>
        </is>
      </c>
      <c r="J169" s="5" t="inlineStr">
        <is>
          <t>context_actor</t>
        </is>
      </c>
      <c r="K169" t="inlineStr">
        <is>
          <t>public_policy_anchor</t>
        </is>
      </c>
      <c r="L169" s="5" t="inlineStr">
        <is>
          <t>technologie</t>
        </is>
      </c>
      <c r="M169" s="5" t="inlineStr">
        <is>
          <t>cyber_resilienz_kritische_infrastruktur</t>
        </is>
      </c>
      <c r="N169" s="5" t="inlineStr">
        <is>
          <t>Cyberresilienz und kritische Infrastruktur</t>
        </is>
      </c>
      <c r="O169" s="5" t="n">
        <v>5</v>
      </c>
      <c r="P169" s="5" t="n">
        <v>5</v>
      </c>
      <c r="Q169" s="5" t="n">
        <v>14</v>
      </c>
      <c r="R169" s="5" t="n">
        <v>4</v>
      </c>
      <c r="S169" s="5" t="n">
        <v>0</v>
      </c>
      <c r="T169" s="5" t="n">
        <v>0</v>
      </c>
      <c r="U169" s="5" t="n">
        <v>2</v>
      </c>
      <c r="V169" s="5" t="n">
        <v>6</v>
      </c>
      <c r="W169" s="5" t="n">
        <v>6</v>
      </c>
      <c r="X169" s="5" t="n">
        <v>0</v>
      </c>
      <c r="Y169" s="5" t="n">
        <v>0</v>
      </c>
      <c r="Z169" s="5" t="n">
        <v>0</v>
      </c>
      <c r="AA169" s="5" t="n">
        <v>0</v>
      </c>
      <c r="AB169" s="5" t="n">
        <v>26.342797</v>
      </c>
      <c r="AC169" s="5" t="inlineStr">
        <is>
          <t>Wie schützen Unternehmen, Kommunen und Versorger digitale Systeme, Daten und kritische Infrastruktur?</t>
        </is>
      </c>
      <c r="AD169" s="5" t="inlineStr">
        <is>
          <t>Cyberresilienz und kritische Infrastruktur: Mainzer Stadtwerke AG (profit_anchor, 5) + Staatskanzlei des Landes Rheinland-Pfalz (context_actor, 5).</t>
        </is>
      </c>
      <c r="AE169" s="5" t="inlineStr">
        <is>
          <t>Mainzer Stadtwerke AG | Staatskanzlei des Landes Rheinland-Pfalz</t>
        </is>
      </c>
      <c r="AF169" s="5" t="inlineStr">
        <is>
          <t>cyber-resilienz-kritische-infrastruktur-mainzer-stadtwerke-ag-staatskanzlei-des-landes-rheinlan</t>
        </is>
      </c>
    </row>
    <row r="170" ht="30" customHeight="1" s="46">
      <c r="A170" s="5" t="inlineStr">
        <is>
          <t>C0169</t>
        </is>
      </c>
      <c r="B170" s="5" t="inlineStr">
        <is>
          <t>x_0169</t>
        </is>
      </c>
      <c r="C170" s="5" t="n">
        <v>0</v>
      </c>
      <c r="D170" s="5" t="inlineStr">
        <is>
          <t>Mainzer Stadtwerke AG</t>
        </is>
      </c>
      <c r="E170" s="5" t="inlineStr">
        <is>
          <t>TÜV Rheinland Berlin Brandenburg Pfalz e.V.</t>
        </is>
      </c>
      <c r="F170" s="5" t="n">
        <v>68</v>
      </c>
      <c r="G170" s="5" t="n">
        <v>91</v>
      </c>
      <c r="H170" s="5" t="inlineStr">
        <is>
          <t>profit_anchor</t>
        </is>
      </c>
      <c r="I170" t="inlineStr">
        <is>
          <t>energy_infrastructure_anchor</t>
        </is>
      </c>
      <c r="J170" s="5" t="inlineStr">
        <is>
          <t>context_actor</t>
        </is>
      </c>
      <c r="K170" t="inlineStr">
        <is>
          <t>chamber_association_anchor</t>
        </is>
      </c>
      <c r="L170" s="5" t="inlineStr">
        <is>
          <t>technologie</t>
        </is>
      </c>
      <c r="M170" s="5" t="inlineStr">
        <is>
          <t>cyber_resilienz_kritische_infrastruktur</t>
        </is>
      </c>
      <c r="N170" s="5" t="inlineStr">
        <is>
          <t>Cyberresilienz und kritische Infrastruktur</t>
        </is>
      </c>
      <c r="O170" s="5" t="n">
        <v>5</v>
      </c>
      <c r="P170" s="5" t="n">
        <v>5</v>
      </c>
      <c r="Q170" s="5" t="n">
        <v>14</v>
      </c>
      <c r="R170" s="5" t="n">
        <v>4</v>
      </c>
      <c r="S170" s="5" t="n">
        <v>0</v>
      </c>
      <c r="T170" s="5" t="n">
        <v>0</v>
      </c>
      <c r="U170" s="5" t="n">
        <v>2</v>
      </c>
      <c r="V170" s="5" t="n">
        <v>6</v>
      </c>
      <c r="W170" s="5" t="n">
        <v>6</v>
      </c>
      <c r="X170" s="5" t="n">
        <v>0</v>
      </c>
      <c r="Y170" s="5" t="n">
        <v>0</v>
      </c>
      <c r="Z170" s="5" t="n">
        <v>0</v>
      </c>
      <c r="AA170" s="5" t="n">
        <v>0</v>
      </c>
      <c r="AB170" s="5" t="n">
        <v>30.03541</v>
      </c>
      <c r="AC170" s="5" t="inlineStr">
        <is>
          <t>Wie schützen Unternehmen, Kommunen und Versorger digitale Systeme, Daten und kritische Infrastruktur?</t>
        </is>
      </c>
      <c r="AD170" s="5" t="inlineStr">
        <is>
          <t>Cyberresilienz und kritische Infrastruktur: Mainzer Stadtwerke AG (profit_anchor, 5) + TÜV Rheinland Berlin Brandenburg Pfalz e.V. (context_actor, 5).</t>
        </is>
      </c>
      <c r="AE170" s="5" t="inlineStr">
        <is>
          <t>Mainzer Stadtwerke AG | TÜV Rheinland Berlin Brandenburg Pfalz e.V.</t>
        </is>
      </c>
      <c r="AF170" s="5" t="inlineStr">
        <is>
          <t>cyber-resilienz-kritische-infrastruktur-mainzer-stadtwerke-ag-tüv-rheinland-berlin-brandenburg-</t>
        </is>
      </c>
    </row>
    <row r="171" ht="30" customHeight="1" s="46">
      <c r="A171" s="5" t="inlineStr">
        <is>
          <t>C0170</t>
        </is>
      </c>
      <c r="B171" s="5" t="inlineStr">
        <is>
          <t>x_0170</t>
        </is>
      </c>
      <c r="C171" s="5" t="n">
        <v>0</v>
      </c>
      <c r="D171" s="5" t="inlineStr">
        <is>
          <t>Pfalzwerke AG</t>
        </is>
      </c>
      <c r="E171" s="5" t="inlineStr">
        <is>
          <t>Rheinland-Pfälzische Technische Universität Kaiserslautern-Landau (RPTU)</t>
        </is>
      </c>
      <c r="F171" s="5" t="n">
        <v>72</v>
      </c>
      <c r="G171" s="5" t="n">
        <v>74</v>
      </c>
      <c r="H171" s="5" t="inlineStr">
        <is>
          <t>profit_anchor</t>
        </is>
      </c>
      <c r="I171" t="inlineStr">
        <is>
          <t>energy_infrastructure_anchor</t>
        </is>
      </c>
      <c r="J171" s="5" t="inlineStr">
        <is>
          <t>academic_support</t>
        </is>
      </c>
      <c r="K171" t="inlineStr">
        <is>
          <t>university_research</t>
        </is>
      </c>
      <c r="L171" s="5" t="inlineStr">
        <is>
          <t>technologie</t>
        </is>
      </c>
      <c r="M171" s="5" t="inlineStr">
        <is>
          <t>cyber_resilienz_kritische_infrastruktur</t>
        </is>
      </c>
      <c r="N171" s="5" t="inlineStr">
        <is>
          <t>Cyberresilienz und kritische Infrastruktur</t>
        </is>
      </c>
      <c r="O171" s="5" t="n">
        <v>5</v>
      </c>
      <c r="P171" s="5" t="n">
        <v>5</v>
      </c>
      <c r="Q171" s="5" t="n">
        <v>14</v>
      </c>
      <c r="R171" s="5" t="n">
        <v>4</v>
      </c>
      <c r="S171" s="5" t="n">
        <v>0</v>
      </c>
      <c r="T171" s="5" t="n">
        <v>0</v>
      </c>
      <c r="U171" s="5" t="n">
        <v>2</v>
      </c>
      <c r="V171" s="5" t="n">
        <v>6</v>
      </c>
      <c r="W171" s="5" t="n">
        <v>6</v>
      </c>
      <c r="X171" s="5" t="n">
        <v>0</v>
      </c>
      <c r="Y171" s="5" t="n">
        <v>0</v>
      </c>
      <c r="Z171" s="5" t="n">
        <v>0</v>
      </c>
      <c r="AA171" s="5" t="n">
        <v>0</v>
      </c>
      <c r="AB171" s="5" t="n">
        <v>28.612779</v>
      </c>
      <c r="AC171" s="5" t="inlineStr">
        <is>
          <t>Wie schützen Unternehmen, Kommunen und Versorger digitale Systeme, Daten und kritische Infrastruktur?</t>
        </is>
      </c>
      <c r="AD171" s="5" t="inlineStr">
        <is>
          <t>Cyberresilienz und kritische Infrastruktur: Pfalzwerke AG (profit_anchor, 5) + Rheinland-Pfälzische Technische Universität Kaiserslautern-Landau (RPTU) (academic_support, 5).</t>
        </is>
      </c>
      <c r="AE171" s="5" t="inlineStr">
        <is>
          <t>Pfalzwerke AG | Rheinland-Pfälzische Technische Universität Kaiserslautern-Landau (RPTU)</t>
        </is>
      </c>
      <c r="AF171" s="5" t="inlineStr">
        <is>
          <t>cyber-resilienz-kritische-infrastruktur-pfalzwerke-ag-rheinland-pfälzische-technische-universit</t>
        </is>
      </c>
    </row>
    <row r="172" ht="30" customHeight="1" s="46">
      <c r="A172" s="5" t="inlineStr">
        <is>
          <t>C0171</t>
        </is>
      </c>
      <c r="B172" s="5" t="inlineStr">
        <is>
          <t>x_0171</t>
        </is>
      </c>
      <c r="C172" s="5" t="n">
        <v>0</v>
      </c>
      <c r="D172" s="5" t="inlineStr">
        <is>
          <t>Pfalzwerke AG</t>
        </is>
      </c>
      <c r="E172" s="5" t="inlineStr">
        <is>
          <t>Staatskanzlei des Landes Rheinland-Pfalz</t>
        </is>
      </c>
      <c r="F172" s="5" t="n">
        <v>72</v>
      </c>
      <c r="G172" s="5" t="n">
        <v>83</v>
      </c>
      <c r="H172" s="5" t="inlineStr">
        <is>
          <t>profit_anchor</t>
        </is>
      </c>
      <c r="I172" t="inlineStr">
        <is>
          <t>energy_infrastructure_anchor</t>
        </is>
      </c>
      <c r="J172" s="5" t="inlineStr">
        <is>
          <t>context_actor</t>
        </is>
      </c>
      <c r="K172" t="inlineStr">
        <is>
          <t>public_policy_anchor</t>
        </is>
      </c>
      <c r="L172" s="5" t="inlineStr">
        <is>
          <t>technologie</t>
        </is>
      </c>
      <c r="M172" s="5" t="inlineStr">
        <is>
          <t>cyber_resilienz_kritische_infrastruktur</t>
        </is>
      </c>
      <c r="N172" s="5" t="inlineStr">
        <is>
          <t>Cyberresilienz und kritische Infrastruktur</t>
        </is>
      </c>
      <c r="O172" s="5" t="n">
        <v>5</v>
      </c>
      <c r="P172" s="5" t="n">
        <v>5</v>
      </c>
      <c r="Q172" s="5" t="n">
        <v>14</v>
      </c>
      <c r="R172" s="5" t="n">
        <v>4</v>
      </c>
      <c r="S172" s="5" t="n">
        <v>0</v>
      </c>
      <c r="T172" s="5" t="n">
        <v>0</v>
      </c>
      <c r="U172" s="5" t="n">
        <v>2</v>
      </c>
      <c r="V172" s="5" t="n">
        <v>6</v>
      </c>
      <c r="W172" s="5" t="n">
        <v>6</v>
      </c>
      <c r="X172" s="5" t="n">
        <v>0</v>
      </c>
      <c r="Y172" s="5" t="n">
        <v>0</v>
      </c>
      <c r="Z172" s="5" t="n">
        <v>0</v>
      </c>
      <c r="AA172" s="5" t="n">
        <v>0</v>
      </c>
      <c r="AB172" s="5" t="n">
        <v>26.342797</v>
      </c>
      <c r="AC172" s="5" t="inlineStr">
        <is>
          <t>Wie schützen Unternehmen, Kommunen und Versorger digitale Systeme, Daten und kritische Infrastruktur?</t>
        </is>
      </c>
      <c r="AD172" s="5" t="inlineStr">
        <is>
          <t>Cyberresilienz und kritische Infrastruktur: Pfalzwerke AG (profit_anchor, 5) + Staatskanzlei des Landes Rheinland-Pfalz (context_actor, 5).</t>
        </is>
      </c>
      <c r="AE172" s="5" t="inlineStr">
        <is>
          <t>Pfalzwerke AG | Staatskanzlei des Landes Rheinland-Pfalz</t>
        </is>
      </c>
      <c r="AF172" s="5" t="inlineStr">
        <is>
          <t>cyber-resilienz-kritische-infrastruktur-pfalzwerke-ag-staatskanzlei-des-landes-rheinland-pfalz</t>
        </is>
      </c>
    </row>
    <row r="173" ht="30" customHeight="1" s="46">
      <c r="A173" s="5" t="inlineStr">
        <is>
          <t>C0172</t>
        </is>
      </c>
      <c r="B173" s="5" t="inlineStr">
        <is>
          <t>x_0172</t>
        </is>
      </c>
      <c r="C173" s="5" t="n">
        <v>0</v>
      </c>
      <c r="D173" s="5" t="inlineStr">
        <is>
          <t>Pfalzwerke AG</t>
        </is>
      </c>
      <c r="E173" s="5" t="inlineStr">
        <is>
          <t>TÜV Rheinland Berlin Brandenburg Pfalz e.V.</t>
        </is>
      </c>
      <c r="F173" s="5" t="n">
        <v>72</v>
      </c>
      <c r="G173" s="5" t="n">
        <v>91</v>
      </c>
      <c r="H173" s="5" t="inlineStr">
        <is>
          <t>profit_anchor</t>
        </is>
      </c>
      <c r="I173" t="inlineStr">
        <is>
          <t>energy_infrastructure_anchor</t>
        </is>
      </c>
      <c r="J173" s="5" t="inlineStr">
        <is>
          <t>context_actor</t>
        </is>
      </c>
      <c r="K173" t="inlineStr">
        <is>
          <t>chamber_association_anchor</t>
        </is>
      </c>
      <c r="L173" s="5" t="inlineStr">
        <is>
          <t>technologie</t>
        </is>
      </c>
      <c r="M173" s="5" t="inlineStr">
        <is>
          <t>cyber_resilienz_kritische_infrastruktur</t>
        </is>
      </c>
      <c r="N173" s="5" t="inlineStr">
        <is>
          <t>Cyberresilienz und kritische Infrastruktur</t>
        </is>
      </c>
      <c r="O173" s="5" t="n">
        <v>5</v>
      </c>
      <c r="P173" s="5" t="n">
        <v>5</v>
      </c>
      <c r="Q173" s="5" t="n">
        <v>14</v>
      </c>
      <c r="R173" s="5" t="n">
        <v>4</v>
      </c>
      <c r="S173" s="5" t="n">
        <v>0</v>
      </c>
      <c r="T173" s="5" t="n">
        <v>0</v>
      </c>
      <c r="U173" s="5" t="n">
        <v>2</v>
      </c>
      <c r="V173" s="5" t="n">
        <v>6</v>
      </c>
      <c r="W173" s="5" t="n">
        <v>6</v>
      </c>
      <c r="X173" s="5" t="n">
        <v>0</v>
      </c>
      <c r="Y173" s="5" t="n">
        <v>0</v>
      </c>
      <c r="Z173" s="5" t="n">
        <v>0</v>
      </c>
      <c r="AA173" s="5" t="n">
        <v>0</v>
      </c>
      <c r="AB173" s="5" t="n">
        <v>30.03541</v>
      </c>
      <c r="AC173" s="5" t="inlineStr">
        <is>
          <t>Wie schützen Unternehmen, Kommunen und Versorger digitale Systeme, Daten und kritische Infrastruktur?</t>
        </is>
      </c>
      <c r="AD173" s="5" t="inlineStr">
        <is>
          <t>Cyberresilienz und kritische Infrastruktur: Pfalzwerke AG (profit_anchor, 5) + TÜV Rheinland Berlin Brandenburg Pfalz e.V. (context_actor, 5).</t>
        </is>
      </c>
      <c r="AE173" s="5" t="inlineStr">
        <is>
          <t>Pfalzwerke AG | TÜV Rheinland Berlin Brandenburg Pfalz e.V.</t>
        </is>
      </c>
      <c r="AF173" s="5" t="inlineStr">
        <is>
          <t>cyber-resilienz-kritische-infrastruktur-pfalzwerke-ag-tüv-rheinland-berlin-brandenburg-pfalz-e-</t>
        </is>
      </c>
    </row>
    <row r="174" ht="30" customHeight="1" s="46">
      <c r="A174" s="5" t="inlineStr">
        <is>
          <t>C0173</t>
        </is>
      </c>
      <c r="B174" s="5" t="inlineStr">
        <is>
          <t>x_0173</t>
        </is>
      </c>
      <c r="C174" s="5" t="n">
        <v>0</v>
      </c>
      <c r="D174" s="5" t="inlineStr">
        <is>
          <t>Rheinland-Pfälzische Technische Universität Kaiserslautern-Landau (RPTU)</t>
        </is>
      </c>
      <c r="E174" s="5" t="inlineStr">
        <is>
          <t>Westenergie AG</t>
        </is>
      </c>
      <c r="F174" s="5" t="n">
        <v>74</v>
      </c>
      <c r="G174" s="5" t="n">
        <v>98</v>
      </c>
      <c r="H174" s="5" t="inlineStr">
        <is>
          <t>academic_support</t>
        </is>
      </c>
      <c r="I174" t="inlineStr">
        <is>
          <t>university_research</t>
        </is>
      </c>
      <c r="J174" s="5" t="inlineStr">
        <is>
          <t>profit_anchor</t>
        </is>
      </c>
      <c r="K174" t="inlineStr">
        <is>
          <t>energy_infrastructure_anchor</t>
        </is>
      </c>
      <c r="L174" s="5" t="inlineStr">
        <is>
          <t>technologie</t>
        </is>
      </c>
      <c r="M174" s="5" t="inlineStr">
        <is>
          <t>cyber_resilienz_kritische_infrastruktur</t>
        </is>
      </c>
      <c r="N174" s="5" t="inlineStr">
        <is>
          <t>Cyberresilienz und kritische Infrastruktur</t>
        </is>
      </c>
      <c r="O174" s="5" t="n">
        <v>5</v>
      </c>
      <c r="P174" s="5" t="n">
        <v>5</v>
      </c>
      <c r="Q174" s="5" t="n">
        <v>14</v>
      </c>
      <c r="R174" s="5" t="n">
        <v>4</v>
      </c>
      <c r="S174" s="5" t="n">
        <v>0</v>
      </c>
      <c r="T174" s="5" t="n">
        <v>0</v>
      </c>
      <c r="U174" s="5" t="n">
        <v>2</v>
      </c>
      <c r="V174" s="5" t="n">
        <v>6</v>
      </c>
      <c r="W174" s="5" t="n">
        <v>6</v>
      </c>
      <c r="X174" s="5" t="n">
        <v>0</v>
      </c>
      <c r="Y174" s="5" t="n">
        <v>0</v>
      </c>
      <c r="Z174" s="5" t="n">
        <v>0</v>
      </c>
      <c r="AA174" s="5" t="n">
        <v>0</v>
      </c>
      <c r="AB174" s="5" t="n">
        <v>28.612779</v>
      </c>
      <c r="AC174" s="5" t="inlineStr">
        <is>
          <t>Wie schützen Unternehmen, Kommunen und Versorger digitale Systeme, Daten und kritische Infrastruktur?</t>
        </is>
      </c>
      <c r="AD174" s="5" t="inlineStr">
        <is>
          <t>Cyberresilienz und kritische Infrastruktur: Rheinland-Pfälzische Technische Universität Kaiserslautern-Landau (RPTU) (academic_support, 5) + Westenergie AG (profit_anchor, 5).</t>
        </is>
      </c>
      <c r="AE174" s="5" t="inlineStr">
        <is>
          <t>Rheinland-Pfälzische Technische Universität Kaiserslautern-Landau (RPTU) | Westenergie AG</t>
        </is>
      </c>
      <c r="AF174" s="5" t="inlineStr">
        <is>
          <t>cyber-resilienz-kritische-infrastruktur-rheinland-pfälzische-technische-universität-kaiserslaut</t>
        </is>
      </c>
    </row>
    <row r="175" ht="30" customHeight="1" s="46">
      <c r="A175" s="5" t="inlineStr">
        <is>
          <t>C0174</t>
        </is>
      </c>
      <c r="B175" s="5" t="inlineStr">
        <is>
          <t>x_0174</t>
        </is>
      </c>
      <c r="C175" s="5" t="n">
        <v>0</v>
      </c>
      <c r="D175" s="5" t="inlineStr">
        <is>
          <t>Staatskanzlei des Landes Rheinland-Pfalz</t>
        </is>
      </c>
      <c r="E175" s="5" t="inlineStr">
        <is>
          <t>Westenergie AG</t>
        </is>
      </c>
      <c r="F175" s="5" t="n">
        <v>83</v>
      </c>
      <c r="G175" s="5" t="n">
        <v>98</v>
      </c>
      <c r="H175" s="5" t="inlineStr">
        <is>
          <t>context_actor</t>
        </is>
      </c>
      <c r="I175" t="inlineStr">
        <is>
          <t>public_policy_anchor</t>
        </is>
      </c>
      <c r="J175" s="5" t="inlineStr">
        <is>
          <t>profit_anchor</t>
        </is>
      </c>
      <c r="K175" t="inlineStr">
        <is>
          <t>energy_infrastructure_anchor</t>
        </is>
      </c>
      <c r="L175" s="5" t="inlineStr">
        <is>
          <t>technologie</t>
        </is>
      </c>
      <c r="M175" s="5" t="inlineStr">
        <is>
          <t>cyber_resilienz_kritische_infrastruktur</t>
        </is>
      </c>
      <c r="N175" s="5" t="inlineStr">
        <is>
          <t>Cyberresilienz und kritische Infrastruktur</t>
        </is>
      </c>
      <c r="O175" s="5" t="n">
        <v>5</v>
      </c>
      <c r="P175" s="5" t="n">
        <v>5</v>
      </c>
      <c r="Q175" s="5" t="n">
        <v>14</v>
      </c>
      <c r="R175" s="5" t="n">
        <v>4</v>
      </c>
      <c r="S175" s="5" t="n">
        <v>0</v>
      </c>
      <c r="T175" s="5" t="n">
        <v>0</v>
      </c>
      <c r="U175" s="5" t="n">
        <v>2</v>
      </c>
      <c r="V175" s="5" t="n">
        <v>6</v>
      </c>
      <c r="W175" s="5" t="n">
        <v>6</v>
      </c>
      <c r="X175" s="5" t="n">
        <v>0</v>
      </c>
      <c r="Y175" s="5" t="n">
        <v>0</v>
      </c>
      <c r="Z175" s="5" t="n">
        <v>0</v>
      </c>
      <c r="AA175" s="5" t="n">
        <v>0</v>
      </c>
      <c r="AB175" s="5" t="n">
        <v>26.342797</v>
      </c>
      <c r="AC175" s="5" t="inlineStr">
        <is>
          <t>Wie schützen Unternehmen, Kommunen und Versorger digitale Systeme, Daten und kritische Infrastruktur?</t>
        </is>
      </c>
      <c r="AD175" s="5" t="inlineStr">
        <is>
          <t>Cyberresilienz und kritische Infrastruktur: Staatskanzlei des Landes Rheinland-Pfalz (context_actor, 5) + Westenergie AG (profit_anchor, 5).</t>
        </is>
      </c>
      <c r="AE175" s="5" t="inlineStr">
        <is>
          <t>Staatskanzlei des Landes Rheinland-Pfalz | Westenergie AG</t>
        </is>
      </c>
      <c r="AF175" s="5" t="inlineStr">
        <is>
          <t>cyber-resilienz-kritische-infrastruktur-staatskanzlei-des-landes-rheinland-pfalz-westenergie-ag</t>
        </is>
      </c>
    </row>
    <row r="176" ht="30" customHeight="1" s="46">
      <c r="A176" s="5" t="inlineStr">
        <is>
          <t>C0175</t>
        </is>
      </c>
      <c r="B176" s="5" t="inlineStr">
        <is>
          <t>x_0175</t>
        </is>
      </c>
      <c r="C176" s="5" t="n">
        <v>0</v>
      </c>
      <c r="D176" s="5" t="inlineStr">
        <is>
          <t>TÜV Rheinland Berlin Brandenburg Pfalz e.V.</t>
        </is>
      </c>
      <c r="E176" s="5" t="inlineStr">
        <is>
          <t>Westenergie AG</t>
        </is>
      </c>
      <c r="F176" s="5" t="n">
        <v>91</v>
      </c>
      <c r="G176" s="5" t="n">
        <v>98</v>
      </c>
      <c r="H176" s="5" t="inlineStr">
        <is>
          <t>context_actor</t>
        </is>
      </c>
      <c r="I176" t="inlineStr">
        <is>
          <t>chamber_association_anchor</t>
        </is>
      </c>
      <c r="J176" s="5" t="inlineStr">
        <is>
          <t>profit_anchor</t>
        </is>
      </c>
      <c r="K176" t="inlineStr">
        <is>
          <t>energy_infrastructure_anchor</t>
        </is>
      </c>
      <c r="L176" s="5" t="inlineStr">
        <is>
          <t>technologie</t>
        </is>
      </c>
      <c r="M176" s="5" t="inlineStr">
        <is>
          <t>cyber_resilienz_kritische_infrastruktur</t>
        </is>
      </c>
      <c r="N176" s="5" t="inlineStr">
        <is>
          <t>Cyberresilienz und kritische Infrastruktur</t>
        </is>
      </c>
      <c r="O176" s="5" t="n">
        <v>5</v>
      </c>
      <c r="P176" s="5" t="n">
        <v>5</v>
      </c>
      <c r="Q176" s="5" t="n">
        <v>14</v>
      </c>
      <c r="R176" s="5" t="n">
        <v>4</v>
      </c>
      <c r="S176" s="5" t="n">
        <v>0</v>
      </c>
      <c r="T176" s="5" t="n">
        <v>0</v>
      </c>
      <c r="U176" s="5" t="n">
        <v>2</v>
      </c>
      <c r="V176" s="5" t="n">
        <v>6</v>
      </c>
      <c r="W176" s="5" t="n">
        <v>6</v>
      </c>
      <c r="X176" s="5" t="n">
        <v>0</v>
      </c>
      <c r="Y176" s="5" t="n">
        <v>0</v>
      </c>
      <c r="Z176" s="5" t="n">
        <v>0</v>
      </c>
      <c r="AA176" s="5" t="n">
        <v>0</v>
      </c>
      <c r="AB176" s="5" t="n">
        <v>30.03541</v>
      </c>
      <c r="AC176" s="5" t="inlineStr">
        <is>
          <t>Wie schützen Unternehmen, Kommunen und Versorger digitale Systeme, Daten und kritische Infrastruktur?</t>
        </is>
      </c>
      <c r="AD176" s="5" t="inlineStr">
        <is>
          <t>Cyberresilienz und kritische Infrastruktur: TÜV Rheinland Berlin Brandenburg Pfalz e.V. (context_actor, 5) + Westenergie AG (profit_anchor, 5).</t>
        </is>
      </c>
      <c r="AE176" s="5" t="inlineStr">
        <is>
          <t>TÜV Rheinland Berlin Brandenburg Pfalz e.V. | Westenergie AG</t>
        </is>
      </c>
      <c r="AF176" s="5" t="inlineStr">
        <is>
          <t>cyber-resilienz-kritische-infrastruktur-tüv-rheinland-berlin-brandenburg-pfalz-e-v-westenergie-</t>
        </is>
      </c>
    </row>
    <row r="177" ht="30" customHeight="1" s="46">
      <c r="A177" s="5" t="inlineStr">
        <is>
          <t>C0176</t>
        </is>
      </c>
      <c r="B177" s="5" t="inlineStr">
        <is>
          <t>x_0176</t>
        </is>
      </c>
      <c r="C177" s="5" t="n">
        <v>0</v>
      </c>
      <c r="D177" s="5" t="inlineStr">
        <is>
          <t>Caritasverband für die Diözese Speyer e.V.</t>
        </is>
      </c>
      <c r="E177" s="5" t="inlineStr">
        <is>
          <t>Hochschule für Gesellschaftsgestaltung (HfGG)</t>
        </is>
      </c>
      <c r="F177" s="5" t="n">
        <v>14</v>
      </c>
      <c r="G177" s="5" t="n">
        <v>34</v>
      </c>
      <c r="H177" s="5" t="inlineStr">
        <is>
          <t>implementation_anchor</t>
        </is>
      </c>
      <c r="I177" t="inlineStr">
        <is>
          <t>health_social_anchor</t>
        </is>
      </c>
      <c r="J177" s="5" t="inlineStr">
        <is>
          <t>academic_support</t>
        </is>
      </c>
      <c r="K177" t="inlineStr">
        <is>
          <t>university_applied_sciences</t>
        </is>
      </c>
      <c r="L177" s="5" t="inlineStr">
        <is>
          <t>gesellschaft</t>
        </is>
      </c>
      <c r="M177" s="5" t="inlineStr">
        <is>
          <t>demokratie_medien_zusammenhalt</t>
        </is>
      </c>
      <c r="N177" s="5" t="inlineStr">
        <is>
          <t>Demokratie, Medien und gesellschaftlicher Zusammenhalt</t>
        </is>
      </c>
      <c r="O177" s="5" t="n">
        <v>4</v>
      </c>
      <c r="P177" s="5" t="n">
        <v>4</v>
      </c>
      <c r="Q177" s="5" t="n">
        <v>12</v>
      </c>
      <c r="R177" s="5" t="n">
        <v>4</v>
      </c>
      <c r="S177" s="5" t="n">
        <v>0</v>
      </c>
      <c r="T177" s="5" t="n">
        <v>0</v>
      </c>
      <c r="U177" s="5" t="n">
        <v>2</v>
      </c>
      <c r="V177" s="5" t="n">
        <v>7</v>
      </c>
      <c r="W177" s="5" t="n">
        <v>7</v>
      </c>
      <c r="X177" s="5" t="n">
        <v>0</v>
      </c>
      <c r="Y177" s="5" t="n">
        <v>0</v>
      </c>
      <c r="Z177" s="5" t="n">
        <v>0</v>
      </c>
      <c r="AA177" s="5" t="n">
        <v>0</v>
      </c>
      <c r="AB177" s="5" t="n">
        <v>33.914618</v>
      </c>
      <c r="AC177" s="5" t="inlineStr">
        <is>
          <t>Wie stärken Medien, Bildung, Kirchen, Wissenschaft und Zivilgesellschaft Vertrauen und demokratische Orientierung?</t>
        </is>
      </c>
      <c r="AD177" s="5" t="inlineStr">
        <is>
          <t>Demokratie, Medien und gesellschaftlicher Zusammenhalt: Caritasverband für die Diözese Speyer e.V. (implementation_anchor, 4) + Hochschule für Gesellschaftsgestaltung (HfGG) (academic_support, 4).</t>
        </is>
      </c>
      <c r="AE177" s="5" t="inlineStr">
        <is>
          <t>Caritasverband für die Diözese Speyer e.V. | Hochschule für Gesellschaftsgestaltung (HfGG)</t>
        </is>
      </c>
      <c r="AF177" s="5" t="inlineStr">
        <is>
          <t>demokratie-medien-zusammenhalt-caritasverband-für-die-diözese-speyer-e-v-hochschule-für-gesells</t>
        </is>
      </c>
    </row>
    <row r="178" ht="30" customHeight="1" s="46">
      <c r="A178" s="5" t="inlineStr">
        <is>
          <t>C0177</t>
        </is>
      </c>
      <c r="B178" s="5" t="inlineStr">
        <is>
          <t>x_0177</t>
        </is>
      </c>
      <c r="C178" s="5" t="n">
        <v>0</v>
      </c>
      <c r="D178" s="5" t="inlineStr">
        <is>
          <t>Caritasverband für die Diözese Speyer e.V.</t>
        </is>
      </c>
      <c r="E178" s="5" t="inlineStr">
        <is>
          <t>Johannes Gutenberg-Universität Mainz</t>
        </is>
      </c>
      <c r="F178" s="5" t="n">
        <v>14</v>
      </c>
      <c r="G178" s="5" t="n">
        <v>49</v>
      </c>
      <c r="H178" s="5" t="inlineStr">
        <is>
          <t>implementation_anchor</t>
        </is>
      </c>
      <c r="I178" t="inlineStr">
        <is>
          <t>health_social_anchor</t>
        </is>
      </c>
      <c r="J178" s="5" t="inlineStr">
        <is>
          <t>academic_support</t>
        </is>
      </c>
      <c r="K178" t="inlineStr">
        <is>
          <t>university_research</t>
        </is>
      </c>
      <c r="L178" s="5" t="inlineStr">
        <is>
          <t>gesellschaft</t>
        </is>
      </c>
      <c r="M178" s="5" t="inlineStr">
        <is>
          <t>demokratie_medien_zusammenhalt</t>
        </is>
      </c>
      <c r="N178" s="5" t="inlineStr">
        <is>
          <t>Demokratie, Medien und gesellschaftlicher Zusammenhalt</t>
        </is>
      </c>
      <c r="O178" s="5" t="n">
        <v>4</v>
      </c>
      <c r="P178" s="5" t="n">
        <v>4</v>
      </c>
      <c r="Q178" s="5" t="n">
        <v>12</v>
      </c>
      <c r="R178" s="5" t="n">
        <v>4</v>
      </c>
      <c r="S178" s="5" t="n">
        <v>0</v>
      </c>
      <c r="T178" s="5" t="n">
        <v>0</v>
      </c>
      <c r="U178" s="5" t="n">
        <v>2</v>
      </c>
      <c r="V178" s="5" t="n">
        <v>7</v>
      </c>
      <c r="W178" s="5" t="n">
        <v>7</v>
      </c>
      <c r="X178" s="5" t="n">
        <v>0</v>
      </c>
      <c r="Y178" s="5" t="n">
        <v>0</v>
      </c>
      <c r="Z178" s="5" t="n">
        <v>0</v>
      </c>
      <c r="AA178" s="5" t="n">
        <v>0</v>
      </c>
      <c r="AB178" s="5" t="n">
        <v>38.640892</v>
      </c>
      <c r="AC178" s="5" t="inlineStr">
        <is>
          <t>Wie stärken Medien, Bildung, Kirchen, Wissenschaft und Zivilgesellschaft Vertrauen und demokratische Orientierung?</t>
        </is>
      </c>
      <c r="AD178" s="5" t="inlineStr">
        <is>
          <t>Demokratie, Medien und gesellschaftlicher Zusammenhalt: Caritasverband für die Diözese Speyer e.V. (implementation_anchor, 4) + Johannes Gutenberg-Universität Mainz (academic_support, 4).</t>
        </is>
      </c>
      <c r="AE178" s="5" t="inlineStr">
        <is>
          <t>Caritasverband für die Diözese Speyer e.V. | Johannes Gutenberg-Universität Mainz</t>
        </is>
      </c>
      <c r="AF178" s="5" t="inlineStr">
        <is>
          <t>demokratie-medien-zusammenhalt-caritasverband-für-die-diözese-speyer-e-v-johannes-gutenberg-uni</t>
        </is>
      </c>
    </row>
    <row r="179" ht="30" customHeight="1" s="46">
      <c r="A179" s="5" t="inlineStr">
        <is>
          <t>C0178</t>
        </is>
      </c>
      <c r="B179" s="5" t="inlineStr">
        <is>
          <t>x_0178</t>
        </is>
      </c>
      <c r="C179" s="5" t="n">
        <v>0</v>
      </c>
      <c r="D179" s="5" t="inlineStr">
        <is>
          <t>Caritasverband für die Diözese Speyer e.V.</t>
        </is>
      </c>
      <c r="E179" s="5" t="inlineStr">
        <is>
          <t>Katholische Hochschule Mainz</t>
        </is>
      </c>
      <c r="F179" s="5" t="n">
        <v>14</v>
      </c>
      <c r="G179" s="5" t="n">
        <v>55</v>
      </c>
      <c r="H179" s="5" t="inlineStr">
        <is>
          <t>implementation_anchor</t>
        </is>
      </c>
      <c r="I179" t="inlineStr">
        <is>
          <t>health_social_anchor</t>
        </is>
      </c>
      <c r="J179" s="5" t="inlineStr">
        <is>
          <t>academic_support</t>
        </is>
      </c>
      <c r="K179" t="inlineStr">
        <is>
          <t>university_applied_sciences</t>
        </is>
      </c>
      <c r="L179" s="5" t="inlineStr">
        <is>
          <t>gesellschaft</t>
        </is>
      </c>
      <c r="M179" s="5" t="inlineStr">
        <is>
          <t>demokratie_medien_zusammenhalt</t>
        </is>
      </c>
      <c r="N179" s="5" t="inlineStr">
        <is>
          <t>Demokratie, Medien und gesellschaftlicher Zusammenhalt</t>
        </is>
      </c>
      <c r="O179" s="5" t="n">
        <v>4</v>
      </c>
      <c r="P179" s="5" t="n">
        <v>4</v>
      </c>
      <c r="Q179" s="5" t="n">
        <v>12</v>
      </c>
      <c r="R179" s="5" t="n">
        <v>4</v>
      </c>
      <c r="S179" s="5" t="n">
        <v>0</v>
      </c>
      <c r="T179" s="5" t="n">
        <v>0</v>
      </c>
      <c r="U179" s="5" t="n">
        <v>2</v>
      </c>
      <c r="V179" s="5" t="n">
        <v>7</v>
      </c>
      <c r="W179" s="5" t="n">
        <v>7</v>
      </c>
      <c r="X179" s="5" t="n">
        <v>0</v>
      </c>
      <c r="Y179" s="5" t="n">
        <v>0</v>
      </c>
      <c r="Z179" s="5" t="n">
        <v>0</v>
      </c>
      <c r="AA179" s="5" t="n">
        <v>0</v>
      </c>
      <c r="AB179" s="5" t="n">
        <v>33.914618</v>
      </c>
      <c r="AC179" s="5" t="inlineStr">
        <is>
          <t>Wie stärken Medien, Bildung, Kirchen, Wissenschaft und Zivilgesellschaft Vertrauen und demokratische Orientierung?</t>
        </is>
      </c>
      <c r="AD179" s="5" t="inlineStr">
        <is>
          <t>Demokratie, Medien und gesellschaftlicher Zusammenhalt: Caritasverband für die Diözese Speyer e.V. (implementation_anchor, 4) + Katholische Hochschule Mainz (academic_support, 4).</t>
        </is>
      </c>
      <c r="AE179" s="5" t="inlineStr">
        <is>
          <t>Caritasverband für die Diözese Speyer e.V. | Katholische Hochschule Mainz</t>
        </is>
      </c>
      <c r="AF179" s="5" t="inlineStr">
        <is>
          <t>demokratie-medien-zusammenhalt-caritasverband-für-die-diözese-speyer-e-v-katholische-hochschule</t>
        </is>
      </c>
    </row>
    <row r="180" ht="30" customHeight="1" s="46">
      <c r="A180" s="5" t="inlineStr">
        <is>
          <t>C0179</t>
        </is>
      </c>
      <c r="B180" s="5" t="inlineStr">
        <is>
          <t>x_0179</t>
        </is>
      </c>
      <c r="C180" s="5" t="n">
        <v>0</v>
      </c>
      <c r="D180" s="5" t="inlineStr">
        <is>
          <t>Caritasverband für die Diözese Speyer e.V.</t>
        </is>
      </c>
      <c r="E180" s="5" t="inlineStr">
        <is>
          <t>Universität Koblenz</t>
        </is>
      </c>
      <c r="F180" s="5" t="n">
        <v>14</v>
      </c>
      <c r="G180" s="5" t="n">
        <v>92</v>
      </c>
      <c r="H180" s="5" t="inlineStr">
        <is>
          <t>implementation_anchor</t>
        </is>
      </c>
      <c r="I180" t="inlineStr">
        <is>
          <t>health_social_anchor</t>
        </is>
      </c>
      <c r="J180" s="5" t="inlineStr">
        <is>
          <t>academic_support</t>
        </is>
      </c>
      <c r="K180" t="inlineStr">
        <is>
          <t>university_research</t>
        </is>
      </c>
      <c r="L180" s="5" t="inlineStr">
        <is>
          <t>gesellschaft</t>
        </is>
      </c>
      <c r="M180" s="5" t="inlineStr">
        <is>
          <t>demokratie_medien_zusammenhalt</t>
        </is>
      </c>
      <c r="N180" s="5" t="inlineStr">
        <is>
          <t>Demokratie, Medien und gesellschaftlicher Zusammenhalt</t>
        </is>
      </c>
      <c r="O180" s="5" t="n">
        <v>4</v>
      </c>
      <c r="P180" s="5" t="n">
        <v>4</v>
      </c>
      <c r="Q180" s="5" t="n">
        <v>12</v>
      </c>
      <c r="R180" s="5" t="n">
        <v>4</v>
      </c>
      <c r="S180" s="5" t="n">
        <v>0</v>
      </c>
      <c r="T180" s="5" t="n">
        <v>0</v>
      </c>
      <c r="U180" s="5" t="n">
        <v>2</v>
      </c>
      <c r="V180" s="5" t="n">
        <v>7</v>
      </c>
      <c r="W180" s="5" t="n">
        <v>7</v>
      </c>
      <c r="X180" s="5" t="n">
        <v>0</v>
      </c>
      <c r="Y180" s="5" t="n">
        <v>0</v>
      </c>
      <c r="Z180" s="5" t="n">
        <v>0</v>
      </c>
      <c r="AA180" s="5" t="n">
        <v>0</v>
      </c>
      <c r="AB180" s="5" t="n">
        <v>38.640892</v>
      </c>
      <c r="AC180" s="5" t="inlineStr">
        <is>
          <t>Wie stärken Medien, Bildung, Kirchen, Wissenschaft und Zivilgesellschaft Vertrauen und demokratische Orientierung?</t>
        </is>
      </c>
      <c r="AD180" s="5" t="inlineStr">
        <is>
          <t>Demokratie, Medien und gesellschaftlicher Zusammenhalt: Caritasverband für die Diözese Speyer e.V. (implementation_anchor, 4) + Universität Koblenz (academic_support, 4).</t>
        </is>
      </c>
      <c r="AE180" s="5" t="inlineStr">
        <is>
          <t>Caritasverband für die Diözese Speyer e.V. | Universität Koblenz</t>
        </is>
      </c>
      <c r="AF180" s="5" t="inlineStr">
        <is>
          <t>demokratie-medien-zusammenhalt-caritasverband-für-die-diözese-speyer-e-v-universität-koblenz</t>
        </is>
      </c>
    </row>
    <row r="181" ht="30" customHeight="1" s="46">
      <c r="A181" s="5" t="inlineStr">
        <is>
          <t>C0180</t>
        </is>
      </c>
      <c r="B181" s="5" t="inlineStr">
        <is>
          <t>x_0180</t>
        </is>
      </c>
      <c r="C181" s="5" t="n">
        <v>0</v>
      </c>
      <c r="D181" s="5" t="inlineStr">
        <is>
          <t>Caritasverband für die Diözese Speyer e.V.</t>
        </is>
      </c>
      <c r="E181" s="5" t="inlineStr">
        <is>
          <t>Universität Trier</t>
        </is>
      </c>
      <c r="F181" s="5" t="n">
        <v>14</v>
      </c>
      <c r="G181" s="5" t="n">
        <v>93</v>
      </c>
      <c r="H181" s="5" t="inlineStr">
        <is>
          <t>implementation_anchor</t>
        </is>
      </c>
      <c r="I181" t="inlineStr">
        <is>
          <t>health_social_anchor</t>
        </is>
      </c>
      <c r="J181" s="5" t="inlineStr">
        <is>
          <t>academic_support</t>
        </is>
      </c>
      <c r="K181" t="inlineStr">
        <is>
          <t>university_research</t>
        </is>
      </c>
      <c r="L181" s="5" t="inlineStr">
        <is>
          <t>gesellschaft</t>
        </is>
      </c>
      <c r="M181" s="5" t="inlineStr">
        <is>
          <t>demokratie_medien_zusammenhalt</t>
        </is>
      </c>
      <c r="N181" s="5" t="inlineStr">
        <is>
          <t>Demokratie, Medien und gesellschaftlicher Zusammenhalt</t>
        </is>
      </c>
      <c r="O181" s="5" t="n">
        <v>4</v>
      </c>
      <c r="P181" s="5" t="n">
        <v>4</v>
      </c>
      <c r="Q181" s="5" t="n">
        <v>12</v>
      </c>
      <c r="R181" s="5" t="n">
        <v>4</v>
      </c>
      <c r="S181" s="5" t="n">
        <v>0</v>
      </c>
      <c r="T181" s="5" t="n">
        <v>0</v>
      </c>
      <c r="U181" s="5" t="n">
        <v>2</v>
      </c>
      <c r="V181" s="5" t="n">
        <v>7</v>
      </c>
      <c r="W181" s="5" t="n">
        <v>7</v>
      </c>
      <c r="X181" s="5" t="n">
        <v>0</v>
      </c>
      <c r="Y181" s="5" t="n">
        <v>0</v>
      </c>
      <c r="Z181" s="5" t="n">
        <v>0</v>
      </c>
      <c r="AA181" s="5" t="n">
        <v>0</v>
      </c>
      <c r="AB181" s="5" t="n">
        <v>38.640892</v>
      </c>
      <c r="AC181" s="5" t="inlineStr">
        <is>
          <t>Wie stärken Medien, Bildung, Kirchen, Wissenschaft und Zivilgesellschaft Vertrauen und demokratische Orientierung?</t>
        </is>
      </c>
      <c r="AD181" s="5" t="inlineStr">
        <is>
          <t>Demokratie, Medien und gesellschaftlicher Zusammenhalt: Caritasverband für die Diözese Speyer e.V. (implementation_anchor, 4) + Universität Trier (academic_support, 4).</t>
        </is>
      </c>
      <c r="AE181" s="5" t="inlineStr">
        <is>
          <t>Caritasverband für die Diözese Speyer e.V. | Universität Trier</t>
        </is>
      </c>
      <c r="AF181" s="5" t="inlineStr">
        <is>
          <t>demokratie-medien-zusammenhalt-caritasverband-für-die-diözese-speyer-e-v-universität-trier</t>
        </is>
      </c>
    </row>
    <row r="182" ht="30" customHeight="1" s="46">
      <c r="A182" s="5" t="inlineStr">
        <is>
          <t>C0181</t>
        </is>
      </c>
      <c r="B182" s="5" t="inlineStr">
        <is>
          <t>x_0181</t>
        </is>
      </c>
      <c r="C182" s="5" t="n">
        <v>0</v>
      </c>
      <c r="D182" s="5" t="inlineStr">
        <is>
          <t>Deutsche Universität für Verwaltungswissenschaften Speyer</t>
        </is>
      </c>
      <c r="E182" s="5" t="inlineStr">
        <is>
          <t>Entwicklungsagentur Rheinland-Pfalz e.V.</t>
        </is>
      </c>
      <c r="F182" s="5" t="n">
        <v>19</v>
      </c>
      <c r="G182" s="5" t="n">
        <v>25</v>
      </c>
      <c r="H182" s="5" t="inlineStr">
        <is>
          <t>academic_support</t>
        </is>
      </c>
      <c r="I182" t="inlineStr">
        <is>
          <t>university_research</t>
        </is>
      </c>
      <c r="J182" s="5" t="inlineStr">
        <is>
          <t>implementation_anchor</t>
        </is>
      </c>
      <c r="K182" t="inlineStr">
        <is>
          <t>public_policy_anchor</t>
        </is>
      </c>
      <c r="L182" s="5" t="inlineStr">
        <is>
          <t>gesellschaft</t>
        </is>
      </c>
      <c r="M182" s="5" t="inlineStr">
        <is>
          <t>demokratie_medien_zusammenhalt</t>
        </is>
      </c>
      <c r="N182" s="5" t="inlineStr">
        <is>
          <t>Demokratie, Medien und gesellschaftlicher Zusammenhalt</t>
        </is>
      </c>
      <c r="O182" s="5" t="n">
        <v>5</v>
      </c>
      <c r="P182" s="5" t="n">
        <v>3</v>
      </c>
      <c r="Q182" s="5" t="n">
        <v>12</v>
      </c>
      <c r="R182" s="5" t="n">
        <v>4</v>
      </c>
      <c r="S182" s="5" t="n">
        <v>0</v>
      </c>
      <c r="T182" s="5" t="n">
        <v>0</v>
      </c>
      <c r="U182" s="5" t="n">
        <v>2</v>
      </c>
      <c r="V182" s="5" t="n">
        <v>7</v>
      </c>
      <c r="W182" s="5" t="n">
        <v>7</v>
      </c>
      <c r="X182" s="5" t="n">
        <v>0</v>
      </c>
      <c r="Y182" s="5" t="n">
        <v>0</v>
      </c>
      <c r="Z182" s="5" t="n">
        <v>0</v>
      </c>
      <c r="AA182" s="5" t="n">
        <v>0</v>
      </c>
      <c r="AB182" s="5" t="n">
        <v>45.201934</v>
      </c>
      <c r="AC182" s="5" t="inlineStr">
        <is>
          <t>Wie stärken Medien, Bildung, Kirchen, Wissenschaft und Zivilgesellschaft Vertrauen und demokratische Orientierung?</t>
        </is>
      </c>
      <c r="AD182" s="5" t="inlineStr">
        <is>
          <t>Demokratie, Medien und gesellschaftlicher Zusammenhalt: Deutsche Universität für Verwaltungswissenschaften Speyer (academic_support, 5) + Entwicklungsagentur Rheinland-Pfalz e.V. (implementation_anchor, 3).</t>
        </is>
      </c>
      <c r="AE182" s="5" t="inlineStr">
        <is>
          <t>Deutsche Universität für Verwaltungswissenschaften Speyer | Entwicklungsagentur Rheinland-Pfalz e.V.</t>
        </is>
      </c>
      <c r="AF182" s="5" t="inlineStr">
        <is>
          <t>demokratie-medien-zusammenhalt-deutsche-universität-für-verwaltungswissenschaften-speyer-entwic</t>
        </is>
      </c>
    </row>
    <row r="183" ht="30" customHeight="1" s="46">
      <c r="A183" s="5" t="inlineStr">
        <is>
          <t>C0182</t>
        </is>
      </c>
      <c r="B183" s="5" t="inlineStr">
        <is>
          <t>x_0182</t>
        </is>
      </c>
      <c r="C183" s="5" t="n">
        <v>0</v>
      </c>
      <c r="D183" s="5" t="inlineStr">
        <is>
          <t>Entwicklungsagentur Rheinland-Pfalz e.V.</t>
        </is>
      </c>
      <c r="E183" s="5" t="inlineStr">
        <is>
          <t>Erster FC Kaiserslautern GmbH &amp; Co. KGaA</t>
        </is>
      </c>
      <c r="F183" s="5" t="n">
        <v>25</v>
      </c>
      <c r="G183" s="5" t="n">
        <v>27</v>
      </c>
      <c r="H183" s="5" t="inlineStr">
        <is>
          <t>implementation_anchor</t>
        </is>
      </c>
      <c r="I183" t="inlineStr">
        <is>
          <t>public_policy_anchor</t>
        </is>
      </c>
      <c r="J183" s="5" t="inlineStr">
        <is>
          <t>profit_anchor</t>
        </is>
      </c>
      <c r="K183" t="inlineStr">
        <is>
          <t>sports_regional_identity_anchor</t>
        </is>
      </c>
      <c r="L183" s="5" t="inlineStr">
        <is>
          <t>gesellschaft</t>
        </is>
      </c>
      <c r="M183" s="5" t="inlineStr">
        <is>
          <t>demokratie_medien_zusammenhalt</t>
        </is>
      </c>
      <c r="N183" s="5" t="inlineStr">
        <is>
          <t>Demokratie, Medien und gesellschaftlicher Zusammenhalt</t>
        </is>
      </c>
      <c r="O183" s="5" t="n">
        <v>3</v>
      </c>
      <c r="P183" s="5" t="n">
        <v>3</v>
      </c>
      <c r="Q183" s="5" t="n">
        <v>10</v>
      </c>
      <c r="R183" s="5" t="n">
        <v>4</v>
      </c>
      <c r="S183" s="5" t="n">
        <v>0</v>
      </c>
      <c r="T183" s="5" t="n">
        <v>0</v>
      </c>
      <c r="U183" s="5" t="n">
        <v>2</v>
      </c>
      <c r="V183" s="5" t="n">
        <v>8</v>
      </c>
      <c r="W183" s="5" t="n">
        <v>8</v>
      </c>
      <c r="X183" s="5" t="n">
        <v>0</v>
      </c>
      <c r="Y183" s="5" t="n">
        <v>0</v>
      </c>
      <c r="Z183" s="5" t="n">
        <v>0</v>
      </c>
      <c r="AA183" s="5" t="n">
        <v>0</v>
      </c>
      <c r="AB183" s="5" t="n">
        <v>58.364606</v>
      </c>
      <c r="AC183" s="5" t="inlineStr">
        <is>
          <t>Wie stärken Medien, Bildung, Kirchen, Wissenschaft und Zivilgesellschaft Vertrauen und demokratische Orientierung?</t>
        </is>
      </c>
      <c r="AD183" s="5" t="inlineStr">
        <is>
          <t>Demokratie, Medien und gesellschaftlicher Zusammenhalt: Entwicklungsagentur Rheinland-Pfalz e.V. (implementation_anchor, 3) + Erster FC Kaiserslautern GmbH &amp; Co. KGaA (profit_anchor, 3).</t>
        </is>
      </c>
      <c r="AE183" s="5" t="inlineStr">
        <is>
          <t>Entwicklungsagentur Rheinland-Pfalz e.V. | Erster FC Kaiserslautern GmbH &amp; Co. KGaA</t>
        </is>
      </c>
      <c r="AF183" s="5" t="inlineStr">
        <is>
          <t>demokratie-medien-zusammenhalt-entwicklungsagentur-rheinland-pfalz-e-v-erster-fc-kaiserslautern</t>
        </is>
      </c>
    </row>
    <row r="184" ht="30" customHeight="1" s="46">
      <c r="A184" s="5" t="inlineStr">
        <is>
          <t>C0183</t>
        </is>
      </c>
      <c r="B184" s="5" t="inlineStr">
        <is>
          <t>x_0183</t>
        </is>
      </c>
      <c r="C184" s="5" t="n">
        <v>0</v>
      </c>
      <c r="D184" s="5" t="inlineStr">
        <is>
          <t>Architektenkammer Rheinland-Pfalz</t>
        </is>
      </c>
      <c r="E184" s="5" t="inlineStr">
        <is>
          <t>Bauwirtschaft Rheinland-Pfalz e.V.</t>
        </is>
      </c>
      <c r="F184" s="5" t="n">
        <v>3</v>
      </c>
      <c r="G184" s="5" t="n">
        <v>8</v>
      </c>
      <c r="H184" s="5" t="inlineStr">
        <is>
          <t>implementation_anchor</t>
        </is>
      </c>
      <c r="I184" t="inlineStr">
        <is>
          <t>construction_planning_anchor</t>
        </is>
      </c>
      <c r="J184" s="5" t="inlineStr">
        <is>
          <t>context_actor</t>
        </is>
      </c>
      <c r="K184" t="inlineStr">
        <is>
          <t>construction_planning_anchor</t>
        </is>
      </c>
      <c r="L184" s="5" t="inlineStr">
        <is>
          <t>technologie</t>
        </is>
      </c>
      <c r="M184" s="5" t="inlineStr">
        <is>
          <t>digitale_bau_verwaltung_planung</t>
        </is>
      </c>
      <c r="N184" s="5" t="inlineStr">
        <is>
          <t>Digitale Bau-, Planungs- und Genehmigungsprozesse</t>
        </is>
      </c>
      <c r="O184" s="5" t="n">
        <v>5</v>
      </c>
      <c r="P184" s="5" t="n">
        <v>5</v>
      </c>
      <c r="Q184" s="5" t="n">
        <v>14</v>
      </c>
      <c r="R184" s="5" t="n">
        <v>4</v>
      </c>
      <c r="S184" s="5" t="n">
        <v>0</v>
      </c>
      <c r="T184" s="5" t="n">
        <v>0</v>
      </c>
      <c r="U184" s="5" t="n">
        <v>2</v>
      </c>
      <c r="V184" s="5" t="n">
        <v>6</v>
      </c>
      <c r="W184" s="5" t="n">
        <v>6</v>
      </c>
      <c r="X184" s="5" t="n">
        <v>0</v>
      </c>
      <c r="Y184" s="5" t="n">
        <v>0</v>
      </c>
      <c r="Z184" s="5" t="n">
        <v>0</v>
      </c>
      <c r="AA184" s="5" t="n">
        <v>0</v>
      </c>
      <c r="AB184" s="5" t="n">
        <v>38.326733</v>
      </c>
      <c r="AC184" s="5" t="inlineStr">
        <is>
          <t>Wie können Bau, Planung, Genehmigung und Verwaltung durch digitale Werkzeuge schneller und rechtssicherer werden?</t>
        </is>
      </c>
      <c r="AD184" s="5" t="inlineStr">
        <is>
          <t>Digitale Bau-, Planungs- und Genehmigungsprozesse: Architektenkammer Rheinland-Pfalz (implementation_anchor, 5) + Bauwirtschaft Rheinland-Pfalz e.V. (context_actor, 5).</t>
        </is>
      </c>
      <c r="AE184" s="5" t="inlineStr">
        <is>
          <t>Architektenkammer Rheinland-Pfalz | Bauwirtschaft Rheinland-Pfalz e.V.</t>
        </is>
      </c>
      <c r="AF184" s="5" t="inlineStr">
        <is>
          <t>digitale-bau-verwaltung-planung-architektenkammer-rheinland-pfalz-bauwirtschaft-rheinland-pfalz</t>
        </is>
      </c>
    </row>
    <row r="185" ht="30" customHeight="1" s="46">
      <c r="A185" s="5" t="inlineStr">
        <is>
          <t>C0184</t>
        </is>
      </c>
      <c r="B185" s="5" t="inlineStr">
        <is>
          <t>x_0184</t>
        </is>
      </c>
      <c r="C185" s="5" t="n">
        <v>0</v>
      </c>
      <c r="D185" s="5" t="inlineStr">
        <is>
          <t>Architektenkammer Rheinland-Pfalz</t>
        </is>
      </c>
      <c r="E185" s="5" t="inlineStr">
        <is>
          <t>Landkreistag Rheinland-Pfalz</t>
        </is>
      </c>
      <c r="F185" s="5" t="n">
        <v>3</v>
      </c>
      <c r="G185" s="5" t="n">
        <v>63</v>
      </c>
      <c r="H185" s="5" t="inlineStr">
        <is>
          <t>implementation_anchor</t>
        </is>
      </c>
      <c r="I185" t="inlineStr">
        <is>
          <t>construction_planning_anchor</t>
        </is>
      </c>
      <c r="J185" s="5" t="inlineStr">
        <is>
          <t>context_actor</t>
        </is>
      </c>
      <c r="K185" t="inlineStr">
        <is>
          <t>public_policy_anchor</t>
        </is>
      </c>
      <c r="L185" s="5" t="inlineStr">
        <is>
          <t>technologie</t>
        </is>
      </c>
      <c r="M185" s="5" t="inlineStr">
        <is>
          <t>digitale_bau_verwaltung_planung</t>
        </is>
      </c>
      <c r="N185" s="5" t="inlineStr">
        <is>
          <t>Digitale Bau-, Planungs- und Genehmigungsprozesse</t>
        </is>
      </c>
      <c r="O185" s="5" t="n">
        <v>5</v>
      </c>
      <c r="P185" s="5" t="n">
        <v>5</v>
      </c>
      <c r="Q185" s="5" t="n">
        <v>14</v>
      </c>
      <c r="R185" s="5" t="n">
        <v>4</v>
      </c>
      <c r="S185" s="5" t="n">
        <v>0</v>
      </c>
      <c r="T185" s="5" t="n">
        <v>0</v>
      </c>
      <c r="U185" s="5" t="n">
        <v>2</v>
      </c>
      <c r="V185" s="5" t="n">
        <v>6</v>
      </c>
      <c r="W185" s="5" t="n">
        <v>6</v>
      </c>
      <c r="X185" s="5" t="n">
        <v>0</v>
      </c>
      <c r="Y185" s="5" t="n">
        <v>0</v>
      </c>
      <c r="Z185" s="5" t="n">
        <v>0</v>
      </c>
      <c r="AA185" s="5" t="n">
        <v>0</v>
      </c>
      <c r="AB185" s="5" t="n">
        <v>41.397603</v>
      </c>
      <c r="AC185" s="5" t="inlineStr">
        <is>
          <t>Wie können Bau, Planung, Genehmigung und Verwaltung durch digitale Werkzeuge schneller und rechtssicherer werden?</t>
        </is>
      </c>
      <c r="AD185" s="5" t="inlineStr">
        <is>
          <t>Digitale Bau-, Planungs- und Genehmigungsprozesse: Architektenkammer Rheinland-Pfalz (implementation_anchor, 5) + Landkreistag Rheinland-Pfalz (context_actor, 5).</t>
        </is>
      </c>
      <c r="AE185" s="5" t="inlineStr">
        <is>
          <t>Architektenkammer Rheinland-Pfalz | Landkreistag Rheinland-Pfalz</t>
        </is>
      </c>
      <c r="AF185" s="5" t="inlineStr">
        <is>
          <t>digitale-bau-verwaltung-planung-architektenkammer-rheinland-pfalz-landkreistag-rheinland-pfalz</t>
        </is>
      </c>
    </row>
    <row r="186" ht="30" customHeight="1" s="46">
      <c r="A186" s="5" t="inlineStr">
        <is>
          <t>C0185</t>
        </is>
      </c>
      <c r="B186" s="5" t="inlineStr">
        <is>
          <t>x_0185</t>
        </is>
      </c>
      <c r="C186" s="5" t="n">
        <v>0</v>
      </c>
      <c r="D186" s="5" t="inlineStr">
        <is>
          <t>Architektenkammer Rheinland-Pfalz</t>
        </is>
      </c>
      <c r="E186" s="5" t="inlineStr">
        <is>
          <t>Städtetag Rheinland-Pfalz</t>
        </is>
      </c>
      <c r="F186" s="5" t="n">
        <v>3</v>
      </c>
      <c r="G186" s="5" t="n">
        <v>85</v>
      </c>
      <c r="H186" s="5" t="inlineStr">
        <is>
          <t>implementation_anchor</t>
        </is>
      </c>
      <c r="I186" t="inlineStr">
        <is>
          <t>construction_planning_anchor</t>
        </is>
      </c>
      <c r="J186" s="5" t="inlineStr">
        <is>
          <t>context_actor</t>
        </is>
      </c>
      <c r="K186" t="inlineStr">
        <is>
          <t>public_policy_anchor</t>
        </is>
      </c>
      <c r="L186" s="5" t="inlineStr">
        <is>
          <t>technologie</t>
        </is>
      </c>
      <c r="M186" s="5" t="inlineStr">
        <is>
          <t>digitale_bau_verwaltung_planung</t>
        </is>
      </c>
      <c r="N186" s="5" t="inlineStr">
        <is>
          <t>Digitale Bau-, Planungs- und Genehmigungsprozesse</t>
        </is>
      </c>
      <c r="O186" s="5" t="n">
        <v>5</v>
      </c>
      <c r="P186" s="5" t="n">
        <v>5</v>
      </c>
      <c r="Q186" s="5" t="n">
        <v>14</v>
      </c>
      <c r="R186" s="5" t="n">
        <v>4</v>
      </c>
      <c r="S186" s="5" t="n">
        <v>0</v>
      </c>
      <c r="T186" s="5" t="n">
        <v>0</v>
      </c>
      <c r="U186" s="5" t="n">
        <v>2</v>
      </c>
      <c r="V186" s="5" t="n">
        <v>6</v>
      </c>
      <c r="W186" s="5" t="n">
        <v>6</v>
      </c>
      <c r="X186" s="5" t="n">
        <v>0</v>
      </c>
      <c r="Y186" s="5" t="n">
        <v>0</v>
      </c>
      <c r="Z186" s="5" t="n">
        <v>0</v>
      </c>
      <c r="AA186" s="5" t="n">
        <v>0</v>
      </c>
      <c r="AB186" s="5" t="n">
        <v>41.397603</v>
      </c>
      <c r="AC186" s="5" t="inlineStr">
        <is>
          <t>Wie können Bau, Planung, Genehmigung und Verwaltung durch digitale Werkzeuge schneller und rechtssicherer werden?</t>
        </is>
      </c>
      <c r="AD186" s="5" t="inlineStr">
        <is>
          <t>Digitale Bau-, Planungs- und Genehmigungsprozesse: Architektenkammer Rheinland-Pfalz (implementation_anchor, 5) + Städtetag Rheinland-Pfalz (context_actor, 5).</t>
        </is>
      </c>
      <c r="AE186" s="5" t="inlineStr">
        <is>
          <t>Architektenkammer Rheinland-Pfalz | Städtetag Rheinland-Pfalz</t>
        </is>
      </c>
      <c r="AF186" s="5" t="inlineStr">
        <is>
          <t>digitale-bau-verwaltung-planung-architektenkammer-rheinland-pfalz-städtetag-rheinland-pfalz</t>
        </is>
      </c>
    </row>
    <row r="187" ht="30" customHeight="1" s="46">
      <c r="A187" s="5" t="inlineStr">
        <is>
          <t>C0186</t>
        </is>
      </c>
      <c r="B187" s="5" t="inlineStr">
        <is>
          <t>x_0186</t>
        </is>
      </c>
      <c r="C187" s="5" t="n">
        <v>0</v>
      </c>
      <c r="D187" s="5" t="inlineStr">
        <is>
          <t>Bauwirtschaft Rheinland-Pfalz e.V.</t>
        </is>
      </c>
      <c r="E187" s="5" t="inlineStr">
        <is>
          <t>Ingenieurkammer Rheinland-Pfalz</t>
        </is>
      </c>
      <c r="F187" s="5" t="n">
        <v>8</v>
      </c>
      <c r="G187" s="5" t="n">
        <v>44</v>
      </c>
      <c r="H187" s="5" t="inlineStr">
        <is>
          <t>context_actor</t>
        </is>
      </c>
      <c r="I187" t="inlineStr">
        <is>
          <t>construction_planning_anchor</t>
        </is>
      </c>
      <c r="J187" s="5" t="inlineStr">
        <is>
          <t>implementation_anchor</t>
        </is>
      </c>
      <c r="K187" t="inlineStr">
        <is>
          <t>construction_planning_anchor</t>
        </is>
      </c>
      <c r="L187" s="5" t="inlineStr">
        <is>
          <t>technologie</t>
        </is>
      </c>
      <c r="M187" s="5" t="inlineStr">
        <is>
          <t>digitale_bau_verwaltung_planung</t>
        </is>
      </c>
      <c r="N187" s="5" t="inlineStr">
        <is>
          <t>Digitale Bau-, Planungs- und Genehmigungsprozesse</t>
        </is>
      </c>
      <c r="O187" s="5" t="n">
        <v>5</v>
      </c>
      <c r="P187" s="5" t="n">
        <v>5</v>
      </c>
      <c r="Q187" s="5" t="n">
        <v>14</v>
      </c>
      <c r="R187" s="5" t="n">
        <v>4</v>
      </c>
      <c r="S187" s="5" t="n">
        <v>0</v>
      </c>
      <c r="T187" s="5" t="n">
        <v>0</v>
      </c>
      <c r="U187" s="5" t="n">
        <v>2</v>
      </c>
      <c r="V187" s="5" t="n">
        <v>6</v>
      </c>
      <c r="W187" s="5" t="n">
        <v>6</v>
      </c>
      <c r="X187" s="5" t="n">
        <v>0</v>
      </c>
      <c r="Y187" s="5" t="n">
        <v>0</v>
      </c>
      <c r="Z187" s="5" t="n">
        <v>0</v>
      </c>
      <c r="AA187" s="5" t="n">
        <v>0</v>
      </c>
      <c r="AB187" s="5" t="n">
        <v>38.326733</v>
      </c>
      <c r="AC187" s="5" t="inlineStr">
        <is>
          <t>Wie können Bau, Planung, Genehmigung und Verwaltung durch digitale Werkzeuge schneller und rechtssicherer werden?</t>
        </is>
      </c>
      <c r="AD187" s="5" t="inlineStr">
        <is>
          <t>Digitale Bau-, Planungs- und Genehmigungsprozesse: Bauwirtschaft Rheinland-Pfalz e.V. (context_actor, 5) + Ingenieurkammer Rheinland-Pfalz (implementation_anchor, 5).</t>
        </is>
      </c>
      <c r="AE187" s="5" t="inlineStr">
        <is>
          <t>Bauwirtschaft Rheinland-Pfalz e.V. | Ingenieurkammer Rheinland-Pfalz</t>
        </is>
      </c>
      <c r="AF187" s="5" t="inlineStr">
        <is>
          <t>digitale-bau-verwaltung-planung-bauwirtschaft-rheinland-pfalz-e-v-ingenieurkammer-rheinland-pfa</t>
        </is>
      </c>
    </row>
    <row r="188" ht="30" customHeight="1" s="46">
      <c r="A188" s="5" t="inlineStr">
        <is>
          <t>C0187</t>
        </is>
      </c>
      <c r="B188" s="5" t="inlineStr">
        <is>
          <t>x_0187</t>
        </is>
      </c>
      <c r="C188" s="5" t="n">
        <v>0</v>
      </c>
      <c r="D188" s="5" t="inlineStr">
        <is>
          <t>Bauwirtschaft Rheinland-Pfalz e.V.</t>
        </is>
      </c>
      <c r="E188" s="5" t="inlineStr">
        <is>
          <t>vero – Verband der Bau- und Rohstoffindustrie</t>
        </is>
      </c>
      <c r="F188" s="5" t="n">
        <v>8</v>
      </c>
      <c r="G188" s="5" t="n">
        <v>95</v>
      </c>
      <c r="H188" s="5" t="inlineStr">
        <is>
          <t>context_actor</t>
        </is>
      </c>
      <c r="I188" t="inlineStr">
        <is>
          <t>construction_planning_anchor</t>
        </is>
      </c>
      <c r="J188" s="5" t="inlineStr">
        <is>
          <t>profit_anchor</t>
        </is>
      </c>
      <c r="K188" t="inlineStr">
        <is>
          <t>construction_planning_anchor</t>
        </is>
      </c>
      <c r="L188" s="5" t="inlineStr">
        <is>
          <t>technologie</t>
        </is>
      </c>
      <c r="M188" s="5" t="inlineStr">
        <is>
          <t>digitale_bau_verwaltung_planung</t>
        </is>
      </c>
      <c r="N188" s="5" t="inlineStr">
        <is>
          <t>Digitale Bau-, Planungs- und Genehmigungsprozesse</t>
        </is>
      </c>
      <c r="O188" s="5" t="n">
        <v>5</v>
      </c>
      <c r="P188" s="5" t="n">
        <v>5</v>
      </c>
      <c r="Q188" s="5" t="n">
        <v>14</v>
      </c>
      <c r="R188" s="5" t="n">
        <v>4</v>
      </c>
      <c r="S188" s="5" t="n">
        <v>0</v>
      </c>
      <c r="T188" s="5" t="n">
        <v>0</v>
      </c>
      <c r="U188" s="5" t="n">
        <v>2</v>
      </c>
      <c r="V188" s="5" t="n">
        <v>6</v>
      </c>
      <c r="W188" s="5" t="n">
        <v>6</v>
      </c>
      <c r="X188" s="5" t="n">
        <v>0</v>
      </c>
      <c r="Y188" s="5" t="n">
        <v>0</v>
      </c>
      <c r="Z188" s="5" t="n">
        <v>0</v>
      </c>
      <c r="AA188" s="5" t="n">
        <v>0</v>
      </c>
      <c r="AB188" s="5" t="n">
        <v>24.990972</v>
      </c>
      <c r="AC188" s="5" t="inlineStr">
        <is>
          <t>Wie können Bau, Planung, Genehmigung und Verwaltung durch digitale Werkzeuge schneller und rechtssicherer werden?</t>
        </is>
      </c>
      <c r="AD188" s="5" t="inlineStr">
        <is>
          <t>Digitale Bau-, Planungs- und Genehmigungsprozesse: Bauwirtschaft Rheinland-Pfalz e.V. (context_actor, 5) + vero – Verband der Bau- und Rohstoffindustrie (profit_anchor, 5).</t>
        </is>
      </c>
      <c r="AE188" s="5" t="inlineStr">
        <is>
          <t>Bauwirtschaft Rheinland-Pfalz e.V. | vero – Verband der Bau- und Rohstoffindustrie</t>
        </is>
      </c>
      <c r="AF188" s="5" t="inlineStr">
        <is>
          <t>digitale-bau-verwaltung-planung-bauwirtschaft-rheinland-pfalz-e-v-vero-verband-der-bau-und-rohs</t>
        </is>
      </c>
    </row>
    <row r="189" ht="30" customHeight="1" s="46">
      <c r="A189" s="5" t="inlineStr">
        <is>
          <t>C0188</t>
        </is>
      </c>
      <c r="B189" s="5" t="inlineStr">
        <is>
          <t>x_0188</t>
        </is>
      </c>
      <c r="C189" s="5" t="n">
        <v>0</v>
      </c>
      <c r="D189" s="5" t="inlineStr">
        <is>
          <t>Entwicklungsagentur Rheinland-Pfalz e.V.</t>
        </is>
      </c>
      <c r="E189" s="5" t="inlineStr">
        <is>
          <t>Hochschule Mainz</t>
        </is>
      </c>
      <c r="F189" s="5" t="n">
        <v>25</v>
      </c>
      <c r="G189" s="5" t="n">
        <v>39</v>
      </c>
      <c r="H189" s="5" t="inlineStr">
        <is>
          <t>implementation_anchor</t>
        </is>
      </c>
      <c r="I189" t="inlineStr">
        <is>
          <t>public_policy_anchor</t>
        </is>
      </c>
      <c r="J189" s="5" t="inlineStr">
        <is>
          <t>academic_support</t>
        </is>
      </c>
      <c r="K189" t="inlineStr">
        <is>
          <t>university_applied_sciences</t>
        </is>
      </c>
      <c r="L189" s="5" t="inlineStr">
        <is>
          <t>technologie</t>
        </is>
      </c>
      <c r="M189" s="5" t="inlineStr">
        <is>
          <t>digitale_bau_verwaltung_planung</t>
        </is>
      </c>
      <c r="N189" s="5" t="inlineStr">
        <is>
          <t>Digitale Bau-, Planungs- und Genehmigungsprozesse</t>
        </is>
      </c>
      <c r="O189" s="5" t="n">
        <v>3</v>
      </c>
      <c r="P189" s="5" t="n">
        <v>5</v>
      </c>
      <c r="Q189" s="5" t="n">
        <v>12</v>
      </c>
      <c r="R189" s="5" t="n">
        <v>4</v>
      </c>
      <c r="S189" s="5" t="n">
        <v>0</v>
      </c>
      <c r="T189" s="5" t="n">
        <v>0</v>
      </c>
      <c r="U189" s="5" t="n">
        <v>2</v>
      </c>
      <c r="V189" s="5" t="n">
        <v>7</v>
      </c>
      <c r="W189" s="5" t="n">
        <v>7</v>
      </c>
      <c r="X189" s="5" t="n">
        <v>0</v>
      </c>
      <c r="Y189" s="5" t="n">
        <v>0</v>
      </c>
      <c r="Z189" s="5" t="n">
        <v>0</v>
      </c>
      <c r="AA189" s="5" t="n">
        <v>0</v>
      </c>
      <c r="AB189" s="5" t="n">
        <v>41.234666</v>
      </c>
      <c r="AC189" s="5" t="inlineStr">
        <is>
          <t>Wie können Bau, Planung, Genehmigung und Verwaltung durch digitale Werkzeuge schneller und rechtssicherer werden?</t>
        </is>
      </c>
      <c r="AD189" s="5" t="inlineStr">
        <is>
          <t>Digitale Bau-, Planungs- und Genehmigungsprozesse: Entwicklungsagentur Rheinland-Pfalz e.V. (implementation_anchor, 3) + Hochschule Mainz (academic_support, 5).</t>
        </is>
      </c>
      <c r="AE189" s="5" t="inlineStr">
        <is>
          <t>Entwicklungsagentur Rheinland-Pfalz e.V. | Hochschule Mainz</t>
        </is>
      </c>
      <c r="AF189" s="5" t="inlineStr">
        <is>
          <t>digitale-bau-verwaltung-planung-entwicklungsagentur-rheinland-pfalz-e-v-hochschule-mainz</t>
        </is>
      </c>
    </row>
    <row r="190" ht="30" customHeight="1" s="46">
      <c r="A190" s="5" t="inlineStr">
        <is>
          <t>C0189</t>
        </is>
      </c>
      <c r="B190" s="5" t="inlineStr">
        <is>
          <t>x_0189</t>
        </is>
      </c>
      <c r="C190" s="5" t="n">
        <v>0</v>
      </c>
      <c r="D190" s="5" t="inlineStr">
        <is>
          <t>Entwicklungsagentur Rheinland-Pfalz e.V.</t>
        </is>
      </c>
      <c r="E190" s="5" t="inlineStr">
        <is>
          <t>Karl Gemünden GmbH &amp; Co. KG</t>
        </is>
      </c>
      <c r="F190" s="5" t="n">
        <v>25</v>
      </c>
      <c r="G190" s="5" t="n">
        <v>52</v>
      </c>
      <c r="H190" s="5" t="inlineStr">
        <is>
          <t>implementation_anchor</t>
        </is>
      </c>
      <c r="I190" t="inlineStr">
        <is>
          <t>public_policy_anchor</t>
        </is>
      </c>
      <c r="J190" s="5" t="inlineStr">
        <is>
          <t>profit_anchor</t>
        </is>
      </c>
      <c r="K190" t="inlineStr">
        <is>
          <t>construction_planning_anchor</t>
        </is>
      </c>
      <c r="L190" s="5" t="inlineStr">
        <is>
          <t>technologie</t>
        </is>
      </c>
      <c r="M190" s="5" t="inlineStr">
        <is>
          <t>digitale_bau_verwaltung_planung</t>
        </is>
      </c>
      <c r="N190" s="5" t="inlineStr">
        <is>
          <t>Digitale Bau-, Planungs- und Genehmigungsprozesse</t>
        </is>
      </c>
      <c r="O190" s="5" t="n">
        <v>3</v>
      </c>
      <c r="P190" s="5" t="n">
        <v>3</v>
      </c>
      <c r="Q190" s="5" t="n">
        <v>10</v>
      </c>
      <c r="R190" s="5" t="n">
        <v>4</v>
      </c>
      <c r="S190" s="5" t="n">
        <v>0</v>
      </c>
      <c r="T190" s="5" t="n">
        <v>0</v>
      </c>
      <c r="U190" s="5" t="n">
        <v>2</v>
      </c>
      <c r="V190" s="5" t="n">
        <v>8</v>
      </c>
      <c r="W190" s="5" t="n">
        <v>8</v>
      </c>
      <c r="X190" s="5" t="n">
        <v>0</v>
      </c>
      <c r="Y190" s="5" t="n">
        <v>0</v>
      </c>
      <c r="Z190" s="5" t="n">
        <v>0</v>
      </c>
      <c r="AA190" s="5" t="n">
        <v>0</v>
      </c>
      <c r="AB190" s="5" t="n">
        <v>38.604558</v>
      </c>
      <c r="AC190" s="5" t="inlineStr">
        <is>
          <t>Wie können Bau, Planung, Genehmigung und Verwaltung durch digitale Werkzeuge schneller und rechtssicherer werden?</t>
        </is>
      </c>
      <c r="AD190" s="5" t="inlineStr">
        <is>
          <t>Digitale Bau-, Planungs- und Genehmigungsprozesse: Entwicklungsagentur Rheinland-Pfalz e.V. (implementation_anchor, 3) + Karl Gemünden GmbH &amp; Co. KG (profit_anchor, 3).</t>
        </is>
      </c>
      <c r="AE190" s="5" t="inlineStr">
        <is>
          <t>Entwicklungsagentur Rheinland-Pfalz e.V. | Karl Gemünden GmbH &amp; Co. KG</t>
        </is>
      </c>
      <c r="AF190" s="5" t="inlineStr">
        <is>
          <t>digitale-bau-verwaltung-planung-entwicklungsagentur-rheinland-pfalz-e-v-karl-gemünden-gmbh-co-k</t>
        </is>
      </c>
    </row>
    <row r="191" ht="30" customHeight="1" s="46">
      <c r="A191" s="5" t="inlineStr">
        <is>
          <t>C0190</t>
        </is>
      </c>
      <c r="B191" s="5" t="inlineStr">
        <is>
          <t>x_0190</t>
        </is>
      </c>
      <c r="C191" s="5" t="n">
        <v>0</v>
      </c>
      <c r="D191" s="5" t="inlineStr">
        <is>
          <t>Boehringer Ingelheim Pharma GmbH &amp; Co. KG</t>
        </is>
      </c>
      <c r="E191" s="5" t="inlineStr">
        <is>
          <t>Handwerkskammern Rheinland-Pfalz</t>
        </is>
      </c>
      <c r="F191" s="5" t="n">
        <v>11</v>
      </c>
      <c r="G191" s="5" t="n">
        <v>32</v>
      </c>
      <c r="H191" s="5" t="inlineStr">
        <is>
          <t>profit_anchor</t>
        </is>
      </c>
      <c r="I191" t="inlineStr">
        <is>
          <t>health_social_anchor</t>
        </is>
      </c>
      <c r="J191" s="5" t="inlineStr">
        <is>
          <t>implementation_anchor</t>
        </is>
      </c>
      <c r="K191" t="inlineStr">
        <is>
          <t>chamber_association_anchor</t>
        </is>
      </c>
      <c r="L191" s="5" t="inlineStr">
        <is>
          <t>wirtschaft</t>
        </is>
      </c>
      <c r="M191" s="5" t="inlineStr">
        <is>
          <t>finanzierung_foerderung_transformation</t>
        </is>
      </c>
      <c r="N191" s="5" t="inlineStr">
        <is>
          <t>Finanzierung und Förderung von Transformation</t>
        </is>
      </c>
      <c r="O191" s="5" t="n">
        <v>3</v>
      </c>
      <c r="P191" s="5" t="n">
        <v>3</v>
      </c>
      <c r="Q191" s="5" t="n">
        <v>10</v>
      </c>
      <c r="R191" s="5" t="n">
        <v>4</v>
      </c>
      <c r="S191" s="5" t="n">
        <v>0</v>
      </c>
      <c r="T191" s="5" t="n">
        <v>0</v>
      </c>
      <c r="U191" s="5" t="n">
        <v>2</v>
      </c>
      <c r="V191" s="5" t="n">
        <v>8</v>
      </c>
      <c r="W191" s="5" t="n">
        <v>8</v>
      </c>
      <c r="X191" s="5" t="n">
        <v>0</v>
      </c>
      <c r="Y191" s="5" t="n">
        <v>0</v>
      </c>
      <c r="Z191" s="5" t="n">
        <v>0</v>
      </c>
      <c r="AA191" s="5" t="n">
        <v>0</v>
      </c>
      <c r="AB191" s="5" t="n">
        <v>41.270009</v>
      </c>
      <c r="AC191" s="5" t="inlineStr">
        <is>
          <t>Wie kommen Investitionen, Fördermittel, Banken und Unternehmensstrategien schneller zusammen?</t>
        </is>
      </c>
      <c r="AD191" s="5" t="inlineStr">
        <is>
          <t>Finanzierung und Förderung von Transformation: Boehringer Ingelheim Pharma GmbH &amp; Co. KG (profit_anchor, 3) + Handwerkskammern Rheinland-Pfalz (implementation_anchor, 3).</t>
        </is>
      </c>
      <c r="AE191" s="5" t="inlineStr">
        <is>
          <t>Boehringer Ingelheim Pharma GmbH &amp; Co. KG | Handwerkskammern Rheinland-Pfalz</t>
        </is>
      </c>
      <c r="AF191" s="5" t="inlineStr">
        <is>
          <t>finanzierung-foerderung-transformation-boehringer-ingelheim-pharma-gmbh-co-kg-handwerkskammern-</t>
        </is>
      </c>
    </row>
    <row r="192" ht="30" customHeight="1" s="46">
      <c r="A192" s="5" t="inlineStr">
        <is>
          <t>C0191</t>
        </is>
      </c>
      <c r="B192" s="5" t="inlineStr">
        <is>
          <t>x_0191</t>
        </is>
      </c>
      <c r="C192" s="5" t="n">
        <v>0</v>
      </c>
      <c r="D192" s="5" t="inlineStr">
        <is>
          <t>Handwerkskammern Rheinland-Pfalz</t>
        </is>
      </c>
      <c r="E192" s="5" t="inlineStr">
        <is>
          <t>JUWI GmbH</t>
        </is>
      </c>
      <c r="F192" s="5" t="n">
        <v>32</v>
      </c>
      <c r="G192" s="5" t="n">
        <v>51</v>
      </c>
      <c r="H192" s="5" t="inlineStr">
        <is>
          <t>implementation_anchor</t>
        </is>
      </c>
      <c r="I192" t="inlineStr">
        <is>
          <t>chamber_association_anchor</t>
        </is>
      </c>
      <c r="J192" s="5" t="inlineStr">
        <is>
          <t>profit_anchor</t>
        </is>
      </c>
      <c r="K192" t="inlineStr">
        <is>
          <t>energy_infrastructure_anchor</t>
        </is>
      </c>
      <c r="L192" s="5" t="inlineStr">
        <is>
          <t>wirtschaft</t>
        </is>
      </c>
      <c r="M192" s="5" t="inlineStr">
        <is>
          <t>finanzierung_foerderung_transformation</t>
        </is>
      </c>
      <c r="N192" s="5" t="inlineStr">
        <is>
          <t>Finanzierung und Förderung von Transformation</t>
        </is>
      </c>
      <c r="O192" s="5" t="n">
        <v>3</v>
      </c>
      <c r="P192" s="5" t="n">
        <v>3</v>
      </c>
      <c r="Q192" s="5" t="n">
        <v>10</v>
      </c>
      <c r="R192" s="5" t="n">
        <v>4</v>
      </c>
      <c r="S192" s="5" t="n">
        <v>0</v>
      </c>
      <c r="T192" s="5" t="n">
        <v>0</v>
      </c>
      <c r="U192" s="5" t="n">
        <v>2</v>
      </c>
      <c r="V192" s="5" t="n">
        <v>8</v>
      </c>
      <c r="W192" s="5" t="n">
        <v>8</v>
      </c>
      <c r="X192" s="5" t="n">
        <v>0</v>
      </c>
      <c r="Y192" s="5" t="n">
        <v>0</v>
      </c>
      <c r="Z192" s="5" t="n">
        <v>0</v>
      </c>
      <c r="AA192" s="5" t="n">
        <v>0</v>
      </c>
      <c r="AB192" s="5" t="n">
        <v>42.955187</v>
      </c>
      <c r="AC192" s="5" t="inlineStr">
        <is>
          <t>Wie kommen Investitionen, Fördermittel, Banken und Unternehmensstrategien schneller zusammen?</t>
        </is>
      </c>
      <c r="AD192" s="5" t="inlineStr">
        <is>
          <t>Finanzierung und Förderung von Transformation: Handwerkskammern Rheinland-Pfalz (implementation_anchor, 3) + JUWI GmbH (profit_anchor, 3).</t>
        </is>
      </c>
      <c r="AE192" s="5" t="inlineStr">
        <is>
          <t>Handwerkskammern Rheinland-Pfalz | JUWI GmbH</t>
        </is>
      </c>
      <c r="AF192" s="5" t="inlineStr">
        <is>
          <t>finanzierung-foerderung-transformation-handwerkskammern-rheinland-pfalz-juwi-gmbh</t>
        </is>
      </c>
    </row>
    <row r="193" ht="30" customHeight="1" s="46">
      <c r="A193" s="5" t="inlineStr">
        <is>
          <t>C0192</t>
        </is>
      </c>
      <c r="B193" s="5" t="inlineStr">
        <is>
          <t>x_0192</t>
        </is>
      </c>
      <c r="C193" s="5" t="n">
        <v>0</v>
      </c>
      <c r="D193" s="5" t="inlineStr">
        <is>
          <t>Handwerkskammern Rheinland-Pfalz</t>
        </is>
      </c>
      <c r="E193" s="5" t="inlineStr">
        <is>
          <t>Pfalzwerke AG</t>
        </is>
      </c>
      <c r="F193" s="5" t="n">
        <v>32</v>
      </c>
      <c r="G193" s="5" t="n">
        <v>72</v>
      </c>
      <c r="H193" s="5" t="inlineStr">
        <is>
          <t>implementation_anchor</t>
        </is>
      </c>
      <c r="I193" t="inlineStr">
        <is>
          <t>chamber_association_anchor</t>
        </is>
      </c>
      <c r="J193" s="5" t="inlineStr">
        <is>
          <t>profit_anchor</t>
        </is>
      </c>
      <c r="K193" t="inlineStr">
        <is>
          <t>energy_infrastructure_anchor</t>
        </is>
      </c>
      <c r="L193" s="5" t="inlineStr">
        <is>
          <t>wirtschaft</t>
        </is>
      </c>
      <c r="M193" s="5" t="inlineStr">
        <is>
          <t>finanzierung_foerderung_transformation</t>
        </is>
      </c>
      <c r="N193" s="5" t="inlineStr">
        <is>
          <t>Finanzierung und Förderung von Transformation</t>
        </is>
      </c>
      <c r="O193" s="5" t="n">
        <v>3</v>
      </c>
      <c r="P193" s="5" t="n">
        <v>3</v>
      </c>
      <c r="Q193" s="5" t="n">
        <v>10</v>
      </c>
      <c r="R193" s="5" t="n">
        <v>4</v>
      </c>
      <c r="S193" s="5" t="n">
        <v>0</v>
      </c>
      <c r="T193" s="5" t="n">
        <v>0</v>
      </c>
      <c r="U193" s="5" t="n">
        <v>2</v>
      </c>
      <c r="V193" s="5" t="n">
        <v>8</v>
      </c>
      <c r="W193" s="5" t="n">
        <v>8</v>
      </c>
      <c r="X193" s="5" t="n">
        <v>0</v>
      </c>
      <c r="Y193" s="5" t="n">
        <v>0</v>
      </c>
      <c r="Z193" s="5" t="n">
        <v>0</v>
      </c>
      <c r="AA193" s="5" t="n">
        <v>0</v>
      </c>
      <c r="AB193" s="5" t="n">
        <v>42.955187</v>
      </c>
      <c r="AC193" s="5" t="inlineStr">
        <is>
          <t>Wie kommen Investitionen, Fördermittel, Banken und Unternehmensstrategien schneller zusammen?</t>
        </is>
      </c>
      <c r="AD193" s="5" t="inlineStr">
        <is>
          <t>Finanzierung und Förderung von Transformation: Handwerkskammern Rheinland-Pfalz (implementation_anchor, 3) + Pfalzwerke AG (profit_anchor, 3).</t>
        </is>
      </c>
      <c r="AE193" s="5" t="inlineStr">
        <is>
          <t>Handwerkskammern Rheinland-Pfalz | Pfalzwerke AG</t>
        </is>
      </c>
      <c r="AF193" s="5" t="inlineStr">
        <is>
          <t>finanzierung-foerderung-transformation-handwerkskammern-rheinland-pfalz-pfalzwerke-ag</t>
        </is>
      </c>
    </row>
    <row r="194" ht="30" customHeight="1" s="46">
      <c r="A194" s="5" t="inlineStr">
        <is>
          <t>C0193</t>
        </is>
      </c>
      <c r="B194" s="5" t="inlineStr">
        <is>
          <t>x_0193</t>
        </is>
      </c>
      <c r="C194" s="5" t="n">
        <v>0</v>
      </c>
      <c r="D194" s="5" t="inlineStr">
        <is>
          <t>Handwerkskammern Rheinland-Pfalz</t>
        </is>
      </c>
      <c r="E194" s="5" t="inlineStr">
        <is>
          <t>SCHOTT AG</t>
        </is>
      </c>
      <c r="F194" s="5" t="n">
        <v>32</v>
      </c>
      <c r="G194" s="5" t="n">
        <v>78</v>
      </c>
      <c r="H194" s="5" t="inlineStr">
        <is>
          <t>implementation_anchor</t>
        </is>
      </c>
      <c r="I194" t="inlineStr">
        <is>
          <t>chamber_association_anchor</t>
        </is>
      </c>
      <c r="J194" s="5" t="inlineStr">
        <is>
          <t>profit_anchor</t>
        </is>
      </c>
      <c r="K194" t="inlineStr">
        <is>
          <t>industry_anchor</t>
        </is>
      </c>
      <c r="L194" s="5" t="inlineStr">
        <is>
          <t>wirtschaft</t>
        </is>
      </c>
      <c r="M194" s="5" t="inlineStr">
        <is>
          <t>finanzierung_foerderung_transformation</t>
        </is>
      </c>
      <c r="N194" s="5" t="inlineStr">
        <is>
          <t>Finanzierung und Förderung von Transformation</t>
        </is>
      </c>
      <c r="O194" s="5" t="n">
        <v>3</v>
      </c>
      <c r="P194" s="5" t="n">
        <v>3</v>
      </c>
      <c r="Q194" s="5" t="n">
        <v>10</v>
      </c>
      <c r="R194" s="5" t="n">
        <v>4</v>
      </c>
      <c r="S194" s="5" t="n">
        <v>0</v>
      </c>
      <c r="T194" s="5" t="n">
        <v>0</v>
      </c>
      <c r="U194" s="5" t="n">
        <v>2</v>
      </c>
      <c r="V194" s="5" t="n">
        <v>8</v>
      </c>
      <c r="W194" s="5" t="n">
        <v>8</v>
      </c>
      <c r="X194" s="5" t="n">
        <v>0</v>
      </c>
      <c r="Y194" s="5" t="n">
        <v>0</v>
      </c>
      <c r="Z194" s="5" t="n">
        <v>0</v>
      </c>
      <c r="AA194" s="5" t="n">
        <v>0</v>
      </c>
      <c r="AB194" s="5" t="n">
        <v>41.736351</v>
      </c>
      <c r="AC194" s="5" t="inlineStr">
        <is>
          <t>Wie kommen Investitionen, Fördermittel, Banken und Unternehmensstrategien schneller zusammen?</t>
        </is>
      </c>
      <c r="AD194" s="5" t="inlineStr">
        <is>
          <t>Finanzierung und Förderung von Transformation: Handwerkskammern Rheinland-Pfalz (implementation_anchor, 3) + SCHOTT AG (profit_anchor, 3).</t>
        </is>
      </c>
      <c r="AE194" s="5" t="inlineStr">
        <is>
          <t>Handwerkskammern Rheinland-Pfalz | SCHOTT AG</t>
        </is>
      </c>
      <c r="AF194" s="5" t="inlineStr">
        <is>
          <t>finanzierung-foerderung-transformation-handwerkskammern-rheinland-pfalz-schott-ag</t>
        </is>
      </c>
    </row>
    <row r="195" ht="30" customHeight="1" s="46">
      <c r="A195" s="5" t="inlineStr">
        <is>
          <t>C0194</t>
        </is>
      </c>
      <c r="B195" s="5" t="inlineStr">
        <is>
          <t>x_0194</t>
        </is>
      </c>
      <c r="C195" s="5" t="n">
        <v>0</v>
      </c>
      <c r="D195" s="5" t="inlineStr">
        <is>
          <t>Handwerkskammern Rheinland-Pfalz</t>
        </is>
      </c>
      <c r="E195" s="5" t="inlineStr">
        <is>
          <t>Westenergie AG</t>
        </is>
      </c>
      <c r="F195" s="5" t="n">
        <v>32</v>
      </c>
      <c r="G195" s="5" t="n">
        <v>98</v>
      </c>
      <c r="H195" s="5" t="inlineStr">
        <is>
          <t>implementation_anchor</t>
        </is>
      </c>
      <c r="I195" t="inlineStr">
        <is>
          <t>chamber_association_anchor</t>
        </is>
      </c>
      <c r="J195" s="5" t="inlineStr">
        <is>
          <t>profit_anchor</t>
        </is>
      </c>
      <c r="K195" t="inlineStr">
        <is>
          <t>energy_infrastructure_anchor</t>
        </is>
      </c>
      <c r="L195" s="5" t="inlineStr">
        <is>
          <t>wirtschaft</t>
        </is>
      </c>
      <c r="M195" s="5" t="inlineStr">
        <is>
          <t>finanzierung_foerderung_transformation</t>
        </is>
      </c>
      <c r="N195" s="5" t="inlineStr">
        <is>
          <t>Finanzierung und Förderung von Transformation</t>
        </is>
      </c>
      <c r="O195" s="5" t="n">
        <v>3</v>
      </c>
      <c r="P195" s="5" t="n">
        <v>3</v>
      </c>
      <c r="Q195" s="5" t="n">
        <v>10</v>
      </c>
      <c r="R195" s="5" t="n">
        <v>4</v>
      </c>
      <c r="S195" s="5" t="n">
        <v>0</v>
      </c>
      <c r="T195" s="5" t="n">
        <v>0</v>
      </c>
      <c r="U195" s="5" t="n">
        <v>2</v>
      </c>
      <c r="V195" s="5" t="n">
        <v>8</v>
      </c>
      <c r="W195" s="5" t="n">
        <v>8</v>
      </c>
      <c r="X195" s="5" t="n">
        <v>0</v>
      </c>
      <c r="Y195" s="5" t="n">
        <v>0</v>
      </c>
      <c r="Z195" s="5" t="n">
        <v>0</v>
      </c>
      <c r="AA195" s="5" t="n">
        <v>0</v>
      </c>
      <c r="AB195" s="5" t="n">
        <v>42.955187</v>
      </c>
      <c r="AC195" s="5" t="inlineStr">
        <is>
          <t>Wie kommen Investitionen, Fördermittel, Banken und Unternehmensstrategien schneller zusammen?</t>
        </is>
      </c>
      <c r="AD195" s="5" t="inlineStr">
        <is>
          <t>Finanzierung und Förderung von Transformation: Handwerkskammern Rheinland-Pfalz (implementation_anchor, 3) + Westenergie AG (profit_anchor, 3).</t>
        </is>
      </c>
      <c r="AE195" s="5" t="inlineStr">
        <is>
          <t>Handwerkskammern Rheinland-Pfalz | Westenergie AG</t>
        </is>
      </c>
      <c r="AF195" s="5" t="inlineStr">
        <is>
          <t>finanzierung-foerderung-transformation-handwerkskammern-rheinland-pfalz-westenergie-ag</t>
        </is>
      </c>
    </row>
    <row r="196" ht="30" customHeight="1" s="46">
      <c r="A196" s="5" t="inlineStr">
        <is>
          <t>C0195</t>
        </is>
      </c>
      <c r="B196" s="5" t="inlineStr">
        <is>
          <t>x_0195</t>
        </is>
      </c>
      <c r="C196" s="5" t="n">
        <v>0</v>
      </c>
      <c r="D196" s="5" t="inlineStr">
        <is>
          <t>Investitions- und Strukturbank Rheinland-Pfalz (ISB)</t>
        </is>
      </c>
      <c r="E196" s="5" t="inlineStr">
        <is>
          <t>Landesbank Baden-Württemberg (LBBW)</t>
        </is>
      </c>
      <c r="F196" s="5" t="n">
        <v>45</v>
      </c>
      <c r="G196" s="5" t="n">
        <v>60</v>
      </c>
      <c r="H196" s="5" t="inlineStr">
        <is>
          <t>context_actor</t>
        </is>
      </c>
      <c r="I196" t="inlineStr">
        <is>
          <t>bank_finance_anchor</t>
        </is>
      </c>
      <c r="J196" s="5" t="inlineStr">
        <is>
          <t>profit_anchor</t>
        </is>
      </c>
      <c r="K196" t="inlineStr">
        <is>
          <t>bank_finance_anchor</t>
        </is>
      </c>
      <c r="L196" s="5" t="inlineStr">
        <is>
          <t>wirtschaft</t>
        </is>
      </c>
      <c r="M196" s="5" t="inlineStr">
        <is>
          <t>finanzierung_foerderung_transformation</t>
        </is>
      </c>
      <c r="N196" s="5" t="inlineStr">
        <is>
          <t>Finanzierung und Förderung von Transformation</t>
        </is>
      </c>
      <c r="O196" s="5" t="n">
        <v>5</v>
      </c>
      <c r="P196" s="5" t="n">
        <v>5</v>
      </c>
      <c r="Q196" s="5" t="n">
        <v>14</v>
      </c>
      <c r="R196" s="5" t="n">
        <v>4</v>
      </c>
      <c r="S196" s="5" t="n">
        <v>0</v>
      </c>
      <c r="T196" s="5" t="n">
        <v>0</v>
      </c>
      <c r="U196" s="5" t="n">
        <v>2</v>
      </c>
      <c r="V196" s="5" t="n">
        <v>6</v>
      </c>
      <c r="W196" s="5" t="n">
        <v>6</v>
      </c>
      <c r="X196" s="5" t="n">
        <v>0</v>
      </c>
      <c r="Y196" s="5" t="n">
        <v>0</v>
      </c>
      <c r="Z196" s="5" t="n">
        <v>0</v>
      </c>
      <c r="AA196" s="5" t="n">
        <v>0</v>
      </c>
      <c r="AB196" s="5" t="n">
        <v>26.716473</v>
      </c>
      <c r="AC196" s="5" t="inlineStr">
        <is>
          <t>Wie kommen Investitionen, Fördermittel, Banken und Unternehmensstrategien schneller zusammen?</t>
        </is>
      </c>
      <c r="AD196" s="5" t="inlineStr">
        <is>
          <t>Finanzierung und Förderung von Transformation: Investitions- und Strukturbank Rheinland-Pfalz (ISB) (context_actor, 5) + Landesbank Baden-Württemberg (LBBW) (profit_anchor, 5).</t>
        </is>
      </c>
      <c r="AE196" s="5" t="inlineStr">
        <is>
          <t>Investitions- und Strukturbank Rheinland-Pfalz (ISB) | Landesbank Baden-Württemberg (LBBW)</t>
        </is>
      </c>
      <c r="AF196" s="5" t="inlineStr">
        <is>
          <t>finanzierung-foerderung-transformation-investitions-und-strukturbank-rheinland-pfalz-isb-landes</t>
        </is>
      </c>
    </row>
    <row r="197" ht="30" customHeight="1" s="46">
      <c r="A197" s="5" t="inlineStr">
        <is>
          <t>C0196</t>
        </is>
      </c>
      <c r="B197" s="5" t="inlineStr">
        <is>
          <t>x_0196</t>
        </is>
      </c>
      <c r="C197" s="5" t="n">
        <v>0</v>
      </c>
      <c r="D197" s="5" t="inlineStr">
        <is>
          <t>Investitions- und Strukturbank Rheinland-Pfalz (ISB)</t>
        </is>
      </c>
      <c r="E197" s="5" t="inlineStr">
        <is>
          <t>Ministerium für Wirtschaft, Verkehr, Landwirtschaft und Weinbau</t>
        </is>
      </c>
      <c r="F197" s="5" t="n">
        <v>45</v>
      </c>
      <c r="G197" s="5" t="n">
        <v>70</v>
      </c>
      <c r="H197" s="5" t="inlineStr">
        <is>
          <t>context_actor</t>
        </is>
      </c>
      <c r="I197" t="inlineStr">
        <is>
          <t>bank_finance_anchor</t>
        </is>
      </c>
      <c r="J197" s="5" t="inlineStr">
        <is>
          <t>profit_anchor</t>
        </is>
      </c>
      <c r="K197" t="inlineStr">
        <is>
          <t>public_policy_anchor</t>
        </is>
      </c>
      <c r="L197" s="5" t="inlineStr">
        <is>
          <t>wirtschaft</t>
        </is>
      </c>
      <c r="M197" s="5" t="inlineStr">
        <is>
          <t>finanzierung_foerderung_transformation</t>
        </is>
      </c>
      <c r="N197" s="5" t="inlineStr">
        <is>
          <t>Finanzierung und Förderung von Transformation</t>
        </is>
      </c>
      <c r="O197" s="5" t="n">
        <v>5</v>
      </c>
      <c r="P197" s="5" t="n">
        <v>5</v>
      </c>
      <c r="Q197" s="5" t="n">
        <v>14</v>
      </c>
      <c r="R197" s="5" t="n">
        <v>4</v>
      </c>
      <c r="S197" s="5" t="n">
        <v>0</v>
      </c>
      <c r="T197" s="5" t="n">
        <v>0</v>
      </c>
      <c r="U197" s="5" t="n">
        <v>2</v>
      </c>
      <c r="V197" s="5" t="n">
        <v>6</v>
      </c>
      <c r="W197" s="5" t="n">
        <v>6</v>
      </c>
      <c r="X197" s="5" t="n">
        <v>0</v>
      </c>
      <c r="Y197" s="5" t="n">
        <v>0</v>
      </c>
      <c r="Z197" s="5" t="n">
        <v>0</v>
      </c>
      <c r="AA197" s="5" t="n">
        <v>0</v>
      </c>
      <c r="AB197" s="5" t="n">
        <v>27.807386</v>
      </c>
      <c r="AC197" s="5" t="inlineStr">
        <is>
          <t>Wie kommen Investitionen, Fördermittel, Banken und Unternehmensstrategien schneller zusammen?</t>
        </is>
      </c>
      <c r="AD197" s="5" t="inlineStr">
        <is>
          <t>Finanzierung und Förderung von Transformation: Investitions- und Strukturbank Rheinland-Pfalz (ISB) (context_actor, 5) + Ministerium für Wirtschaft, Verkehr, Landwirtschaft und Weinbau (profit_anchor, 5).</t>
        </is>
      </c>
      <c r="AE197" s="5" t="inlineStr">
        <is>
          <t>Investitions- und Strukturbank Rheinland-Pfalz (ISB) | Ministerium für Wirtschaft, Verkehr, Landwirtschaft und Weinbau</t>
        </is>
      </c>
      <c r="AF197" s="5" t="inlineStr">
        <is>
          <t>finanzierung-foerderung-transformation-investitions-und-strukturbank-rheinland-pfalz-isb-minist</t>
        </is>
      </c>
    </row>
    <row r="198" ht="30" customHeight="1" s="46">
      <c r="A198" s="5" t="inlineStr">
        <is>
          <t>C0197</t>
        </is>
      </c>
      <c r="B198" s="5" t="inlineStr">
        <is>
          <t>x_0197</t>
        </is>
      </c>
      <c r="C198" s="5" t="n">
        <v>0</v>
      </c>
      <c r="D198" s="5" t="inlineStr">
        <is>
          <t>Investitions- und Strukturbank Rheinland-Pfalz (ISB)</t>
        </is>
      </c>
      <c r="E198" s="5" t="inlineStr">
        <is>
          <t>Sparkassenverband Rheinland-Pfalz</t>
        </is>
      </c>
      <c r="F198" s="5" t="n">
        <v>45</v>
      </c>
      <c r="G198" s="5" t="n">
        <v>82</v>
      </c>
      <c r="H198" s="5" t="inlineStr">
        <is>
          <t>context_actor</t>
        </is>
      </c>
      <c r="I198" t="inlineStr">
        <is>
          <t>bank_finance_anchor</t>
        </is>
      </c>
      <c r="J198" s="5" t="inlineStr">
        <is>
          <t>profit_anchor</t>
        </is>
      </c>
      <c r="K198" t="inlineStr">
        <is>
          <t>bank_finance_anchor</t>
        </is>
      </c>
      <c r="L198" s="5" t="inlineStr">
        <is>
          <t>wirtschaft</t>
        </is>
      </c>
      <c r="M198" s="5" t="inlineStr">
        <is>
          <t>finanzierung_foerderung_transformation</t>
        </is>
      </c>
      <c r="N198" s="5" t="inlineStr">
        <is>
          <t>Finanzierung und Förderung von Transformation</t>
        </is>
      </c>
      <c r="O198" s="5" t="n">
        <v>5</v>
      </c>
      <c r="P198" s="5" t="n">
        <v>5</v>
      </c>
      <c r="Q198" s="5" t="n">
        <v>14</v>
      </c>
      <c r="R198" s="5" t="n">
        <v>4</v>
      </c>
      <c r="S198" s="5" t="n">
        <v>0</v>
      </c>
      <c r="T198" s="5" t="n">
        <v>0</v>
      </c>
      <c r="U198" s="5" t="n">
        <v>2</v>
      </c>
      <c r="V198" s="5" t="n">
        <v>6</v>
      </c>
      <c r="W198" s="5" t="n">
        <v>6</v>
      </c>
      <c r="X198" s="5" t="n">
        <v>0</v>
      </c>
      <c r="Y198" s="5" t="n">
        <v>0</v>
      </c>
      <c r="Z198" s="5" t="n">
        <v>0</v>
      </c>
      <c r="AA198" s="5" t="n">
        <v>0</v>
      </c>
      <c r="AB198" s="5" t="n">
        <v>26.716473</v>
      </c>
      <c r="AC198" s="5" t="inlineStr">
        <is>
          <t>Wie kommen Investitionen, Fördermittel, Banken und Unternehmensstrategien schneller zusammen?</t>
        </is>
      </c>
      <c r="AD198" s="5" t="inlineStr">
        <is>
          <t>Finanzierung und Förderung von Transformation: Investitions- und Strukturbank Rheinland-Pfalz (ISB) (context_actor, 5) + Sparkassenverband Rheinland-Pfalz (profit_anchor, 5).</t>
        </is>
      </c>
      <c r="AE198" s="5" t="inlineStr">
        <is>
          <t>Investitions- und Strukturbank Rheinland-Pfalz (ISB) | Sparkassenverband Rheinland-Pfalz</t>
        </is>
      </c>
      <c r="AF198" s="5" t="inlineStr">
        <is>
          <t>finanzierung-foerderung-transformation-investitions-und-strukturbank-rheinland-pfalz-isb-sparka</t>
        </is>
      </c>
    </row>
    <row r="199" ht="30" customHeight="1" s="46">
      <c r="A199" s="5" t="inlineStr">
        <is>
          <t>C0198</t>
        </is>
      </c>
      <c r="B199" s="5" t="inlineStr">
        <is>
          <t>x_0198</t>
        </is>
      </c>
      <c r="C199" s="5" t="n">
        <v>0</v>
      </c>
      <c r="D199" s="5" t="inlineStr">
        <is>
          <t>AOK Rheinland-Pfalz/Saarland</t>
        </is>
      </c>
      <c r="E199" s="5" t="inlineStr">
        <is>
          <t>Landesärztekammer Rheinland-Pfalz</t>
        </is>
      </c>
      <c r="F199" s="5" t="n">
        <v>2</v>
      </c>
      <c r="G199" s="5" t="n">
        <v>62</v>
      </c>
      <c r="H199" s="5" t="inlineStr">
        <is>
          <t>context_actor</t>
        </is>
      </c>
      <c r="I199" t="inlineStr">
        <is>
          <t>health_social_anchor</t>
        </is>
      </c>
      <c r="J199" s="5" t="inlineStr">
        <is>
          <t>implementation_anchor</t>
        </is>
      </c>
      <c r="K199" t="inlineStr">
        <is>
          <t>health_social_anchor</t>
        </is>
      </c>
      <c r="L199" s="5" t="inlineStr">
        <is>
          <t>gesellschaft</t>
        </is>
      </c>
      <c r="M199" s="5" t="inlineStr">
        <is>
          <t>gesundheit_versorgung_praevention</t>
        </is>
      </c>
      <c r="N199" s="5" t="inlineStr">
        <is>
          <t>Gesundheitsversorgung und Prävention</t>
        </is>
      </c>
      <c r="O199" s="5" t="n">
        <v>5</v>
      </c>
      <c r="P199" s="5" t="n">
        <v>5</v>
      </c>
      <c r="Q199" s="5" t="n">
        <v>14</v>
      </c>
      <c r="R199" s="5" t="n">
        <v>4</v>
      </c>
      <c r="S199" s="5" t="n">
        <v>0</v>
      </c>
      <c r="T199" s="5" t="n">
        <v>0</v>
      </c>
      <c r="U199" s="5" t="n">
        <v>2</v>
      </c>
      <c r="V199" s="5" t="n">
        <v>6</v>
      </c>
      <c r="W199" s="5" t="n">
        <v>6</v>
      </c>
      <c r="X199" s="5" t="n">
        <v>0</v>
      </c>
      <c r="Y199" s="5" t="n">
        <v>0</v>
      </c>
      <c r="Z199" s="5" t="n">
        <v>0</v>
      </c>
      <c r="AA199" s="5" t="n">
        <v>0</v>
      </c>
      <c r="AB199" s="5" t="n">
        <v>31.293646</v>
      </c>
      <c r="AC199" s="5" t="inlineStr">
        <is>
          <t>Wie kann Gesundheitsversorgung in Rheinland-Pfalz zugänglich, präventiv und digital unterstützt werden?</t>
        </is>
      </c>
      <c r="AD199" s="5" t="inlineStr">
        <is>
          <t>Gesundheitsversorgung und Prävention: AOK Rheinland-Pfalz/Saarland (context_actor, 5) + Landesärztekammer Rheinland-Pfalz (implementation_anchor, 5).</t>
        </is>
      </c>
      <c r="AE199" s="5" t="inlineStr">
        <is>
          <t>AOK Rheinland-Pfalz/Saarland | Landesärztekammer Rheinland-Pfalz</t>
        </is>
      </c>
      <c r="AF199" s="5" t="inlineStr">
        <is>
          <t>gesundheit-versorgung-praevention-aok-rheinland-pfalz-saarland-landesärztekammer-rheinland-pfal</t>
        </is>
      </c>
    </row>
    <row r="200" ht="30" customHeight="1" s="46">
      <c r="A200" s="5" t="inlineStr">
        <is>
          <t>C0199</t>
        </is>
      </c>
      <c r="B200" s="5" t="inlineStr">
        <is>
          <t>x_0199</t>
        </is>
      </c>
      <c r="C200" s="5" t="n">
        <v>0</v>
      </c>
      <c r="D200" s="5" t="inlineStr">
        <is>
          <t>Hochschule für Wirtschaft und Gesellschaft Ludwigshafen</t>
        </is>
      </c>
      <c r="E200" s="5" t="inlineStr">
        <is>
          <t>Landesärztekammer Rheinland-Pfalz</t>
        </is>
      </c>
      <c r="F200" s="5" t="n">
        <v>36</v>
      </c>
      <c r="G200" s="5" t="n">
        <v>62</v>
      </c>
      <c r="H200" s="5" t="inlineStr">
        <is>
          <t>academic_support</t>
        </is>
      </c>
      <c r="I200" t="inlineStr">
        <is>
          <t>university_applied_sciences</t>
        </is>
      </c>
      <c r="J200" s="5" t="inlineStr">
        <is>
          <t>implementation_anchor</t>
        </is>
      </c>
      <c r="K200" t="inlineStr">
        <is>
          <t>health_social_anchor</t>
        </is>
      </c>
      <c r="L200" s="5" t="inlineStr">
        <is>
          <t>gesellschaft</t>
        </is>
      </c>
      <c r="M200" s="5" t="inlineStr">
        <is>
          <t>gesundheit_versorgung_praevention</t>
        </is>
      </c>
      <c r="N200" s="5" t="inlineStr">
        <is>
          <t>Gesundheitsversorgung und Prävention</t>
        </is>
      </c>
      <c r="O200" s="5" t="n">
        <v>3</v>
      </c>
      <c r="P200" s="5" t="n">
        <v>5</v>
      </c>
      <c r="Q200" s="5" t="n">
        <v>12</v>
      </c>
      <c r="R200" s="5" t="n">
        <v>4</v>
      </c>
      <c r="S200" s="5" t="n">
        <v>0</v>
      </c>
      <c r="T200" s="5" t="n">
        <v>0</v>
      </c>
      <c r="U200" s="5" t="n">
        <v>2</v>
      </c>
      <c r="V200" s="5" t="n">
        <v>7</v>
      </c>
      <c r="W200" s="5" t="n">
        <v>7</v>
      </c>
      <c r="X200" s="5" t="n">
        <v>0</v>
      </c>
      <c r="Y200" s="5" t="n">
        <v>0</v>
      </c>
      <c r="Z200" s="5" t="n">
        <v>0</v>
      </c>
      <c r="AA200" s="5" t="n">
        <v>0</v>
      </c>
      <c r="AB200" s="5" t="n">
        <v>33.914618</v>
      </c>
      <c r="AC200" s="5" t="inlineStr">
        <is>
          <t>Wie kann Gesundheitsversorgung in Rheinland-Pfalz zugänglich, präventiv und digital unterstützt werden?</t>
        </is>
      </c>
      <c r="AD200" s="5" t="inlineStr">
        <is>
          <t>Gesundheitsversorgung und Prävention: Hochschule für Wirtschaft und Gesellschaft Ludwigshafen (academic_support, 3) + Landesärztekammer Rheinland-Pfalz (implementation_anchor, 5).</t>
        </is>
      </c>
      <c r="AE200" s="5" t="inlineStr">
        <is>
          <t>Hochschule für Wirtschaft und Gesellschaft Ludwigshafen | Landesärztekammer Rheinland-Pfalz</t>
        </is>
      </c>
      <c r="AF200" s="5" t="inlineStr">
        <is>
          <t>gesundheit-versorgung-praevention-hochschule-für-wirtschaft-und-gesellschaft-ludwigshafen-lande</t>
        </is>
      </c>
    </row>
    <row r="201">
      <c r="A201" s="5" t="inlineStr">
        <is>
          <t>C0200</t>
        </is>
      </c>
      <c r="B201" s="5" t="inlineStr">
        <is>
          <t>x_0200</t>
        </is>
      </c>
      <c r="C201" s="5" t="n">
        <v>0</v>
      </c>
      <c r="D201" s="5" t="inlineStr">
        <is>
          <t>IKK Südwest</t>
        </is>
      </c>
      <c r="E201" s="5" t="inlineStr">
        <is>
          <t>Landesärztekammer Rheinland-Pfalz</t>
        </is>
      </c>
      <c r="F201" s="5" t="n">
        <v>42</v>
      </c>
      <c r="G201" s="5" t="n">
        <v>62</v>
      </c>
      <c r="H201" s="5" t="inlineStr">
        <is>
          <t>context_actor</t>
        </is>
      </c>
      <c r="I201" t="inlineStr">
        <is>
          <t>health_social_anchor</t>
        </is>
      </c>
      <c r="J201" s="5" t="inlineStr">
        <is>
          <t>implementation_anchor</t>
        </is>
      </c>
      <c r="K201" t="inlineStr">
        <is>
          <t>health_social_anchor</t>
        </is>
      </c>
      <c r="L201" s="5" t="inlineStr">
        <is>
          <t>gesellschaft</t>
        </is>
      </c>
      <c r="M201" s="5" t="inlineStr">
        <is>
          <t>gesundheit_versorgung_praevention</t>
        </is>
      </c>
      <c r="N201" s="5" t="inlineStr">
        <is>
          <t>Gesundheitsversorgung und Prävention</t>
        </is>
      </c>
      <c r="O201" s="5" t="n">
        <v>5</v>
      </c>
      <c r="P201" s="5" t="n">
        <v>5</v>
      </c>
      <c r="Q201" s="5" t="n">
        <v>14</v>
      </c>
      <c r="R201" s="5" t="n">
        <v>4</v>
      </c>
      <c r="S201" s="5" t="n">
        <v>0</v>
      </c>
      <c r="T201" s="5" t="n">
        <v>0</v>
      </c>
      <c r="U201" s="5" t="n">
        <v>2</v>
      </c>
      <c r="V201" s="5" t="n">
        <v>6</v>
      </c>
      <c r="W201" s="5" t="n">
        <v>6</v>
      </c>
      <c r="X201" s="5" t="n">
        <v>0</v>
      </c>
      <c r="Y201" s="5" t="n">
        <v>0</v>
      </c>
      <c r="Z201" s="5" t="n">
        <v>0</v>
      </c>
      <c r="AA201" s="5" t="n">
        <v>0</v>
      </c>
      <c r="AB201" s="5" t="n">
        <v>31.293646</v>
      </c>
      <c r="AC201" s="5" t="inlineStr">
        <is>
          <t>Wie kann Gesundheitsversorgung in Rheinland-Pfalz zugänglich, präventiv und digital unterstützt werden?</t>
        </is>
      </c>
      <c r="AD201" s="5" t="inlineStr">
        <is>
          <t>Gesundheitsversorgung und Prävention: IKK Südwest (context_actor, 5) + Landesärztekammer Rheinland-Pfalz (implementation_anchor, 5).</t>
        </is>
      </c>
      <c r="AE201" s="5" t="inlineStr">
        <is>
          <t>IKK Südwest | Landesärztekammer Rheinland-Pfalz</t>
        </is>
      </c>
      <c r="AF201" s="5" t="inlineStr">
        <is>
          <t>gesundheit-versorgung-praevention-ikk-südwest-landesärztekammer-rheinland-pfalz</t>
        </is>
      </c>
    </row>
    <row r="202">
      <c r="A202" s="5" t="inlineStr">
        <is>
          <t>C0201</t>
        </is>
      </c>
      <c r="B202" s="5" t="inlineStr">
        <is>
          <t>x_0201</t>
        </is>
      </c>
      <c r="C202" s="5" t="n">
        <v>0</v>
      </c>
      <c r="D202" s="5" t="inlineStr">
        <is>
          <t>Kassenärztliche Vereinigung Rheinland-Pfalz</t>
        </is>
      </c>
      <c r="E202" s="5" t="inlineStr">
        <is>
          <t>Landesärztekammer Rheinland-Pfalz</t>
        </is>
      </c>
      <c r="F202" s="5" t="n">
        <v>54</v>
      </c>
      <c r="G202" s="5" t="n">
        <v>62</v>
      </c>
      <c r="H202" s="5" t="inlineStr">
        <is>
          <t>context_actor</t>
        </is>
      </c>
      <c r="I202" t="inlineStr">
        <is>
          <t>health_social_anchor</t>
        </is>
      </c>
      <c r="J202" s="5" t="inlineStr">
        <is>
          <t>implementation_anchor</t>
        </is>
      </c>
      <c r="K202" t="inlineStr">
        <is>
          <t>health_social_anchor</t>
        </is>
      </c>
      <c r="L202" s="5" t="inlineStr">
        <is>
          <t>gesellschaft</t>
        </is>
      </c>
      <c r="M202" s="5" t="inlineStr">
        <is>
          <t>gesundheit_versorgung_praevention</t>
        </is>
      </c>
      <c r="N202" s="5" t="inlineStr">
        <is>
          <t>Gesundheitsversorgung und Prävention</t>
        </is>
      </c>
      <c r="O202" s="5" t="n">
        <v>5</v>
      </c>
      <c r="P202" s="5" t="n">
        <v>5</v>
      </c>
      <c r="Q202" s="5" t="n">
        <v>14</v>
      </c>
      <c r="R202" s="5" t="n">
        <v>4</v>
      </c>
      <c r="S202" s="5" t="n">
        <v>0</v>
      </c>
      <c r="T202" s="5" t="n">
        <v>0</v>
      </c>
      <c r="U202" s="5" t="n">
        <v>2</v>
      </c>
      <c r="V202" s="5" t="n">
        <v>6</v>
      </c>
      <c r="W202" s="5" t="n">
        <v>6</v>
      </c>
      <c r="X202" s="5" t="n">
        <v>0</v>
      </c>
      <c r="Y202" s="5" t="n">
        <v>0</v>
      </c>
      <c r="Z202" s="5" t="n">
        <v>0</v>
      </c>
      <c r="AA202" s="5" t="n">
        <v>0</v>
      </c>
      <c r="AB202" s="5" t="n">
        <v>31.293646</v>
      </c>
      <c r="AC202" s="5" t="inlineStr">
        <is>
          <t>Wie kann Gesundheitsversorgung in Rheinland-Pfalz zugänglich, präventiv und digital unterstützt werden?</t>
        </is>
      </c>
      <c r="AD202" s="5" t="inlineStr">
        <is>
          <t>Gesundheitsversorgung und Prävention: Kassenärztliche Vereinigung Rheinland-Pfalz (context_actor, 5) + Landesärztekammer Rheinland-Pfalz (implementation_anchor, 5).</t>
        </is>
      </c>
      <c r="AE202" s="5" t="inlineStr">
        <is>
          <t>Kassenärztliche Vereinigung Rheinland-Pfalz | Landesärztekammer Rheinland-Pfalz</t>
        </is>
      </c>
      <c r="AF202" s="5" t="inlineStr">
        <is>
          <t>gesundheit-versorgung-praevention-kassenärztliche-vereinigung-rheinland-pfalz-landesärztekammer</t>
        </is>
      </c>
    </row>
    <row r="203">
      <c r="A203" s="5" t="inlineStr">
        <is>
          <t>C0202</t>
        </is>
      </c>
      <c r="B203" s="5" t="inlineStr">
        <is>
          <t>x_0202</t>
        </is>
      </c>
      <c r="C203" s="5" t="n">
        <v>0</v>
      </c>
      <c r="D203" s="5" t="inlineStr">
        <is>
          <t>Landesärztekammer Rheinland-Pfalz</t>
        </is>
      </c>
      <c r="E203" s="5" t="inlineStr">
        <is>
          <t>Techniker Krankenkasse</t>
        </is>
      </c>
      <c r="F203" s="5" t="n">
        <v>62</v>
      </c>
      <c r="G203" s="5" t="n">
        <v>87</v>
      </c>
      <c r="H203" s="5" t="inlineStr">
        <is>
          <t>implementation_anchor</t>
        </is>
      </c>
      <c r="I203" t="inlineStr">
        <is>
          <t>health_social_anchor</t>
        </is>
      </c>
      <c r="J203" s="5" t="inlineStr">
        <is>
          <t>context_actor</t>
        </is>
      </c>
      <c r="K203" t="inlineStr">
        <is>
          <t>health_social_anchor</t>
        </is>
      </c>
      <c r="L203" s="5" t="inlineStr">
        <is>
          <t>gesellschaft</t>
        </is>
      </c>
      <c r="M203" s="5" t="inlineStr">
        <is>
          <t>gesundheit_versorgung_praevention</t>
        </is>
      </c>
      <c r="N203" s="5" t="inlineStr">
        <is>
          <t>Gesundheitsversorgung und Prävention</t>
        </is>
      </c>
      <c r="O203" s="5" t="n">
        <v>5</v>
      </c>
      <c r="P203" s="5" t="n">
        <v>5</v>
      </c>
      <c r="Q203" s="5" t="n">
        <v>14</v>
      </c>
      <c r="R203" s="5" t="n">
        <v>4</v>
      </c>
      <c r="S203" s="5" t="n">
        <v>0</v>
      </c>
      <c r="T203" s="5" t="n">
        <v>0</v>
      </c>
      <c r="U203" s="5" t="n">
        <v>2</v>
      </c>
      <c r="V203" s="5" t="n">
        <v>6</v>
      </c>
      <c r="W203" s="5" t="n">
        <v>6</v>
      </c>
      <c r="X203" s="5" t="n">
        <v>0</v>
      </c>
      <c r="Y203" s="5" t="n">
        <v>0</v>
      </c>
      <c r="Z203" s="5" t="n">
        <v>0</v>
      </c>
      <c r="AA203" s="5" t="n">
        <v>0</v>
      </c>
      <c r="AB203" s="5" t="n">
        <v>31.293646</v>
      </c>
      <c r="AC203" s="5" t="inlineStr">
        <is>
          <t>Wie kann Gesundheitsversorgung in Rheinland-Pfalz zugänglich, präventiv und digital unterstützt werden?</t>
        </is>
      </c>
      <c r="AD203" s="5" t="inlineStr">
        <is>
          <t>Gesundheitsversorgung und Prävention: Landesärztekammer Rheinland-Pfalz (implementation_anchor, 5) + Techniker Krankenkasse (context_actor, 5).</t>
        </is>
      </c>
      <c r="AE203" s="5" t="inlineStr">
        <is>
          <t>Landesärztekammer Rheinland-Pfalz | Techniker Krankenkasse</t>
        </is>
      </c>
      <c r="AF203" s="5" t="inlineStr">
        <is>
          <t>gesundheit-versorgung-praevention-landesärztekammer-rheinland-pfalz-techniker-krankenkasse</t>
        </is>
      </c>
    </row>
    <row r="204">
      <c r="A204" s="5" t="inlineStr">
        <is>
          <t>C0203</t>
        </is>
      </c>
      <c r="B204" s="5" t="inlineStr">
        <is>
          <t>x_0203</t>
        </is>
      </c>
      <c r="C204" s="5" t="n">
        <v>0</v>
      </c>
      <c r="D204" s="5" t="inlineStr">
        <is>
          <t>Duale Hochschule Rheinland-Pfalz</t>
        </is>
      </c>
      <c r="E204" s="5" t="inlineStr">
        <is>
          <t>Handwerkskammern Rheinland-Pfalz</t>
        </is>
      </c>
      <c r="F204" s="5" t="n">
        <v>21</v>
      </c>
      <c r="G204" s="5" t="n">
        <v>32</v>
      </c>
      <c r="H204" s="5" t="inlineStr">
        <is>
          <t>academic_support</t>
        </is>
      </c>
      <c r="I204" t="inlineStr">
        <is>
          <t>university_applied_sciences</t>
        </is>
      </c>
      <c r="J204" s="5" t="inlineStr">
        <is>
          <t>implementation_anchor</t>
        </is>
      </c>
      <c r="K204" t="inlineStr">
        <is>
          <t>chamber_association_anchor</t>
        </is>
      </c>
      <c r="L204" s="5" t="inlineStr">
        <is>
          <t>wissen</t>
        </is>
      </c>
      <c r="M204" s="5" t="inlineStr">
        <is>
          <t>hochschule_wirtschaft_transfer</t>
        </is>
      </c>
      <c r="N204" s="5" t="inlineStr">
        <is>
          <t>Hochschule-Wirtschaft-Transfer</t>
        </is>
      </c>
      <c r="O204" s="5" t="n">
        <v>4</v>
      </c>
      <c r="P204" s="5" t="n">
        <v>4</v>
      </c>
      <c r="Q204" s="5" t="n">
        <v>12</v>
      </c>
      <c r="R204" s="5" t="n">
        <v>4</v>
      </c>
      <c r="S204" s="5" t="n">
        <v>0</v>
      </c>
      <c r="T204" s="5" t="n">
        <v>0</v>
      </c>
      <c r="U204" s="5" t="n">
        <v>2</v>
      </c>
      <c r="V204" s="5" t="n">
        <v>7</v>
      </c>
      <c r="W204" s="5" t="n">
        <v>7</v>
      </c>
      <c r="X204" s="5" t="n">
        <v>0</v>
      </c>
      <c r="Y204" s="5" t="n">
        <v>0</v>
      </c>
      <c r="Z204" s="5" t="n">
        <v>0</v>
      </c>
      <c r="AA204" s="5" t="n">
        <v>0</v>
      </c>
      <c r="AB204" s="5" t="n">
        <v>47.438317</v>
      </c>
      <c r="AC204" s="5" t="inlineStr">
        <is>
          <t>Wie kommen Forschung, Unternehmen und öffentliche Akteure schneller in gemeinsame Umsetzungsprojekte?</t>
        </is>
      </c>
      <c r="AD204" s="5" t="inlineStr">
        <is>
          <t>Hochschule-Wirtschaft-Transfer: Duale Hochschule Rheinland-Pfalz (academic_support, 4) + Handwerkskammern Rheinland-Pfalz (implementation_anchor, 4).</t>
        </is>
      </c>
      <c r="AE204" s="5" t="inlineStr">
        <is>
          <t>Duale Hochschule Rheinland-Pfalz | Handwerkskammern Rheinland-Pfalz</t>
        </is>
      </c>
      <c r="AF204" s="5" t="inlineStr">
        <is>
          <t>hochschule-wirtschaft-transfer-duale-hochschule-rheinland-pfalz-handwerkskammern-rheinland-pfal</t>
        </is>
      </c>
    </row>
    <row r="205">
      <c r="A205" s="5" t="inlineStr">
        <is>
          <t>C0204</t>
        </is>
      </c>
      <c r="B205" s="5" t="inlineStr">
        <is>
          <t>x_0204</t>
        </is>
      </c>
      <c r="C205" s="5" t="n">
        <v>0</v>
      </c>
      <c r="D205" s="5" t="inlineStr">
        <is>
          <t>Handwerkskammern Rheinland-Pfalz</t>
        </is>
      </c>
      <c r="E205" s="5" t="inlineStr">
        <is>
          <t>Hochschule Kaiserslautern</t>
        </is>
      </c>
      <c r="F205" s="5" t="n">
        <v>32</v>
      </c>
      <c r="G205" s="5" t="n">
        <v>37</v>
      </c>
      <c r="H205" s="5" t="inlineStr">
        <is>
          <t>implementation_anchor</t>
        </is>
      </c>
      <c r="I205" t="inlineStr">
        <is>
          <t>chamber_association_anchor</t>
        </is>
      </c>
      <c r="J205" s="5" t="inlineStr">
        <is>
          <t>academic_support</t>
        </is>
      </c>
      <c r="K205" t="inlineStr">
        <is>
          <t>university_applied_sciences</t>
        </is>
      </c>
      <c r="L205" s="5" t="inlineStr">
        <is>
          <t>wissen</t>
        </is>
      </c>
      <c r="M205" s="5" t="inlineStr">
        <is>
          <t>hochschule_wirtschaft_transfer</t>
        </is>
      </c>
      <c r="N205" s="5" t="inlineStr">
        <is>
          <t>Hochschule-Wirtschaft-Transfer</t>
        </is>
      </c>
      <c r="O205" s="5" t="n">
        <v>4</v>
      </c>
      <c r="P205" s="5" t="n">
        <v>4</v>
      </c>
      <c r="Q205" s="5" t="n">
        <v>12</v>
      </c>
      <c r="R205" s="5" t="n">
        <v>4</v>
      </c>
      <c r="S205" s="5" t="n">
        <v>0</v>
      </c>
      <c r="T205" s="5" t="n">
        <v>0</v>
      </c>
      <c r="U205" s="5" t="n">
        <v>2</v>
      </c>
      <c r="V205" s="5" t="n">
        <v>7</v>
      </c>
      <c r="W205" s="5" t="n">
        <v>7</v>
      </c>
      <c r="X205" s="5" t="n">
        <v>0</v>
      </c>
      <c r="Y205" s="5" t="n">
        <v>0</v>
      </c>
      <c r="Z205" s="5" t="n">
        <v>0</v>
      </c>
      <c r="AA205" s="5" t="n">
        <v>0</v>
      </c>
      <c r="AB205" s="5" t="n">
        <v>47.438317</v>
      </c>
      <c r="AC205" s="5" t="inlineStr">
        <is>
          <t>Wie kommen Forschung, Unternehmen und öffentliche Akteure schneller in gemeinsame Umsetzungsprojekte?</t>
        </is>
      </c>
      <c r="AD205" s="5" t="inlineStr">
        <is>
          <t>Hochschule-Wirtschaft-Transfer: Handwerkskammern Rheinland-Pfalz (implementation_anchor, 4) + Hochschule Kaiserslautern (academic_support, 4).</t>
        </is>
      </c>
      <c r="AE205" s="5" t="inlineStr">
        <is>
          <t>Handwerkskammern Rheinland-Pfalz | Hochschule Kaiserslautern</t>
        </is>
      </c>
      <c r="AF205" s="5" t="inlineStr">
        <is>
          <t>hochschule-wirtschaft-transfer-handwerkskammern-rheinland-pfalz-hochschule-kaiserslautern</t>
        </is>
      </c>
    </row>
    <row r="206">
      <c r="A206" s="5" t="inlineStr">
        <is>
          <t>C0205</t>
        </is>
      </c>
      <c r="B206" s="5" t="inlineStr">
        <is>
          <t>x_0205</t>
        </is>
      </c>
      <c r="C206" s="5" t="n">
        <v>0</v>
      </c>
      <c r="D206" s="5" t="inlineStr">
        <is>
          <t>Handwerkskammern Rheinland-Pfalz</t>
        </is>
      </c>
      <c r="E206" s="5" t="inlineStr">
        <is>
          <t>Hochschule Koblenz</t>
        </is>
      </c>
      <c r="F206" s="5" t="n">
        <v>32</v>
      </c>
      <c r="G206" s="5" t="n">
        <v>38</v>
      </c>
      <c r="H206" s="5" t="inlineStr">
        <is>
          <t>implementation_anchor</t>
        </is>
      </c>
      <c r="I206" t="inlineStr">
        <is>
          <t>chamber_association_anchor</t>
        </is>
      </c>
      <c r="J206" s="5" t="inlineStr">
        <is>
          <t>academic_support</t>
        </is>
      </c>
      <c r="K206" t="inlineStr">
        <is>
          <t>university_applied_sciences</t>
        </is>
      </c>
      <c r="L206" s="5" t="inlineStr">
        <is>
          <t>wissen</t>
        </is>
      </c>
      <c r="M206" s="5" t="inlineStr">
        <is>
          <t>hochschule_wirtschaft_transfer</t>
        </is>
      </c>
      <c r="N206" s="5" t="inlineStr">
        <is>
          <t>Hochschule-Wirtschaft-Transfer</t>
        </is>
      </c>
      <c r="O206" s="5" t="n">
        <v>4</v>
      </c>
      <c r="P206" s="5" t="n">
        <v>4</v>
      </c>
      <c r="Q206" s="5" t="n">
        <v>12</v>
      </c>
      <c r="R206" s="5" t="n">
        <v>4</v>
      </c>
      <c r="S206" s="5" t="n">
        <v>0</v>
      </c>
      <c r="T206" s="5" t="n">
        <v>0</v>
      </c>
      <c r="U206" s="5" t="n">
        <v>2</v>
      </c>
      <c r="V206" s="5" t="n">
        <v>7</v>
      </c>
      <c r="W206" s="5" t="n">
        <v>7</v>
      </c>
      <c r="X206" s="5" t="n">
        <v>0</v>
      </c>
      <c r="Y206" s="5" t="n">
        <v>0</v>
      </c>
      <c r="Z206" s="5" t="n">
        <v>0</v>
      </c>
      <c r="AA206" s="5" t="n">
        <v>0</v>
      </c>
      <c r="AB206" s="5" t="n">
        <v>47.438317</v>
      </c>
      <c r="AC206" s="5" t="inlineStr">
        <is>
          <t>Wie kommen Forschung, Unternehmen und öffentliche Akteure schneller in gemeinsame Umsetzungsprojekte?</t>
        </is>
      </c>
      <c r="AD206" s="5" t="inlineStr">
        <is>
          <t>Hochschule-Wirtschaft-Transfer: Handwerkskammern Rheinland-Pfalz (implementation_anchor, 4) + Hochschule Koblenz (academic_support, 4).</t>
        </is>
      </c>
      <c r="AE206" s="5" t="inlineStr">
        <is>
          <t>Handwerkskammern Rheinland-Pfalz | Hochschule Koblenz</t>
        </is>
      </c>
      <c r="AF206" s="5" t="inlineStr">
        <is>
          <t>hochschule-wirtschaft-transfer-handwerkskammern-rheinland-pfalz-hochschule-koblenz</t>
        </is>
      </c>
    </row>
    <row r="207">
      <c r="A207" s="5" t="inlineStr">
        <is>
          <t>C0206</t>
        </is>
      </c>
      <c r="B207" s="5" t="inlineStr">
        <is>
          <t>x_0206</t>
        </is>
      </c>
      <c r="C207" s="5" t="n">
        <v>0</v>
      </c>
      <c r="D207" s="5" t="inlineStr">
        <is>
          <t>Handwerkskammern Rheinland-Pfalz</t>
        </is>
      </c>
      <c r="E207" s="5" t="inlineStr">
        <is>
          <t>Hochschule Mainz</t>
        </is>
      </c>
      <c r="F207" s="5" t="n">
        <v>32</v>
      </c>
      <c r="G207" s="5" t="n">
        <v>39</v>
      </c>
      <c r="H207" s="5" t="inlineStr">
        <is>
          <t>implementation_anchor</t>
        </is>
      </c>
      <c r="I207" t="inlineStr">
        <is>
          <t>chamber_association_anchor</t>
        </is>
      </c>
      <c r="J207" s="5" t="inlineStr">
        <is>
          <t>academic_support</t>
        </is>
      </c>
      <c r="K207" t="inlineStr">
        <is>
          <t>university_applied_sciences</t>
        </is>
      </c>
      <c r="L207" s="5" t="inlineStr">
        <is>
          <t>wissen</t>
        </is>
      </c>
      <c r="M207" s="5" t="inlineStr">
        <is>
          <t>hochschule_wirtschaft_transfer</t>
        </is>
      </c>
      <c r="N207" s="5" t="inlineStr">
        <is>
          <t>Hochschule-Wirtschaft-Transfer</t>
        </is>
      </c>
      <c r="O207" s="5" t="n">
        <v>4</v>
      </c>
      <c r="P207" s="5" t="n">
        <v>4</v>
      </c>
      <c r="Q207" s="5" t="n">
        <v>12</v>
      </c>
      <c r="R207" s="5" t="n">
        <v>4</v>
      </c>
      <c r="S207" s="5" t="n">
        <v>0</v>
      </c>
      <c r="T207" s="5" t="n">
        <v>0</v>
      </c>
      <c r="U207" s="5" t="n">
        <v>2</v>
      </c>
      <c r="V207" s="5" t="n">
        <v>7</v>
      </c>
      <c r="W207" s="5" t="n">
        <v>7</v>
      </c>
      <c r="X207" s="5" t="n">
        <v>0</v>
      </c>
      <c r="Y207" s="5" t="n">
        <v>0</v>
      </c>
      <c r="Z207" s="5" t="n">
        <v>0</v>
      </c>
      <c r="AA207" s="5" t="n">
        <v>0</v>
      </c>
      <c r="AB207" s="5" t="n">
        <v>47.438317</v>
      </c>
      <c r="AC207" s="5" t="inlineStr">
        <is>
          <t>Wie kommen Forschung, Unternehmen und öffentliche Akteure schneller in gemeinsame Umsetzungsprojekte?</t>
        </is>
      </c>
      <c r="AD207" s="5" t="inlineStr">
        <is>
          <t>Hochschule-Wirtschaft-Transfer: Handwerkskammern Rheinland-Pfalz (implementation_anchor, 4) + Hochschule Mainz (academic_support, 4).</t>
        </is>
      </c>
      <c r="AE207" s="5" t="inlineStr">
        <is>
          <t>Handwerkskammern Rheinland-Pfalz | Hochschule Mainz</t>
        </is>
      </c>
      <c r="AF207" s="5" t="inlineStr">
        <is>
          <t>hochschule-wirtschaft-transfer-handwerkskammern-rheinland-pfalz-hochschule-mainz</t>
        </is>
      </c>
    </row>
    <row r="208">
      <c r="A208" s="5" t="inlineStr">
        <is>
          <t>C0207</t>
        </is>
      </c>
      <c r="B208" s="5" t="inlineStr">
        <is>
          <t>x_0207</t>
        </is>
      </c>
      <c r="C208" s="5" t="n">
        <v>0</v>
      </c>
      <c r="D208" s="5" t="inlineStr">
        <is>
          <t>Handwerkskammern Rheinland-Pfalz</t>
        </is>
      </c>
      <c r="E208" s="5" t="inlineStr">
        <is>
          <t>Hochschule Trier</t>
        </is>
      </c>
      <c r="F208" s="5" t="n">
        <v>32</v>
      </c>
      <c r="G208" s="5" t="n">
        <v>40</v>
      </c>
      <c r="H208" s="5" t="inlineStr">
        <is>
          <t>implementation_anchor</t>
        </is>
      </c>
      <c r="I208" t="inlineStr">
        <is>
          <t>chamber_association_anchor</t>
        </is>
      </c>
      <c r="J208" s="5" t="inlineStr">
        <is>
          <t>academic_support</t>
        </is>
      </c>
      <c r="K208" t="inlineStr">
        <is>
          <t>university_applied_sciences</t>
        </is>
      </c>
      <c r="L208" s="5" t="inlineStr">
        <is>
          <t>wissen</t>
        </is>
      </c>
      <c r="M208" s="5" t="inlineStr">
        <is>
          <t>hochschule_wirtschaft_transfer</t>
        </is>
      </c>
      <c r="N208" s="5" t="inlineStr">
        <is>
          <t>Hochschule-Wirtschaft-Transfer</t>
        </is>
      </c>
      <c r="O208" s="5" t="n">
        <v>4</v>
      </c>
      <c r="P208" s="5" t="n">
        <v>4</v>
      </c>
      <c r="Q208" s="5" t="n">
        <v>12</v>
      </c>
      <c r="R208" s="5" t="n">
        <v>4</v>
      </c>
      <c r="S208" s="5" t="n">
        <v>0</v>
      </c>
      <c r="T208" s="5" t="n">
        <v>0</v>
      </c>
      <c r="U208" s="5" t="n">
        <v>2</v>
      </c>
      <c r="V208" s="5" t="n">
        <v>7</v>
      </c>
      <c r="W208" s="5" t="n">
        <v>7</v>
      </c>
      <c r="X208" s="5" t="n">
        <v>0</v>
      </c>
      <c r="Y208" s="5" t="n">
        <v>0</v>
      </c>
      <c r="Z208" s="5" t="n">
        <v>0</v>
      </c>
      <c r="AA208" s="5" t="n">
        <v>0</v>
      </c>
      <c r="AB208" s="5" t="n">
        <v>47.438317</v>
      </c>
      <c r="AC208" s="5" t="inlineStr">
        <is>
          <t>Wie kommen Forschung, Unternehmen und öffentliche Akteure schneller in gemeinsame Umsetzungsprojekte?</t>
        </is>
      </c>
      <c r="AD208" s="5" t="inlineStr">
        <is>
          <t>Hochschule-Wirtschaft-Transfer: Handwerkskammern Rheinland-Pfalz (implementation_anchor, 4) + Hochschule Trier (academic_support, 4).</t>
        </is>
      </c>
      <c r="AE208" s="5" t="inlineStr">
        <is>
          <t>Handwerkskammern Rheinland-Pfalz | Hochschule Trier</t>
        </is>
      </c>
      <c r="AF208" s="5" t="inlineStr">
        <is>
          <t>hochschule-wirtschaft-transfer-handwerkskammern-rheinland-pfalz-hochschule-trier</t>
        </is>
      </c>
    </row>
    <row r="209">
      <c r="A209" s="5" t="inlineStr">
        <is>
          <t>C0208</t>
        </is>
      </c>
      <c r="B209" s="5" t="inlineStr">
        <is>
          <t>x_0208</t>
        </is>
      </c>
      <c r="C209" s="5" t="n">
        <v>0</v>
      </c>
      <c r="D209" s="5" t="inlineStr">
        <is>
          <t>Handwerkskammern Rheinland-Pfalz</t>
        </is>
      </c>
      <c r="E209" s="5" t="inlineStr">
        <is>
          <t>Hochschule Worms</t>
        </is>
      </c>
      <c r="F209" s="5" t="n">
        <v>32</v>
      </c>
      <c r="G209" s="5" t="n">
        <v>41</v>
      </c>
      <c r="H209" s="5" t="inlineStr">
        <is>
          <t>implementation_anchor</t>
        </is>
      </c>
      <c r="I209" t="inlineStr">
        <is>
          <t>chamber_association_anchor</t>
        </is>
      </c>
      <c r="J209" s="5" t="inlineStr">
        <is>
          <t>academic_support</t>
        </is>
      </c>
      <c r="K209" t="inlineStr">
        <is>
          <t>university_applied_sciences</t>
        </is>
      </c>
      <c r="L209" s="5" t="inlineStr">
        <is>
          <t>wissen</t>
        </is>
      </c>
      <c r="M209" s="5" t="inlineStr">
        <is>
          <t>hochschule_wirtschaft_transfer</t>
        </is>
      </c>
      <c r="N209" s="5" t="inlineStr">
        <is>
          <t>Hochschule-Wirtschaft-Transfer</t>
        </is>
      </c>
      <c r="O209" s="5" t="n">
        <v>4</v>
      </c>
      <c r="P209" s="5" t="n">
        <v>4</v>
      </c>
      <c r="Q209" s="5" t="n">
        <v>12</v>
      </c>
      <c r="R209" s="5" t="n">
        <v>4</v>
      </c>
      <c r="S209" s="5" t="n">
        <v>0</v>
      </c>
      <c r="T209" s="5" t="n">
        <v>0</v>
      </c>
      <c r="U209" s="5" t="n">
        <v>2</v>
      </c>
      <c r="V209" s="5" t="n">
        <v>7</v>
      </c>
      <c r="W209" s="5" t="n">
        <v>7</v>
      </c>
      <c r="X209" s="5" t="n">
        <v>0</v>
      </c>
      <c r="Y209" s="5" t="n">
        <v>0</v>
      </c>
      <c r="Z209" s="5" t="n">
        <v>0</v>
      </c>
      <c r="AA209" s="5" t="n">
        <v>0</v>
      </c>
      <c r="AB209" s="5" t="n">
        <v>47.438317</v>
      </c>
      <c r="AC209" s="5" t="inlineStr">
        <is>
          <t>Wie kommen Forschung, Unternehmen und öffentliche Akteure schneller in gemeinsame Umsetzungsprojekte?</t>
        </is>
      </c>
      <c r="AD209" s="5" t="inlineStr">
        <is>
          <t>Hochschule-Wirtschaft-Transfer: Handwerkskammern Rheinland-Pfalz (implementation_anchor, 4) + Hochschule Worms (academic_support, 4).</t>
        </is>
      </c>
      <c r="AE209" s="5" t="inlineStr">
        <is>
          <t>Handwerkskammern Rheinland-Pfalz | Hochschule Worms</t>
        </is>
      </c>
      <c r="AF209" s="5" t="inlineStr">
        <is>
          <t>hochschule-wirtschaft-transfer-handwerkskammern-rheinland-pfalz-hochschule-worms</t>
        </is>
      </c>
    </row>
    <row r="210">
      <c r="A210" s="5" t="inlineStr">
        <is>
          <t>C0209</t>
        </is>
      </c>
      <c r="B210" s="5" t="inlineStr">
        <is>
          <t>x_0209</t>
        </is>
      </c>
      <c r="C210" s="5" t="n">
        <v>0</v>
      </c>
      <c r="D210" s="5" t="inlineStr">
        <is>
          <t>Handwerkskammern Rheinland-Pfalz</t>
        </is>
      </c>
      <c r="E210" s="5" t="inlineStr">
        <is>
          <t>Hochschule für Wirtschaft und Gesellschaft Ludwigshafen</t>
        </is>
      </c>
      <c r="F210" s="5" t="n">
        <v>32</v>
      </c>
      <c r="G210" s="5" t="n">
        <v>36</v>
      </c>
      <c r="H210" s="5" t="inlineStr">
        <is>
          <t>implementation_anchor</t>
        </is>
      </c>
      <c r="I210" t="inlineStr">
        <is>
          <t>chamber_association_anchor</t>
        </is>
      </c>
      <c r="J210" s="5" t="inlineStr">
        <is>
          <t>academic_support</t>
        </is>
      </c>
      <c r="K210" t="inlineStr">
        <is>
          <t>university_applied_sciences</t>
        </is>
      </c>
      <c r="L210" s="5" t="inlineStr">
        <is>
          <t>wissen</t>
        </is>
      </c>
      <c r="M210" s="5" t="inlineStr">
        <is>
          <t>hochschule_wirtschaft_transfer</t>
        </is>
      </c>
      <c r="N210" s="5" t="inlineStr">
        <is>
          <t>Hochschule-Wirtschaft-Transfer</t>
        </is>
      </c>
      <c r="O210" s="5" t="n">
        <v>4</v>
      </c>
      <c r="P210" s="5" t="n">
        <v>4</v>
      </c>
      <c r="Q210" s="5" t="n">
        <v>12</v>
      </c>
      <c r="R210" s="5" t="n">
        <v>4</v>
      </c>
      <c r="S210" s="5" t="n">
        <v>0</v>
      </c>
      <c r="T210" s="5" t="n">
        <v>0</v>
      </c>
      <c r="U210" s="5" t="n">
        <v>2</v>
      </c>
      <c r="V210" s="5" t="n">
        <v>7</v>
      </c>
      <c r="W210" s="5" t="n">
        <v>7</v>
      </c>
      <c r="X210" s="5" t="n">
        <v>0</v>
      </c>
      <c r="Y210" s="5" t="n">
        <v>0</v>
      </c>
      <c r="Z210" s="5" t="n">
        <v>0</v>
      </c>
      <c r="AA210" s="5" t="n">
        <v>0</v>
      </c>
      <c r="AB210" s="5" t="n">
        <v>47.438317</v>
      </c>
      <c r="AC210" s="5" t="inlineStr">
        <is>
          <t>Wie kommen Forschung, Unternehmen und öffentliche Akteure schneller in gemeinsame Umsetzungsprojekte?</t>
        </is>
      </c>
      <c r="AD210" s="5" t="inlineStr">
        <is>
          <t>Hochschule-Wirtschaft-Transfer: Handwerkskammern Rheinland-Pfalz (implementation_anchor, 4) + Hochschule für Wirtschaft und Gesellschaft Ludwigshafen (academic_support, 4).</t>
        </is>
      </c>
      <c r="AE210" s="5" t="inlineStr">
        <is>
          <t>Handwerkskammern Rheinland-Pfalz | Hochschule für Wirtschaft und Gesellschaft Ludwigshafen</t>
        </is>
      </c>
      <c r="AF210" s="5" t="inlineStr">
        <is>
          <t>hochschule-wirtschaft-transfer-handwerkskammern-rheinland-pfalz-hochschule-für-wirtschaft-und-g</t>
        </is>
      </c>
    </row>
    <row r="211">
      <c r="A211" s="5" t="inlineStr">
        <is>
          <t>C0210</t>
        </is>
      </c>
      <c r="B211" s="5" t="inlineStr">
        <is>
          <t>x_0210</t>
        </is>
      </c>
      <c r="C211" s="5" t="n">
        <v>0</v>
      </c>
      <c r="D211" s="5" t="inlineStr">
        <is>
          <t>Handwerkskammern Rheinland-Pfalz</t>
        </is>
      </c>
      <c r="E211" s="5" t="inlineStr">
        <is>
          <t>Technische Hochschule Bingen</t>
        </is>
      </c>
      <c r="F211" s="5" t="n">
        <v>32</v>
      </c>
      <c r="G211" s="5" t="n">
        <v>88</v>
      </c>
      <c r="H211" s="5" t="inlineStr">
        <is>
          <t>implementation_anchor</t>
        </is>
      </c>
      <c r="I211" t="inlineStr">
        <is>
          <t>chamber_association_anchor</t>
        </is>
      </c>
      <c r="J211" s="5" t="inlineStr">
        <is>
          <t>academic_support</t>
        </is>
      </c>
      <c r="K211" t="inlineStr">
        <is>
          <t>university_applied_sciences</t>
        </is>
      </c>
      <c r="L211" s="5" t="inlineStr">
        <is>
          <t>wissen</t>
        </is>
      </c>
      <c r="M211" s="5" t="inlineStr">
        <is>
          <t>hochschule_wirtschaft_transfer</t>
        </is>
      </c>
      <c r="N211" s="5" t="inlineStr">
        <is>
          <t>Hochschule-Wirtschaft-Transfer</t>
        </is>
      </c>
      <c r="O211" s="5" t="n">
        <v>4</v>
      </c>
      <c r="P211" s="5" t="n">
        <v>4</v>
      </c>
      <c r="Q211" s="5" t="n">
        <v>12</v>
      </c>
      <c r="R211" s="5" t="n">
        <v>4</v>
      </c>
      <c r="S211" s="5" t="n">
        <v>0</v>
      </c>
      <c r="T211" s="5" t="n">
        <v>0</v>
      </c>
      <c r="U211" s="5" t="n">
        <v>2</v>
      </c>
      <c r="V211" s="5" t="n">
        <v>7</v>
      </c>
      <c r="W211" s="5" t="n">
        <v>7</v>
      </c>
      <c r="X211" s="5" t="n">
        <v>0</v>
      </c>
      <c r="Y211" s="5" t="n">
        <v>0</v>
      </c>
      <c r="Z211" s="5" t="n">
        <v>0</v>
      </c>
      <c r="AA211" s="5" t="n">
        <v>0</v>
      </c>
      <c r="AB211" s="5" t="n">
        <v>47.438317</v>
      </c>
      <c r="AC211" s="5" t="inlineStr">
        <is>
          <t>Wie kommen Forschung, Unternehmen und öffentliche Akteure schneller in gemeinsame Umsetzungsprojekte?</t>
        </is>
      </c>
      <c r="AD211" s="5" t="inlineStr">
        <is>
          <t>Hochschule-Wirtschaft-Transfer: Handwerkskammern Rheinland-Pfalz (implementation_anchor, 4) + Technische Hochschule Bingen (academic_support, 4).</t>
        </is>
      </c>
      <c r="AE211" s="5" t="inlineStr">
        <is>
          <t>Handwerkskammern Rheinland-Pfalz | Technische Hochschule Bingen</t>
        </is>
      </c>
      <c r="AF211" s="5" t="inlineStr">
        <is>
          <t>hochschule-wirtschaft-transfer-handwerkskammern-rheinland-pfalz-technische-hochschule-bingen</t>
        </is>
      </c>
    </row>
    <row r="212">
      <c r="A212" s="5" t="inlineStr">
        <is>
          <t>C0211</t>
        </is>
      </c>
      <c r="B212" s="5" t="inlineStr">
        <is>
          <t>x_0211</t>
        </is>
      </c>
      <c r="C212" s="5" t="n">
        <v>0</v>
      </c>
      <c r="D212" s="5" t="inlineStr">
        <is>
          <t>Handwerkskammern Rheinland-Pfalz</t>
        </is>
      </c>
      <c r="E212" s="5" t="inlineStr">
        <is>
          <t>Universität Koblenz</t>
        </is>
      </c>
      <c r="F212" s="5" t="n">
        <v>32</v>
      </c>
      <c r="G212" s="5" t="n">
        <v>92</v>
      </c>
      <c r="H212" s="5" t="inlineStr">
        <is>
          <t>implementation_anchor</t>
        </is>
      </c>
      <c r="I212" t="inlineStr">
        <is>
          <t>chamber_association_anchor</t>
        </is>
      </c>
      <c r="J212" s="5" t="inlineStr">
        <is>
          <t>academic_support</t>
        </is>
      </c>
      <c r="K212" t="inlineStr">
        <is>
          <t>university_research</t>
        </is>
      </c>
      <c r="L212" s="5" t="inlineStr">
        <is>
          <t>wissen</t>
        </is>
      </c>
      <c r="M212" s="5" t="inlineStr">
        <is>
          <t>hochschule_wirtschaft_transfer</t>
        </is>
      </c>
      <c r="N212" s="5" t="inlineStr">
        <is>
          <t>Hochschule-Wirtschaft-Transfer</t>
        </is>
      </c>
      <c r="O212" s="5" t="n">
        <v>4</v>
      </c>
      <c r="P212" s="5" t="n">
        <v>4</v>
      </c>
      <c r="Q212" s="5" t="n">
        <v>12</v>
      </c>
      <c r="R212" s="5" t="n">
        <v>4</v>
      </c>
      <c r="S212" s="5" t="n">
        <v>0</v>
      </c>
      <c r="T212" s="5" t="n">
        <v>0</v>
      </c>
      <c r="U212" s="5" t="n">
        <v>2</v>
      </c>
      <c r="V212" s="5" t="n">
        <v>7</v>
      </c>
      <c r="W212" s="5" t="n">
        <v>7</v>
      </c>
      <c r="X212" s="5" t="n">
        <v>0</v>
      </c>
      <c r="Y212" s="5" t="n">
        <v>0</v>
      </c>
      <c r="Z212" s="5" t="n">
        <v>0</v>
      </c>
      <c r="AA212" s="5" t="n">
        <v>0</v>
      </c>
      <c r="AB212" s="5" t="n">
        <v>50.924563</v>
      </c>
      <c r="AC212" s="5" t="inlineStr">
        <is>
          <t>Wie kommen Forschung, Unternehmen und öffentliche Akteure schneller in gemeinsame Umsetzungsprojekte?</t>
        </is>
      </c>
      <c r="AD212" s="5" t="inlineStr">
        <is>
          <t>Hochschule-Wirtschaft-Transfer: Handwerkskammern Rheinland-Pfalz (implementation_anchor, 4) + Universität Koblenz (academic_support, 4).</t>
        </is>
      </c>
      <c r="AE212" s="5" t="inlineStr">
        <is>
          <t>Handwerkskammern Rheinland-Pfalz | Universität Koblenz</t>
        </is>
      </c>
      <c r="AF212" s="5" t="inlineStr">
        <is>
          <t>hochschule-wirtschaft-transfer-handwerkskammern-rheinland-pfalz-universität-koblenz</t>
        </is>
      </c>
    </row>
    <row r="213">
      <c r="A213" s="5" t="inlineStr">
        <is>
          <t>C0212</t>
        </is>
      </c>
      <c r="B213" s="5" t="inlineStr">
        <is>
          <t>x_0212</t>
        </is>
      </c>
      <c r="C213" s="5" t="n">
        <v>0</v>
      </c>
      <c r="D213" s="5" t="inlineStr">
        <is>
          <t>Handwerkskammern Rheinland-Pfalz</t>
        </is>
      </c>
      <c r="E213" s="5" t="inlineStr">
        <is>
          <t>Universität Trier</t>
        </is>
      </c>
      <c r="F213" s="5" t="n">
        <v>32</v>
      </c>
      <c r="G213" s="5" t="n">
        <v>93</v>
      </c>
      <c r="H213" s="5" t="inlineStr">
        <is>
          <t>implementation_anchor</t>
        </is>
      </c>
      <c r="I213" t="inlineStr">
        <is>
          <t>chamber_association_anchor</t>
        </is>
      </c>
      <c r="J213" s="5" t="inlineStr">
        <is>
          <t>academic_support</t>
        </is>
      </c>
      <c r="K213" t="inlineStr">
        <is>
          <t>university_research</t>
        </is>
      </c>
      <c r="L213" s="5" t="inlineStr">
        <is>
          <t>wissen</t>
        </is>
      </c>
      <c r="M213" s="5" t="inlineStr">
        <is>
          <t>hochschule_wirtschaft_transfer</t>
        </is>
      </c>
      <c r="N213" s="5" t="inlineStr">
        <is>
          <t>Hochschule-Wirtschaft-Transfer</t>
        </is>
      </c>
      <c r="O213" s="5" t="n">
        <v>4</v>
      </c>
      <c r="P213" s="5" t="n">
        <v>4</v>
      </c>
      <c r="Q213" s="5" t="n">
        <v>12</v>
      </c>
      <c r="R213" s="5" t="n">
        <v>4</v>
      </c>
      <c r="S213" s="5" t="n">
        <v>0</v>
      </c>
      <c r="T213" s="5" t="n">
        <v>0</v>
      </c>
      <c r="U213" s="5" t="n">
        <v>2</v>
      </c>
      <c r="V213" s="5" t="n">
        <v>7</v>
      </c>
      <c r="W213" s="5" t="n">
        <v>7</v>
      </c>
      <c r="X213" s="5" t="n">
        <v>0</v>
      </c>
      <c r="Y213" s="5" t="n">
        <v>0</v>
      </c>
      <c r="Z213" s="5" t="n">
        <v>0</v>
      </c>
      <c r="AA213" s="5" t="n">
        <v>0</v>
      </c>
      <c r="AB213" s="5" t="n">
        <v>50.924563</v>
      </c>
      <c r="AC213" s="5" t="inlineStr">
        <is>
          <t>Wie kommen Forschung, Unternehmen und öffentliche Akteure schneller in gemeinsame Umsetzungsprojekte?</t>
        </is>
      </c>
      <c r="AD213" s="5" t="inlineStr">
        <is>
          <t>Hochschule-Wirtschaft-Transfer: Handwerkskammern Rheinland-Pfalz (implementation_anchor, 4) + Universität Trier (academic_support, 4).</t>
        </is>
      </c>
      <c r="AE213" s="5" t="inlineStr">
        <is>
          <t>Handwerkskammern Rheinland-Pfalz | Universität Trier</t>
        </is>
      </c>
      <c r="AF213" s="5" t="inlineStr">
        <is>
          <t>hochschule-wirtschaft-transfer-handwerkskammern-rheinland-pfalz-universität-trier</t>
        </is>
      </c>
    </row>
    <row r="214">
      <c r="A214" s="5" t="inlineStr">
        <is>
          <t>C0213</t>
        </is>
      </c>
      <c r="B214" s="5" t="inlineStr">
        <is>
          <t>x_0213</t>
        </is>
      </c>
      <c r="C214" s="5" t="n">
        <v>0</v>
      </c>
      <c r="D214" s="5" t="inlineStr">
        <is>
          <t>Continental Automotive Technologies GmbH, Safety and Motion (SAM), Standort Rheinböllen</t>
        </is>
      </c>
      <c r="E214" s="5" t="inlineStr">
        <is>
          <t>Rheinland-Pfälzische Technische Universität Kaiserslautern-Landau (RPTU)</t>
        </is>
      </c>
      <c r="F214" s="5" t="n">
        <v>15</v>
      </c>
      <c r="G214" s="5" t="n">
        <v>74</v>
      </c>
      <c r="H214" s="5" t="inlineStr">
        <is>
          <t>profit_anchor</t>
        </is>
      </c>
      <c r="I214" t="inlineStr">
        <is>
          <t>industry_anchor</t>
        </is>
      </c>
      <c r="J214" s="5" t="inlineStr">
        <is>
          <t>academic_support</t>
        </is>
      </c>
      <c r="K214" t="inlineStr">
        <is>
          <t>university_research</t>
        </is>
      </c>
      <c r="L214" s="5" t="inlineStr">
        <is>
          <t>technologie</t>
        </is>
      </c>
      <c r="M214" s="5" t="inlineStr">
        <is>
          <t>industrie_40_automation</t>
        </is>
      </c>
      <c r="N214" s="5" t="inlineStr">
        <is>
          <t>Industrie 4.0, Automatisierung und Produktion</t>
        </is>
      </c>
      <c r="O214" s="5" t="n">
        <v>5</v>
      </c>
      <c r="P214" s="5" t="n">
        <v>5</v>
      </c>
      <c r="Q214" s="5" t="n">
        <v>14</v>
      </c>
      <c r="R214" s="5" t="n">
        <v>4</v>
      </c>
      <c r="S214" s="5" t="n">
        <v>0</v>
      </c>
      <c r="T214" s="5" t="n">
        <v>0</v>
      </c>
      <c r="U214" s="5" t="n">
        <v>2</v>
      </c>
      <c r="V214" s="5" t="n">
        <v>6</v>
      </c>
      <c r="W214" s="5" t="n">
        <v>6</v>
      </c>
      <c r="X214" s="5" t="n">
        <v>0</v>
      </c>
      <c r="Y214" s="5" t="n">
        <v>0</v>
      </c>
      <c r="Z214" s="5" t="n">
        <v>0</v>
      </c>
      <c r="AA214" s="5" t="n">
        <v>0</v>
      </c>
      <c r="AB214" s="5" t="n">
        <v>27.451193</v>
      </c>
      <c r="AC214" s="5" t="inlineStr">
        <is>
          <t>Wie wird industrielle Produktion in Rheinland-Pfalz digitaler, robuster und wettbewerbsfähiger?</t>
        </is>
      </c>
      <c r="AD214" s="5" t="inlineStr">
        <is>
          <t>Industrie 4.0, Automatisierung und Produktion: Continental Automotive Technologies GmbH, Safety and Motion (SAM), Standort Rheinböllen (profit_anchor, 5) + Rheinland-Pfälzische Technische Universität Kaiserslautern-Landau (RPTU) (academic_support, 5).</t>
        </is>
      </c>
      <c r="AE214" s="5" t="inlineStr">
        <is>
          <t>Continental Automotive Technologies GmbH, Safety and Motion (SAM), Standort Rheinböllen | Rheinland-Pfälzische Technische Universität Kaiserslautern-Landau (RPTU)</t>
        </is>
      </c>
      <c r="AF214" s="5" t="inlineStr">
        <is>
          <t>industrie-40-automation-continental-automotive-technologies-gmbh-safety-and-motion-sam-standort</t>
        </is>
      </c>
    </row>
    <row r="215">
      <c r="A215" s="5" t="inlineStr">
        <is>
          <t>C0214</t>
        </is>
      </c>
      <c r="B215" s="5" t="inlineStr">
        <is>
          <t>x_0214</t>
        </is>
      </c>
      <c r="C215" s="5" t="n">
        <v>0</v>
      </c>
      <c r="D215" s="5" t="inlineStr">
        <is>
          <t>Continental Automotive Technologies GmbH, Safety and Motion (SAM), Standort Rheinböllen</t>
        </is>
      </c>
      <c r="E215" s="5" t="inlineStr">
        <is>
          <t>SmartFactory KL e.V.</t>
        </is>
      </c>
      <c r="F215" s="5" t="n">
        <v>15</v>
      </c>
      <c r="G215" s="5" t="n">
        <v>81</v>
      </c>
      <c r="H215" s="5" t="inlineStr">
        <is>
          <t>profit_anchor</t>
        </is>
      </c>
      <c r="I215" t="inlineStr">
        <is>
          <t>industry_anchor</t>
        </is>
      </c>
      <c r="J215" s="5" t="inlineStr">
        <is>
          <t>context_actor</t>
        </is>
      </c>
      <c r="K215" t="inlineStr">
        <is>
          <t>technology_digital_anchor</t>
        </is>
      </c>
      <c r="L215" s="5" t="inlineStr">
        <is>
          <t>technologie</t>
        </is>
      </c>
      <c r="M215" s="5" t="inlineStr">
        <is>
          <t>industrie_40_automation</t>
        </is>
      </c>
      <c r="N215" s="5" t="inlineStr">
        <is>
          <t>Industrie 4.0, Automatisierung und Produktion</t>
        </is>
      </c>
      <c r="O215" s="5" t="n">
        <v>5</v>
      </c>
      <c r="P215" s="5" t="n">
        <v>5</v>
      </c>
      <c r="Q215" s="5" t="n">
        <v>14</v>
      </c>
      <c r="R215" s="5" t="n">
        <v>4</v>
      </c>
      <c r="S215" s="5" t="n">
        <v>0</v>
      </c>
      <c r="T215" s="5" t="n">
        <v>0</v>
      </c>
      <c r="U215" s="5" t="n">
        <v>2</v>
      </c>
      <c r="V215" s="5" t="n">
        <v>6</v>
      </c>
      <c r="W215" s="5" t="n">
        <v>6</v>
      </c>
      <c r="X215" s="5" t="n">
        <v>0</v>
      </c>
      <c r="Y215" s="5" t="n">
        <v>0</v>
      </c>
      <c r="Z215" s="5" t="n">
        <v>0</v>
      </c>
      <c r="AA215" s="5" t="n">
        <v>0</v>
      </c>
      <c r="AB215" s="5" t="n">
        <v>22.465213</v>
      </c>
      <c r="AC215" s="5" t="inlineStr">
        <is>
          <t>Wie wird industrielle Produktion in Rheinland-Pfalz digitaler, robuster und wettbewerbsfähiger?</t>
        </is>
      </c>
      <c r="AD215" s="5" t="inlineStr">
        <is>
          <t>Industrie 4.0, Automatisierung und Produktion: Continental Automotive Technologies GmbH, Safety and Motion (SAM), Standort Rheinböllen (profit_anchor, 5) + SmartFactory KL e.V. (context_actor, 5).</t>
        </is>
      </c>
      <c r="AE215" s="5" t="inlineStr">
        <is>
          <t>Continental Automotive Technologies GmbH, Safety and Motion (SAM), Standort Rheinböllen | SmartFactory KL e.V.</t>
        </is>
      </c>
      <c r="AF215" s="5" t="inlineStr">
        <is>
          <t>industrie-40-automation-continental-automotive-technologies-gmbh-safety-and-motion-sam-standort</t>
        </is>
      </c>
    </row>
    <row r="216">
      <c r="A216" s="5" t="inlineStr">
        <is>
          <t>C0215</t>
        </is>
      </c>
      <c r="B216" s="5" t="inlineStr">
        <is>
          <t>x_0215</t>
        </is>
      </c>
      <c r="C216" s="5" t="n">
        <v>0</v>
      </c>
      <c r="D216" s="5" t="inlineStr">
        <is>
          <t>ITK Engineering GmbH</t>
        </is>
      </c>
      <c r="E216" s="5" t="inlineStr">
        <is>
          <t>Rheinland-Pfälzische Technische Universität Kaiserslautern-Landau (RPTU)</t>
        </is>
      </c>
      <c r="F216" s="5" t="n">
        <v>47</v>
      </c>
      <c r="G216" s="5" t="n">
        <v>74</v>
      </c>
      <c r="H216" s="5" t="inlineStr">
        <is>
          <t>profit_anchor</t>
        </is>
      </c>
      <c r="I216" t="inlineStr">
        <is>
          <t>technology_digital_anchor</t>
        </is>
      </c>
      <c r="J216" s="5" t="inlineStr">
        <is>
          <t>academic_support</t>
        </is>
      </c>
      <c r="K216" t="inlineStr">
        <is>
          <t>university_research</t>
        </is>
      </c>
      <c r="L216" s="5" t="inlineStr">
        <is>
          <t>technologie</t>
        </is>
      </c>
      <c r="M216" s="5" t="inlineStr">
        <is>
          <t>industrie_40_automation</t>
        </is>
      </c>
      <c r="N216" s="5" t="inlineStr">
        <is>
          <t>Industrie 4.0, Automatisierung und Produktion</t>
        </is>
      </c>
      <c r="O216" s="5" t="n">
        <v>5</v>
      </c>
      <c r="P216" s="5" t="n">
        <v>5</v>
      </c>
      <c r="Q216" s="5" t="n">
        <v>14</v>
      </c>
      <c r="R216" s="5" t="n">
        <v>4</v>
      </c>
      <c r="S216" s="5" t="n">
        <v>0</v>
      </c>
      <c r="T216" s="5" t="n">
        <v>0</v>
      </c>
      <c r="U216" s="5" t="n">
        <v>2</v>
      </c>
      <c r="V216" s="5" t="n">
        <v>6</v>
      </c>
      <c r="W216" s="5" t="n">
        <v>6</v>
      </c>
      <c r="X216" s="5" t="n">
        <v>0</v>
      </c>
      <c r="Y216" s="5" t="n">
        <v>0</v>
      </c>
      <c r="Z216" s="5" t="n">
        <v>0</v>
      </c>
      <c r="AA216" s="5" t="n">
        <v>0</v>
      </c>
      <c r="AB216" s="5" t="n">
        <v>28.612779</v>
      </c>
      <c r="AC216" s="5" t="inlineStr">
        <is>
          <t>Wie wird industrielle Produktion in Rheinland-Pfalz digitaler, robuster und wettbewerbsfähiger?</t>
        </is>
      </c>
      <c r="AD216" s="5" t="inlineStr">
        <is>
          <t>Industrie 4.0, Automatisierung und Produktion: ITK Engineering GmbH (profit_anchor, 5) + Rheinland-Pfälzische Technische Universität Kaiserslautern-Landau (RPTU) (academic_support, 5).</t>
        </is>
      </c>
      <c r="AE216" s="5" t="inlineStr">
        <is>
          <t>ITK Engineering GmbH | Rheinland-Pfälzische Technische Universität Kaiserslautern-Landau (RPTU)</t>
        </is>
      </c>
      <c r="AF216" s="5" t="inlineStr">
        <is>
          <t>industrie-40-automation-itk-engineering-gmbh-rheinland-pfälzische-technische-universität-kaiser</t>
        </is>
      </c>
    </row>
    <row r="217">
      <c r="A217" s="5" t="inlineStr">
        <is>
          <t>C0216</t>
        </is>
      </c>
      <c r="B217" s="5" t="inlineStr">
        <is>
          <t>x_0216</t>
        </is>
      </c>
      <c r="C217" s="5" t="n">
        <v>0</v>
      </c>
      <c r="D217" s="5" t="inlineStr">
        <is>
          <t>ITK Engineering GmbH</t>
        </is>
      </c>
      <c r="E217" s="5" t="inlineStr">
        <is>
          <t>SmartFactory KL e.V.</t>
        </is>
      </c>
      <c r="F217" s="5" t="n">
        <v>47</v>
      </c>
      <c r="G217" s="5" t="n">
        <v>81</v>
      </c>
      <c r="H217" s="5" t="inlineStr">
        <is>
          <t>profit_anchor</t>
        </is>
      </c>
      <c r="I217" t="inlineStr">
        <is>
          <t>technology_digital_anchor</t>
        </is>
      </c>
      <c r="J217" s="5" t="inlineStr">
        <is>
          <t>context_actor</t>
        </is>
      </c>
      <c r="K217" t="inlineStr">
        <is>
          <t>technology_digital_anchor</t>
        </is>
      </c>
      <c r="L217" s="5" t="inlineStr">
        <is>
          <t>technologie</t>
        </is>
      </c>
      <c r="M217" s="5" t="inlineStr">
        <is>
          <t>industrie_40_automation</t>
        </is>
      </c>
      <c r="N217" s="5" t="inlineStr">
        <is>
          <t>Industrie 4.0, Automatisierung und Produktion</t>
        </is>
      </c>
      <c r="O217" s="5" t="n">
        <v>5</v>
      </c>
      <c r="P217" s="5" t="n">
        <v>5</v>
      </c>
      <c r="Q217" s="5" t="n">
        <v>14</v>
      </c>
      <c r="R217" s="5" t="n">
        <v>4</v>
      </c>
      <c r="S217" s="5" t="n">
        <v>0</v>
      </c>
      <c r="T217" s="5" t="n">
        <v>0</v>
      </c>
      <c r="U217" s="5" t="n">
        <v>2</v>
      </c>
      <c r="V217" s="5" t="n">
        <v>6</v>
      </c>
      <c r="W217" s="5" t="n">
        <v>6</v>
      </c>
      <c r="X217" s="5" t="n">
        <v>0</v>
      </c>
      <c r="Y217" s="5" t="n">
        <v>0</v>
      </c>
      <c r="Z217" s="5" t="n">
        <v>0</v>
      </c>
      <c r="AA217" s="5" t="n">
        <v>0</v>
      </c>
      <c r="AB217" s="5" t="n">
        <v>23.561714</v>
      </c>
      <c r="AC217" s="5" t="inlineStr">
        <is>
          <t>Wie wird industrielle Produktion in Rheinland-Pfalz digitaler, robuster und wettbewerbsfähiger?</t>
        </is>
      </c>
      <c r="AD217" s="5" t="inlineStr">
        <is>
          <t>Industrie 4.0, Automatisierung und Produktion: ITK Engineering GmbH (profit_anchor, 5) + SmartFactory KL e.V. (context_actor, 5).</t>
        </is>
      </c>
      <c r="AE217" s="5" t="inlineStr">
        <is>
          <t>ITK Engineering GmbH | SmartFactory KL e.V.</t>
        </is>
      </c>
      <c r="AF217" s="5" t="inlineStr">
        <is>
          <t>industrie-40-automation-itk-engineering-gmbh-smartfactory-kl-e-v</t>
        </is>
      </c>
    </row>
    <row r="218">
      <c r="A218" s="5" t="inlineStr">
        <is>
          <t>C0217</t>
        </is>
      </c>
      <c r="B218" s="5" t="inlineStr">
        <is>
          <t>x_0217</t>
        </is>
      </c>
      <c r="C218" s="5" t="n">
        <v>0</v>
      </c>
      <c r="D218" s="5" t="inlineStr">
        <is>
          <t>Joseph Vögele AG</t>
        </is>
      </c>
      <c r="E218" s="5" t="inlineStr">
        <is>
          <t>Rheinland-Pfälzische Technische Universität Kaiserslautern-Landau (RPTU)</t>
        </is>
      </c>
      <c r="F218" s="5" t="n">
        <v>50</v>
      </c>
      <c r="G218" s="5" t="n">
        <v>74</v>
      </c>
      <c r="H218" s="5" t="inlineStr">
        <is>
          <t>profit_anchor</t>
        </is>
      </c>
      <c r="I218" t="inlineStr">
        <is>
          <t>construction_planning_anchor</t>
        </is>
      </c>
      <c r="J218" s="5" t="inlineStr">
        <is>
          <t>academic_support</t>
        </is>
      </c>
      <c r="K218" t="inlineStr">
        <is>
          <t>university_research</t>
        </is>
      </c>
      <c r="L218" s="5" t="inlineStr">
        <is>
          <t>technologie</t>
        </is>
      </c>
      <c r="M218" s="5" t="inlineStr">
        <is>
          <t>industrie_40_automation</t>
        </is>
      </c>
      <c r="N218" s="5" t="inlineStr">
        <is>
          <t>Industrie 4.0, Automatisierung und Produktion</t>
        </is>
      </c>
      <c r="O218" s="5" t="n">
        <v>5</v>
      </c>
      <c r="P218" s="5" t="n">
        <v>5</v>
      </c>
      <c r="Q218" s="5" t="n">
        <v>14</v>
      </c>
      <c r="R218" s="5" t="n">
        <v>4</v>
      </c>
      <c r="S218" s="5" t="n">
        <v>0</v>
      </c>
      <c r="T218" s="5" t="n">
        <v>0</v>
      </c>
      <c r="U218" s="5" t="n">
        <v>2</v>
      </c>
      <c r="V218" s="5" t="n">
        <v>6</v>
      </c>
      <c r="W218" s="5" t="n">
        <v>6</v>
      </c>
      <c r="X218" s="5" t="n">
        <v>0</v>
      </c>
      <c r="Y218" s="5" t="n">
        <v>0</v>
      </c>
      <c r="Z218" s="5" t="n">
        <v>0</v>
      </c>
      <c r="AA218" s="5" t="n">
        <v>0</v>
      </c>
      <c r="AB218" s="5" t="n">
        <v>29.384746</v>
      </c>
      <c r="AC218" s="5" t="inlineStr">
        <is>
          <t>Wie wird industrielle Produktion in Rheinland-Pfalz digitaler, robuster und wettbewerbsfähiger?</t>
        </is>
      </c>
      <c r="AD218" s="5" t="inlineStr">
        <is>
          <t>Industrie 4.0, Automatisierung und Produktion: Joseph Vögele AG (profit_anchor, 5) + Rheinland-Pfälzische Technische Universität Kaiserslautern-Landau (RPTU) (academic_support, 5).</t>
        </is>
      </c>
      <c r="AE218" s="5" t="inlineStr">
        <is>
          <t>Joseph Vögele AG | Rheinland-Pfälzische Technische Universität Kaiserslautern-Landau (RPTU)</t>
        </is>
      </c>
      <c r="AF218" s="5" t="inlineStr">
        <is>
          <t>industrie-40-automation-joseph-vögele-ag-rheinland-pfälzische-technische-universität-kaiserslau</t>
        </is>
      </c>
    </row>
    <row r="219">
      <c r="A219" s="5" t="inlineStr">
        <is>
          <t>C0218</t>
        </is>
      </c>
      <c r="B219" s="5" t="inlineStr">
        <is>
          <t>x_0218</t>
        </is>
      </c>
      <c r="C219" s="5" t="n">
        <v>0</v>
      </c>
      <c r="D219" s="5" t="inlineStr">
        <is>
          <t>Joseph Vögele AG</t>
        </is>
      </c>
      <c r="E219" s="5" t="inlineStr">
        <is>
          <t>SmartFactory KL e.V.</t>
        </is>
      </c>
      <c r="F219" s="5" t="n">
        <v>50</v>
      </c>
      <c r="G219" s="5" t="n">
        <v>81</v>
      </c>
      <c r="H219" s="5" t="inlineStr">
        <is>
          <t>profit_anchor</t>
        </is>
      </c>
      <c r="I219" t="inlineStr">
        <is>
          <t>construction_planning_anchor</t>
        </is>
      </c>
      <c r="J219" s="5" t="inlineStr">
        <is>
          <t>context_actor</t>
        </is>
      </c>
      <c r="K219" t="inlineStr">
        <is>
          <t>technology_digital_anchor</t>
        </is>
      </c>
      <c r="L219" s="5" t="inlineStr">
        <is>
          <t>technologie</t>
        </is>
      </c>
      <c r="M219" s="5" t="inlineStr">
        <is>
          <t>industrie_40_automation</t>
        </is>
      </c>
      <c r="N219" s="5" t="inlineStr">
        <is>
          <t>Industrie 4.0, Automatisierung und Produktion</t>
        </is>
      </c>
      <c r="O219" s="5" t="n">
        <v>5</v>
      </c>
      <c r="P219" s="5" t="n">
        <v>5</v>
      </c>
      <c r="Q219" s="5" t="n">
        <v>14</v>
      </c>
      <c r="R219" s="5" t="n">
        <v>4</v>
      </c>
      <c r="S219" s="5" t="n">
        <v>0</v>
      </c>
      <c r="T219" s="5" t="n">
        <v>0</v>
      </c>
      <c r="U219" s="5" t="n">
        <v>2</v>
      </c>
      <c r="V219" s="5" t="n">
        <v>6</v>
      </c>
      <c r="W219" s="5" t="n">
        <v>6</v>
      </c>
      <c r="X219" s="5" t="n">
        <v>0</v>
      </c>
      <c r="Y219" s="5" t="n">
        <v>0</v>
      </c>
      <c r="Z219" s="5" t="n">
        <v>0</v>
      </c>
      <c r="AA219" s="5" t="n">
        <v>0</v>
      </c>
      <c r="AB219" s="5" t="n">
        <v>24.286859</v>
      </c>
      <c r="AC219" s="5" t="inlineStr">
        <is>
          <t>Wie wird industrielle Produktion in Rheinland-Pfalz digitaler, robuster und wettbewerbsfähiger?</t>
        </is>
      </c>
      <c r="AD219" s="5" t="inlineStr">
        <is>
          <t>Industrie 4.0, Automatisierung und Produktion: Joseph Vögele AG (profit_anchor, 5) + SmartFactory KL e.V. (context_actor, 5).</t>
        </is>
      </c>
      <c r="AE219" s="5" t="inlineStr">
        <is>
          <t>Joseph Vögele AG | SmartFactory KL e.V.</t>
        </is>
      </c>
      <c r="AF219" s="5" t="inlineStr">
        <is>
          <t>industrie-40-automation-joseph-vögele-ag-smartfactory-kl-e-v</t>
        </is>
      </c>
    </row>
    <row r="220">
      <c r="A220" s="5" t="inlineStr">
        <is>
          <t>C0219</t>
        </is>
      </c>
      <c r="B220" s="5" t="inlineStr">
        <is>
          <t>x_0219</t>
        </is>
      </c>
      <c r="C220" s="5" t="n">
        <v>0</v>
      </c>
      <c r="D220" s="5" t="inlineStr">
        <is>
          <t>PFAFF Industriesysteme und Maschinen GmbH</t>
        </is>
      </c>
      <c r="E220" s="5" t="inlineStr">
        <is>
          <t>Rheinland-Pfälzische Technische Universität Kaiserslautern-Landau (RPTU)</t>
        </is>
      </c>
      <c r="F220" s="5" t="n">
        <v>71</v>
      </c>
      <c r="G220" s="5" t="n">
        <v>74</v>
      </c>
      <c r="H220" s="5" t="inlineStr">
        <is>
          <t>profit_anchor</t>
        </is>
      </c>
      <c r="I220" t="inlineStr">
        <is>
          <t>industry_anchor</t>
        </is>
      </c>
      <c r="J220" s="5" t="inlineStr">
        <is>
          <t>academic_support</t>
        </is>
      </c>
      <c r="K220" t="inlineStr">
        <is>
          <t>university_research</t>
        </is>
      </c>
      <c r="L220" s="5" t="inlineStr">
        <is>
          <t>technologie</t>
        </is>
      </c>
      <c r="M220" s="5" t="inlineStr">
        <is>
          <t>industrie_40_automation</t>
        </is>
      </c>
      <c r="N220" s="5" t="inlineStr">
        <is>
          <t>Industrie 4.0, Automatisierung und Produktion</t>
        </is>
      </c>
      <c r="O220" s="5" t="n">
        <v>5</v>
      </c>
      <c r="P220" s="5" t="n">
        <v>5</v>
      </c>
      <c r="Q220" s="5" t="n">
        <v>14</v>
      </c>
      <c r="R220" s="5" t="n">
        <v>4</v>
      </c>
      <c r="S220" s="5" t="n">
        <v>0</v>
      </c>
      <c r="T220" s="5" t="n">
        <v>0</v>
      </c>
      <c r="U220" s="5" t="n">
        <v>2</v>
      </c>
      <c r="V220" s="5" t="n">
        <v>6</v>
      </c>
      <c r="W220" s="5" t="n">
        <v>6</v>
      </c>
      <c r="X220" s="5" t="n">
        <v>0</v>
      </c>
      <c r="Y220" s="5" t="n">
        <v>0</v>
      </c>
      <c r="Z220" s="5" t="n">
        <v>0</v>
      </c>
      <c r="AA220" s="5" t="n">
        <v>0</v>
      </c>
      <c r="AB220" s="5" t="n">
        <v>27.451193</v>
      </c>
      <c r="AC220" s="5" t="inlineStr">
        <is>
          <t>Wie wird industrielle Produktion in Rheinland-Pfalz digitaler, robuster und wettbewerbsfähiger?</t>
        </is>
      </c>
      <c r="AD220" s="5" t="inlineStr">
        <is>
          <t>Industrie 4.0, Automatisierung und Produktion: PFAFF Industriesysteme und Maschinen GmbH (profit_anchor, 5) + Rheinland-Pfälzische Technische Universität Kaiserslautern-Landau (RPTU) (academic_support, 5).</t>
        </is>
      </c>
      <c r="AE220" s="5" t="inlineStr">
        <is>
          <t>PFAFF Industriesysteme und Maschinen GmbH | Rheinland-Pfälzische Technische Universität Kaiserslautern-Landau (RPTU)</t>
        </is>
      </c>
      <c r="AF220" s="5" t="inlineStr">
        <is>
          <t>industrie-40-automation-pfaff-industriesysteme-und-maschinen-gmbh-rheinland-pfälzische-technisc</t>
        </is>
      </c>
    </row>
    <row r="221">
      <c r="A221" s="5" t="inlineStr">
        <is>
          <t>C0220</t>
        </is>
      </c>
      <c r="B221" s="5" t="inlineStr">
        <is>
          <t>x_0220</t>
        </is>
      </c>
      <c r="C221" s="5" t="n">
        <v>0</v>
      </c>
      <c r="D221" s="5" t="inlineStr">
        <is>
          <t>PFAFF Industriesysteme und Maschinen GmbH</t>
        </is>
      </c>
      <c r="E221" s="5" t="inlineStr">
        <is>
          <t>SmartFactory KL e.V.</t>
        </is>
      </c>
      <c r="F221" s="5" t="n">
        <v>71</v>
      </c>
      <c r="G221" s="5" t="n">
        <v>81</v>
      </c>
      <c r="H221" s="5" t="inlineStr">
        <is>
          <t>profit_anchor</t>
        </is>
      </c>
      <c r="I221" t="inlineStr">
        <is>
          <t>industry_anchor</t>
        </is>
      </c>
      <c r="J221" s="5" t="inlineStr">
        <is>
          <t>context_actor</t>
        </is>
      </c>
      <c r="K221" t="inlineStr">
        <is>
          <t>technology_digital_anchor</t>
        </is>
      </c>
      <c r="L221" s="5" t="inlineStr">
        <is>
          <t>technologie</t>
        </is>
      </c>
      <c r="M221" s="5" t="inlineStr">
        <is>
          <t>industrie_40_automation</t>
        </is>
      </c>
      <c r="N221" s="5" t="inlineStr">
        <is>
          <t>Industrie 4.0, Automatisierung und Produktion</t>
        </is>
      </c>
      <c r="O221" s="5" t="n">
        <v>5</v>
      </c>
      <c r="P221" s="5" t="n">
        <v>5</v>
      </c>
      <c r="Q221" s="5" t="n">
        <v>14</v>
      </c>
      <c r="R221" s="5" t="n">
        <v>4</v>
      </c>
      <c r="S221" s="5" t="n">
        <v>0</v>
      </c>
      <c r="T221" s="5" t="n">
        <v>0</v>
      </c>
      <c r="U221" s="5" t="n">
        <v>2</v>
      </c>
      <c r="V221" s="5" t="n">
        <v>6</v>
      </c>
      <c r="W221" s="5" t="n">
        <v>6</v>
      </c>
      <c r="X221" s="5" t="n">
        <v>0</v>
      </c>
      <c r="Y221" s="5" t="n">
        <v>0</v>
      </c>
      <c r="Z221" s="5" t="n">
        <v>0</v>
      </c>
      <c r="AA221" s="5" t="n">
        <v>0</v>
      </c>
      <c r="AB221" s="5" t="n">
        <v>22.465213</v>
      </c>
      <c r="AC221" s="5" t="inlineStr">
        <is>
          <t>Wie wird industrielle Produktion in Rheinland-Pfalz digitaler, robuster und wettbewerbsfähiger?</t>
        </is>
      </c>
      <c r="AD221" s="5" t="inlineStr">
        <is>
          <t>Industrie 4.0, Automatisierung und Produktion: PFAFF Industriesysteme und Maschinen GmbH (profit_anchor, 5) + SmartFactory KL e.V. (context_actor, 5).</t>
        </is>
      </c>
      <c r="AE221" s="5" t="inlineStr">
        <is>
          <t>PFAFF Industriesysteme und Maschinen GmbH | SmartFactory KL e.V.</t>
        </is>
      </c>
      <c r="AF221" s="5" t="inlineStr">
        <is>
          <t>industrie-40-automation-pfaff-industriesysteme-und-maschinen-gmbh-smartfactory-kl-e-v</t>
        </is>
      </c>
    </row>
    <row r="222">
      <c r="A222" s="5" t="inlineStr">
        <is>
          <t>C0221</t>
        </is>
      </c>
      <c r="B222" s="5" t="inlineStr">
        <is>
          <t>x_0221</t>
        </is>
      </c>
      <c r="C222" s="5" t="n">
        <v>0</v>
      </c>
      <c r="D222" s="5" t="inlineStr">
        <is>
          <t>BRICKMAKERS AG</t>
        </is>
      </c>
      <c r="E222" s="5" t="inlineStr">
        <is>
          <t>Deutsche Universität für Verwaltungswissenschaften Speyer</t>
        </is>
      </c>
      <c r="F222" s="5" t="n">
        <v>12</v>
      </c>
      <c r="G222" s="5" t="n">
        <v>19</v>
      </c>
      <c r="H222" s="5" t="inlineStr">
        <is>
          <t>profit_anchor</t>
        </is>
      </c>
      <c r="I222" t="inlineStr">
        <is>
          <t>technology_digital_anchor</t>
        </is>
      </c>
      <c r="J222" s="5" t="inlineStr">
        <is>
          <t>academic_support</t>
        </is>
      </c>
      <c r="K222" t="inlineStr">
        <is>
          <t>university_research</t>
        </is>
      </c>
      <c r="L222" s="5" t="inlineStr">
        <is>
          <t>technologie</t>
        </is>
      </c>
      <c r="M222" s="5" t="inlineStr">
        <is>
          <t>ki_daten_verwaltung_wirtschaft</t>
        </is>
      </c>
      <c r="N222" s="5" t="inlineStr">
        <is>
          <t>KI, Daten und Verwaltungs-/Wirtschaftsanwendungen</t>
        </is>
      </c>
      <c r="O222" s="5" t="n">
        <v>5</v>
      </c>
      <c r="P222" s="5" t="n">
        <v>5</v>
      </c>
      <c r="Q222" s="5" t="n">
        <v>14</v>
      </c>
      <c r="R222" s="5" t="n">
        <v>4</v>
      </c>
      <c r="S222" s="5" t="n">
        <v>0</v>
      </c>
      <c r="T222" s="5" t="n">
        <v>0</v>
      </c>
      <c r="U222" s="5" t="n">
        <v>2</v>
      </c>
      <c r="V222" s="5" t="n">
        <v>6</v>
      </c>
      <c r="W222" s="5" t="n">
        <v>6</v>
      </c>
      <c r="X222" s="5" t="n">
        <v>0</v>
      </c>
      <c r="Y222" s="5" t="n">
        <v>0</v>
      </c>
      <c r="Z222" s="5" t="n">
        <v>0</v>
      </c>
      <c r="AA222" s="5" t="n">
        <v>0</v>
      </c>
      <c r="AB222" s="5" t="n">
        <v>28.612779</v>
      </c>
      <c r="AC222" s="5" t="inlineStr">
        <is>
          <t>Wo können KI und Datenplattformen in Unternehmen, Verwaltung und öffentlicher Infrastruktur konkret Nutzen stiften?</t>
        </is>
      </c>
      <c r="AD222" s="5" t="inlineStr">
        <is>
          <t>KI, Daten und Verwaltungs-/Wirtschaftsanwendungen: BRICKMAKERS AG (profit_anchor, 5) + Deutsche Universität für Verwaltungswissenschaften Speyer (academic_support, 5).</t>
        </is>
      </c>
      <c r="AE222" s="5" t="inlineStr">
        <is>
          <t>BRICKMAKERS AG | Deutsche Universität für Verwaltungswissenschaften Speyer</t>
        </is>
      </c>
      <c r="AF222" s="5" t="inlineStr">
        <is>
          <t>ki-daten-verwaltung-wirtschaft-brickmakers-ag-deutsche-universität-für-verwaltungswissenschafte</t>
        </is>
      </c>
    </row>
    <row r="223">
      <c r="A223" s="5" t="inlineStr">
        <is>
          <t>C0222</t>
        </is>
      </c>
      <c r="B223" s="5" t="inlineStr">
        <is>
          <t>x_0222</t>
        </is>
      </c>
      <c r="C223" s="5" t="n">
        <v>0</v>
      </c>
      <c r="D223" s="5" t="inlineStr">
        <is>
          <t>BRICKMAKERS AG</t>
        </is>
      </c>
      <c r="E223" s="5" t="inlineStr">
        <is>
          <t>Rheinland-Pfälzische Technische Universität Kaiserslautern-Landau (RPTU)</t>
        </is>
      </c>
      <c r="F223" s="5" t="n">
        <v>12</v>
      </c>
      <c r="G223" s="5" t="n">
        <v>74</v>
      </c>
      <c r="H223" s="5" t="inlineStr">
        <is>
          <t>profit_anchor</t>
        </is>
      </c>
      <c r="I223" t="inlineStr">
        <is>
          <t>technology_digital_anchor</t>
        </is>
      </c>
      <c r="J223" s="5" t="inlineStr">
        <is>
          <t>academic_support</t>
        </is>
      </c>
      <c r="K223" t="inlineStr">
        <is>
          <t>university_research</t>
        </is>
      </c>
      <c r="L223" s="5" t="inlineStr">
        <is>
          <t>technologie</t>
        </is>
      </c>
      <c r="M223" s="5" t="inlineStr">
        <is>
          <t>ki_daten_verwaltung_wirtschaft</t>
        </is>
      </c>
      <c r="N223" s="5" t="inlineStr">
        <is>
          <t>KI, Daten und Verwaltungs-/Wirtschaftsanwendungen</t>
        </is>
      </c>
      <c r="O223" s="5" t="n">
        <v>5</v>
      </c>
      <c r="P223" s="5" t="n">
        <v>5</v>
      </c>
      <c r="Q223" s="5" t="n">
        <v>14</v>
      </c>
      <c r="R223" s="5" t="n">
        <v>4</v>
      </c>
      <c r="S223" s="5" t="n">
        <v>0</v>
      </c>
      <c r="T223" s="5" t="n">
        <v>0</v>
      </c>
      <c r="U223" s="5" t="n">
        <v>2</v>
      </c>
      <c r="V223" s="5" t="n">
        <v>6</v>
      </c>
      <c r="W223" s="5" t="n">
        <v>6</v>
      </c>
      <c r="X223" s="5" t="n">
        <v>0</v>
      </c>
      <c r="Y223" s="5" t="n">
        <v>0</v>
      </c>
      <c r="Z223" s="5" t="n">
        <v>0</v>
      </c>
      <c r="AA223" s="5" t="n">
        <v>0</v>
      </c>
      <c r="AB223" s="5" t="n">
        <v>28.612779</v>
      </c>
      <c r="AC223" s="5" t="inlineStr">
        <is>
          <t>Wo können KI und Datenplattformen in Unternehmen, Verwaltung und öffentlicher Infrastruktur konkret Nutzen stiften?</t>
        </is>
      </c>
      <c r="AD223" s="5" t="inlineStr">
        <is>
          <t>KI, Daten und Verwaltungs-/Wirtschaftsanwendungen: BRICKMAKERS AG (profit_anchor, 5) + Rheinland-Pfälzische Technische Universität Kaiserslautern-Landau (RPTU) (academic_support, 5).</t>
        </is>
      </c>
      <c r="AE223" s="5" t="inlineStr">
        <is>
          <t>BRICKMAKERS AG | Rheinland-Pfälzische Technische Universität Kaiserslautern-Landau (RPTU)</t>
        </is>
      </c>
      <c r="AF223" s="5" t="inlineStr">
        <is>
          <t>ki-daten-verwaltung-wirtschaft-brickmakers-ag-rheinland-pfälzische-technische-universität-kaise</t>
        </is>
      </c>
    </row>
    <row r="224">
      <c r="A224" s="5" t="inlineStr">
        <is>
          <t>C0223</t>
        </is>
      </c>
      <c r="B224" s="5" t="inlineStr">
        <is>
          <t>x_0223</t>
        </is>
      </c>
      <c r="C224" s="5" t="n">
        <v>0</v>
      </c>
      <c r="D224" s="5" t="inlineStr">
        <is>
          <t>BRICKMAKERS AG</t>
        </is>
      </c>
      <c r="E224" s="5" t="inlineStr">
        <is>
          <t>robotspaceship</t>
        </is>
      </c>
      <c r="F224" s="5" t="n">
        <v>12</v>
      </c>
      <c r="G224" s="5" t="n">
        <v>75</v>
      </c>
      <c r="H224" s="5" t="inlineStr">
        <is>
          <t>profit_anchor</t>
        </is>
      </c>
      <c r="I224" t="inlineStr">
        <is>
          <t>technology_digital_anchor</t>
        </is>
      </c>
      <c r="J224" s="5" t="inlineStr">
        <is>
          <t>context_actor</t>
        </is>
      </c>
      <c r="K224" t="inlineStr">
        <is>
          <t>technology_digital_anchor</t>
        </is>
      </c>
      <c r="L224" s="5" t="inlineStr">
        <is>
          <t>technologie</t>
        </is>
      </c>
      <c r="M224" s="5" t="inlineStr">
        <is>
          <t>ki_daten_verwaltung_wirtschaft</t>
        </is>
      </c>
      <c r="N224" s="5" t="inlineStr">
        <is>
          <t>KI, Daten und Verwaltungs-/Wirtschaftsanwendungen</t>
        </is>
      </c>
      <c r="O224" s="5" t="n">
        <v>5</v>
      </c>
      <c r="P224" s="5" t="n">
        <v>5</v>
      </c>
      <c r="Q224" s="5" t="n">
        <v>14</v>
      </c>
      <c r="R224" s="5" t="n">
        <v>4</v>
      </c>
      <c r="S224" s="5" t="n">
        <v>0</v>
      </c>
      <c r="T224" s="5" t="n">
        <v>0</v>
      </c>
      <c r="U224" s="5" t="n">
        <v>2</v>
      </c>
      <c r="V224" s="5" t="n">
        <v>6</v>
      </c>
      <c r="W224" s="5" t="n">
        <v>6</v>
      </c>
      <c r="X224" s="5" t="n">
        <v>0</v>
      </c>
      <c r="Y224" s="5" t="n">
        <v>0</v>
      </c>
      <c r="Z224" s="5" t="n">
        <v>0</v>
      </c>
      <c r="AA224" s="5" t="n">
        <v>0</v>
      </c>
      <c r="AB224" s="5" t="n">
        <v>23.561714</v>
      </c>
      <c r="AC224" s="5" t="inlineStr">
        <is>
          <t>Wo können KI und Datenplattformen in Unternehmen, Verwaltung und öffentlicher Infrastruktur konkret Nutzen stiften?</t>
        </is>
      </c>
      <c r="AD224" s="5" t="inlineStr">
        <is>
          <t>KI, Daten und Verwaltungs-/Wirtschaftsanwendungen: BRICKMAKERS AG (profit_anchor, 5) + robotspaceship (context_actor, 5).</t>
        </is>
      </c>
      <c r="AE224" s="5" t="inlineStr">
        <is>
          <t>BRICKMAKERS AG | robotspaceship</t>
        </is>
      </c>
      <c r="AF224" s="5" t="inlineStr">
        <is>
          <t>ki-daten-verwaltung-wirtschaft-brickmakers-ag-robotspaceship</t>
        </is>
      </c>
    </row>
    <row r="225">
      <c r="A225" s="5" t="inlineStr">
        <is>
          <t>C0224</t>
        </is>
      </c>
      <c r="B225" s="5" t="inlineStr">
        <is>
          <t>x_0224</t>
        </is>
      </c>
      <c r="C225" s="5" t="n">
        <v>0</v>
      </c>
      <c r="D225" s="5" t="inlineStr">
        <is>
          <t>Deutsche Telekom AG</t>
        </is>
      </c>
      <c r="E225" s="5" t="inlineStr">
        <is>
          <t>Deutsche Universität für Verwaltungswissenschaften Speyer</t>
        </is>
      </c>
      <c r="F225" s="5" t="n">
        <v>18</v>
      </c>
      <c r="G225" s="5" t="n">
        <v>19</v>
      </c>
      <c r="H225" s="5" t="inlineStr">
        <is>
          <t>profit_anchor</t>
        </is>
      </c>
      <c r="I225" t="inlineStr">
        <is>
          <t>technology_digital_anchor</t>
        </is>
      </c>
      <c r="J225" s="5" t="inlineStr">
        <is>
          <t>academic_support</t>
        </is>
      </c>
      <c r="K225" t="inlineStr">
        <is>
          <t>university_research</t>
        </is>
      </c>
      <c r="L225" s="5" t="inlineStr">
        <is>
          <t>technologie</t>
        </is>
      </c>
      <c r="M225" s="5" t="inlineStr">
        <is>
          <t>ki_daten_verwaltung_wirtschaft</t>
        </is>
      </c>
      <c r="N225" s="5" t="inlineStr">
        <is>
          <t>KI, Daten und Verwaltungs-/Wirtschaftsanwendungen</t>
        </is>
      </c>
      <c r="O225" s="5" t="n">
        <v>5</v>
      </c>
      <c r="P225" s="5" t="n">
        <v>5</v>
      </c>
      <c r="Q225" s="5" t="n">
        <v>14</v>
      </c>
      <c r="R225" s="5" t="n">
        <v>4</v>
      </c>
      <c r="S225" s="5" t="n">
        <v>0</v>
      </c>
      <c r="T225" s="5" t="n">
        <v>0</v>
      </c>
      <c r="U225" s="5" t="n">
        <v>2</v>
      </c>
      <c r="V225" s="5" t="n">
        <v>6</v>
      </c>
      <c r="W225" s="5" t="n">
        <v>6</v>
      </c>
      <c r="X225" s="5" t="n">
        <v>0</v>
      </c>
      <c r="Y225" s="5" t="n">
        <v>0</v>
      </c>
      <c r="Z225" s="5" t="n">
        <v>0</v>
      </c>
      <c r="AA225" s="5" t="n">
        <v>0</v>
      </c>
      <c r="AB225" s="5" t="n">
        <v>28.612779</v>
      </c>
      <c r="AC225" s="5" t="inlineStr">
        <is>
          <t>Wo können KI und Datenplattformen in Unternehmen, Verwaltung und öffentlicher Infrastruktur konkret Nutzen stiften?</t>
        </is>
      </c>
      <c r="AD225" s="5" t="inlineStr">
        <is>
          <t>KI, Daten und Verwaltungs-/Wirtschaftsanwendungen: Deutsche Telekom AG (profit_anchor, 5) + Deutsche Universität für Verwaltungswissenschaften Speyer (academic_support, 5).</t>
        </is>
      </c>
      <c r="AE225" s="5" t="inlineStr">
        <is>
          <t>Deutsche Telekom AG | Deutsche Universität für Verwaltungswissenschaften Speyer</t>
        </is>
      </c>
      <c r="AF225" s="5" t="inlineStr">
        <is>
          <t>ki-daten-verwaltung-wirtschaft-deutsche-telekom-ag-deutsche-universität-für-verwaltungswissensc</t>
        </is>
      </c>
    </row>
    <row r="226">
      <c r="A226" s="5" t="inlineStr">
        <is>
          <t>C0225</t>
        </is>
      </c>
      <c r="B226" s="5" t="inlineStr">
        <is>
          <t>x_0225</t>
        </is>
      </c>
      <c r="C226" s="5" t="n">
        <v>0</v>
      </c>
      <c r="D226" s="5" t="inlineStr">
        <is>
          <t>Deutsche Telekom AG</t>
        </is>
      </c>
      <c r="E226" s="5" t="inlineStr">
        <is>
          <t>Rheinland-Pfälzische Technische Universität Kaiserslautern-Landau (RPTU)</t>
        </is>
      </c>
      <c r="F226" s="5" t="n">
        <v>18</v>
      </c>
      <c r="G226" s="5" t="n">
        <v>74</v>
      </c>
      <c r="H226" s="5" t="inlineStr">
        <is>
          <t>profit_anchor</t>
        </is>
      </c>
      <c r="I226" t="inlineStr">
        <is>
          <t>technology_digital_anchor</t>
        </is>
      </c>
      <c r="J226" s="5" t="inlineStr">
        <is>
          <t>academic_support</t>
        </is>
      </c>
      <c r="K226" t="inlineStr">
        <is>
          <t>university_research</t>
        </is>
      </c>
      <c r="L226" s="5" t="inlineStr">
        <is>
          <t>technologie</t>
        </is>
      </c>
      <c r="M226" s="5" t="inlineStr">
        <is>
          <t>ki_daten_verwaltung_wirtschaft</t>
        </is>
      </c>
      <c r="N226" s="5" t="inlineStr">
        <is>
          <t>KI, Daten und Verwaltungs-/Wirtschaftsanwendungen</t>
        </is>
      </c>
      <c r="O226" s="5" t="n">
        <v>5</v>
      </c>
      <c r="P226" s="5" t="n">
        <v>5</v>
      </c>
      <c r="Q226" s="5" t="n">
        <v>14</v>
      </c>
      <c r="R226" s="5" t="n">
        <v>4</v>
      </c>
      <c r="S226" s="5" t="n">
        <v>0</v>
      </c>
      <c r="T226" s="5" t="n">
        <v>0</v>
      </c>
      <c r="U226" s="5" t="n">
        <v>2</v>
      </c>
      <c r="V226" s="5" t="n">
        <v>6</v>
      </c>
      <c r="W226" s="5" t="n">
        <v>6</v>
      </c>
      <c r="X226" s="5" t="n">
        <v>0</v>
      </c>
      <c r="Y226" s="5" t="n">
        <v>0</v>
      </c>
      <c r="Z226" s="5" t="n">
        <v>0</v>
      </c>
      <c r="AA226" s="5" t="n">
        <v>0</v>
      </c>
      <c r="AB226" s="5" t="n">
        <v>28.612779</v>
      </c>
      <c r="AC226" s="5" t="inlineStr">
        <is>
          <t>Wo können KI und Datenplattformen in Unternehmen, Verwaltung und öffentlicher Infrastruktur konkret Nutzen stiften?</t>
        </is>
      </c>
      <c r="AD226" s="5" t="inlineStr">
        <is>
          <t>KI, Daten und Verwaltungs-/Wirtschaftsanwendungen: Deutsche Telekom AG (profit_anchor, 5) + Rheinland-Pfälzische Technische Universität Kaiserslautern-Landau (RPTU) (academic_support, 5).</t>
        </is>
      </c>
      <c r="AE226" s="5" t="inlineStr">
        <is>
          <t>Deutsche Telekom AG | Rheinland-Pfälzische Technische Universität Kaiserslautern-Landau (RPTU)</t>
        </is>
      </c>
      <c r="AF226" s="5" t="inlineStr">
        <is>
          <t>ki-daten-verwaltung-wirtschaft-deutsche-telekom-ag-rheinland-pfälzische-technische-universität-</t>
        </is>
      </c>
    </row>
    <row r="227">
      <c r="A227" s="5" t="inlineStr">
        <is>
          <t>C0226</t>
        </is>
      </c>
      <c r="B227" s="5" t="inlineStr">
        <is>
          <t>x_0226</t>
        </is>
      </c>
      <c r="C227" s="5" t="n">
        <v>0</v>
      </c>
      <c r="D227" s="5" t="inlineStr">
        <is>
          <t>Deutsche Telekom AG</t>
        </is>
      </c>
      <c r="E227" s="5" t="inlineStr">
        <is>
          <t>robotspaceship</t>
        </is>
      </c>
      <c r="F227" s="5" t="n">
        <v>18</v>
      </c>
      <c r="G227" s="5" t="n">
        <v>75</v>
      </c>
      <c r="H227" s="5" t="inlineStr">
        <is>
          <t>profit_anchor</t>
        </is>
      </c>
      <c r="I227" t="inlineStr">
        <is>
          <t>technology_digital_anchor</t>
        </is>
      </c>
      <c r="J227" s="5" t="inlineStr">
        <is>
          <t>context_actor</t>
        </is>
      </c>
      <c r="K227" t="inlineStr">
        <is>
          <t>technology_digital_anchor</t>
        </is>
      </c>
      <c r="L227" s="5" t="inlineStr">
        <is>
          <t>technologie</t>
        </is>
      </c>
      <c r="M227" s="5" t="inlineStr">
        <is>
          <t>ki_daten_verwaltung_wirtschaft</t>
        </is>
      </c>
      <c r="N227" s="5" t="inlineStr">
        <is>
          <t>KI, Daten und Verwaltungs-/Wirtschaftsanwendungen</t>
        </is>
      </c>
      <c r="O227" s="5" t="n">
        <v>5</v>
      </c>
      <c r="P227" s="5" t="n">
        <v>5</v>
      </c>
      <c r="Q227" s="5" t="n">
        <v>14</v>
      </c>
      <c r="R227" s="5" t="n">
        <v>4</v>
      </c>
      <c r="S227" s="5" t="n">
        <v>0</v>
      </c>
      <c r="T227" s="5" t="n">
        <v>0</v>
      </c>
      <c r="U227" s="5" t="n">
        <v>2</v>
      </c>
      <c r="V227" s="5" t="n">
        <v>6</v>
      </c>
      <c r="W227" s="5" t="n">
        <v>6</v>
      </c>
      <c r="X227" s="5" t="n">
        <v>0</v>
      </c>
      <c r="Y227" s="5" t="n">
        <v>0</v>
      </c>
      <c r="Z227" s="5" t="n">
        <v>0</v>
      </c>
      <c r="AA227" s="5" t="n">
        <v>0</v>
      </c>
      <c r="AB227" s="5" t="n">
        <v>23.561714</v>
      </c>
      <c r="AC227" s="5" t="inlineStr">
        <is>
          <t>Wo können KI und Datenplattformen in Unternehmen, Verwaltung und öffentlicher Infrastruktur konkret Nutzen stiften?</t>
        </is>
      </c>
      <c r="AD227" s="5" t="inlineStr">
        <is>
          <t>KI, Daten und Verwaltungs-/Wirtschaftsanwendungen: Deutsche Telekom AG (profit_anchor, 5) + robotspaceship (context_actor, 5).</t>
        </is>
      </c>
      <c r="AE227" s="5" t="inlineStr">
        <is>
          <t>Deutsche Telekom AG | robotspaceship</t>
        </is>
      </c>
      <c r="AF227" s="5" t="inlineStr">
        <is>
          <t>ki-daten-verwaltung-wirtschaft-deutsche-telekom-ag-robotspaceship</t>
        </is>
      </c>
    </row>
    <row r="228">
      <c r="A228" s="5" t="inlineStr">
        <is>
          <t>C0227</t>
        </is>
      </c>
      <c r="B228" s="5" t="inlineStr">
        <is>
          <t>x_0227</t>
        </is>
      </c>
      <c r="C228" s="5" t="n">
        <v>0</v>
      </c>
      <c r="D228" s="5" t="inlineStr">
        <is>
          <t>Deutsche Universität für Verwaltungswissenschaften Speyer</t>
        </is>
      </c>
      <c r="E228" s="5" t="inlineStr">
        <is>
          <t>Empolis Information Management GmbH</t>
        </is>
      </c>
      <c r="F228" s="5" t="n">
        <v>19</v>
      </c>
      <c r="G228" s="5" t="n">
        <v>23</v>
      </c>
      <c r="H228" s="5" t="inlineStr">
        <is>
          <t>academic_support</t>
        </is>
      </c>
      <c r="I228" t="inlineStr">
        <is>
          <t>university_research</t>
        </is>
      </c>
      <c r="J228" s="5" t="inlineStr">
        <is>
          <t>profit_anchor</t>
        </is>
      </c>
      <c r="K228" t="inlineStr">
        <is>
          <t>technology_digital_anchor</t>
        </is>
      </c>
      <c r="L228" s="5" t="inlineStr">
        <is>
          <t>technologie</t>
        </is>
      </c>
      <c r="M228" s="5" t="inlineStr">
        <is>
          <t>ki_daten_verwaltung_wirtschaft</t>
        </is>
      </c>
      <c r="N228" s="5" t="inlineStr">
        <is>
          <t>KI, Daten und Verwaltungs-/Wirtschaftsanwendungen</t>
        </is>
      </c>
      <c r="O228" s="5" t="n">
        <v>5</v>
      </c>
      <c r="P228" s="5" t="n">
        <v>5</v>
      </c>
      <c r="Q228" s="5" t="n">
        <v>14</v>
      </c>
      <c r="R228" s="5" t="n">
        <v>4</v>
      </c>
      <c r="S228" s="5" t="n">
        <v>0</v>
      </c>
      <c r="T228" s="5" t="n">
        <v>0</v>
      </c>
      <c r="U228" s="5" t="n">
        <v>2</v>
      </c>
      <c r="V228" s="5" t="n">
        <v>6</v>
      </c>
      <c r="W228" s="5" t="n">
        <v>6</v>
      </c>
      <c r="X228" s="5" t="n">
        <v>0</v>
      </c>
      <c r="Y228" s="5" t="n">
        <v>0</v>
      </c>
      <c r="Z228" s="5" t="n">
        <v>0</v>
      </c>
      <c r="AA228" s="5" t="n">
        <v>0</v>
      </c>
      <c r="AB228" s="5" t="n">
        <v>28.612779</v>
      </c>
      <c r="AC228" s="5" t="inlineStr">
        <is>
          <t>Wo können KI und Datenplattformen in Unternehmen, Verwaltung und öffentlicher Infrastruktur konkret Nutzen stiften?</t>
        </is>
      </c>
      <c r="AD228" s="5" t="inlineStr">
        <is>
          <t>KI, Daten und Verwaltungs-/Wirtschaftsanwendungen: Deutsche Universität für Verwaltungswissenschaften Speyer (academic_support, 5) + Empolis Information Management GmbH (profit_anchor, 5).</t>
        </is>
      </c>
      <c r="AE228" s="5" t="inlineStr">
        <is>
          <t>Deutsche Universität für Verwaltungswissenschaften Speyer | Empolis Information Management GmbH</t>
        </is>
      </c>
      <c r="AF228" s="5" t="inlineStr">
        <is>
          <t>ki-daten-verwaltung-wirtschaft-deutsche-universität-für-verwaltungswissenschaften-speyer-empoli</t>
        </is>
      </c>
    </row>
    <row r="229">
      <c r="A229" s="5" t="inlineStr">
        <is>
          <t>C0228</t>
        </is>
      </c>
      <c r="B229" s="5" t="inlineStr">
        <is>
          <t>x_0228</t>
        </is>
      </c>
      <c r="C229" s="5" t="n">
        <v>0</v>
      </c>
      <c r="D229" s="5" t="inlineStr">
        <is>
          <t>Empolis Information Management GmbH</t>
        </is>
      </c>
      <c r="E229" s="5" t="inlineStr">
        <is>
          <t>Rheinland-Pfälzische Technische Universität Kaiserslautern-Landau (RPTU)</t>
        </is>
      </c>
      <c r="F229" s="5" t="n">
        <v>23</v>
      </c>
      <c r="G229" s="5" t="n">
        <v>74</v>
      </c>
      <c r="H229" s="5" t="inlineStr">
        <is>
          <t>profit_anchor</t>
        </is>
      </c>
      <c r="I229" t="inlineStr">
        <is>
          <t>technology_digital_anchor</t>
        </is>
      </c>
      <c r="J229" s="5" t="inlineStr">
        <is>
          <t>academic_support</t>
        </is>
      </c>
      <c r="K229" t="inlineStr">
        <is>
          <t>university_research</t>
        </is>
      </c>
      <c r="L229" s="5" t="inlineStr">
        <is>
          <t>technologie</t>
        </is>
      </c>
      <c r="M229" s="5" t="inlineStr">
        <is>
          <t>ki_daten_verwaltung_wirtschaft</t>
        </is>
      </c>
      <c r="N229" s="5" t="inlineStr">
        <is>
          <t>KI, Daten und Verwaltungs-/Wirtschaftsanwendungen</t>
        </is>
      </c>
      <c r="O229" s="5" t="n">
        <v>5</v>
      </c>
      <c r="P229" s="5" t="n">
        <v>5</v>
      </c>
      <c r="Q229" s="5" t="n">
        <v>14</v>
      </c>
      <c r="R229" s="5" t="n">
        <v>4</v>
      </c>
      <c r="S229" s="5" t="n">
        <v>0</v>
      </c>
      <c r="T229" s="5" t="n">
        <v>0</v>
      </c>
      <c r="U229" s="5" t="n">
        <v>2</v>
      </c>
      <c r="V229" s="5" t="n">
        <v>6</v>
      </c>
      <c r="W229" s="5" t="n">
        <v>6</v>
      </c>
      <c r="X229" s="5" t="n">
        <v>0</v>
      </c>
      <c r="Y229" s="5" t="n">
        <v>0</v>
      </c>
      <c r="Z229" s="5" t="n">
        <v>0</v>
      </c>
      <c r="AA229" s="5" t="n">
        <v>0</v>
      </c>
      <c r="AB229" s="5" t="n">
        <v>28.612779</v>
      </c>
      <c r="AC229" s="5" t="inlineStr">
        <is>
          <t>Wo können KI und Datenplattformen in Unternehmen, Verwaltung und öffentlicher Infrastruktur konkret Nutzen stiften?</t>
        </is>
      </c>
      <c r="AD229" s="5" t="inlineStr">
        <is>
          <t>KI, Daten und Verwaltungs-/Wirtschaftsanwendungen: Empolis Information Management GmbH (profit_anchor, 5) + Rheinland-Pfälzische Technische Universität Kaiserslautern-Landau (RPTU) (academic_support, 5).</t>
        </is>
      </c>
      <c r="AE229" s="5" t="inlineStr">
        <is>
          <t>Empolis Information Management GmbH | Rheinland-Pfälzische Technische Universität Kaiserslautern-Landau (RPTU)</t>
        </is>
      </c>
      <c r="AF229" s="5" t="inlineStr">
        <is>
          <t>ki-daten-verwaltung-wirtschaft-empolis-information-management-gmbh-rheinland-pfälzische-technis</t>
        </is>
      </c>
    </row>
    <row r="230">
      <c r="A230" s="5" t="inlineStr">
        <is>
          <t>C0229</t>
        </is>
      </c>
      <c r="B230" s="5" t="inlineStr">
        <is>
          <t>x_0229</t>
        </is>
      </c>
      <c r="C230" s="5" t="n">
        <v>0</v>
      </c>
      <c r="D230" s="5" t="inlineStr">
        <is>
          <t>Empolis Information Management GmbH</t>
        </is>
      </c>
      <c r="E230" s="5" t="inlineStr">
        <is>
          <t>robotspaceship</t>
        </is>
      </c>
      <c r="F230" s="5" t="n">
        <v>23</v>
      </c>
      <c r="G230" s="5" t="n">
        <v>75</v>
      </c>
      <c r="H230" s="5" t="inlineStr">
        <is>
          <t>profit_anchor</t>
        </is>
      </c>
      <c r="I230" t="inlineStr">
        <is>
          <t>technology_digital_anchor</t>
        </is>
      </c>
      <c r="J230" s="5" t="inlineStr">
        <is>
          <t>context_actor</t>
        </is>
      </c>
      <c r="K230" t="inlineStr">
        <is>
          <t>technology_digital_anchor</t>
        </is>
      </c>
      <c r="L230" s="5" t="inlineStr">
        <is>
          <t>technologie</t>
        </is>
      </c>
      <c r="M230" s="5" t="inlineStr">
        <is>
          <t>ki_daten_verwaltung_wirtschaft</t>
        </is>
      </c>
      <c r="N230" s="5" t="inlineStr">
        <is>
          <t>KI, Daten und Verwaltungs-/Wirtschaftsanwendungen</t>
        </is>
      </c>
      <c r="O230" s="5" t="n">
        <v>5</v>
      </c>
      <c r="P230" s="5" t="n">
        <v>5</v>
      </c>
      <c r="Q230" s="5" t="n">
        <v>14</v>
      </c>
      <c r="R230" s="5" t="n">
        <v>4</v>
      </c>
      <c r="S230" s="5" t="n">
        <v>0</v>
      </c>
      <c r="T230" s="5" t="n">
        <v>0</v>
      </c>
      <c r="U230" s="5" t="n">
        <v>2</v>
      </c>
      <c r="V230" s="5" t="n">
        <v>6</v>
      </c>
      <c r="W230" s="5" t="n">
        <v>6</v>
      </c>
      <c r="X230" s="5" t="n">
        <v>0</v>
      </c>
      <c r="Y230" s="5" t="n">
        <v>0</v>
      </c>
      <c r="Z230" s="5" t="n">
        <v>0</v>
      </c>
      <c r="AA230" s="5" t="n">
        <v>0</v>
      </c>
      <c r="AB230" s="5" t="n">
        <v>23.561714</v>
      </c>
      <c r="AC230" s="5" t="inlineStr">
        <is>
          <t>Wo können KI und Datenplattformen in Unternehmen, Verwaltung und öffentlicher Infrastruktur konkret Nutzen stiften?</t>
        </is>
      </c>
      <c r="AD230" s="5" t="inlineStr">
        <is>
          <t>KI, Daten und Verwaltungs-/Wirtschaftsanwendungen: Empolis Information Management GmbH (profit_anchor, 5) + robotspaceship (context_actor, 5).</t>
        </is>
      </c>
      <c r="AE230" s="5" t="inlineStr">
        <is>
          <t>Empolis Information Management GmbH | robotspaceship</t>
        </is>
      </c>
      <c r="AF230" s="5" t="inlineStr">
        <is>
          <t>ki-daten-verwaltung-wirtschaft-empolis-information-management-gmbh-robotspaceship</t>
        </is>
      </c>
    </row>
    <row r="231">
      <c r="A231" s="5" t="inlineStr">
        <is>
          <t>C0230</t>
        </is>
      </c>
      <c r="B231" s="5" t="inlineStr">
        <is>
          <t>x_0230</t>
        </is>
      </c>
      <c r="C231" s="5" t="n">
        <v>0</v>
      </c>
      <c r="D231" s="5" t="inlineStr">
        <is>
          <t>Architektenkammer Rheinland-Pfalz</t>
        </is>
      </c>
      <c r="E231" s="5" t="inlineStr">
        <is>
          <t>Hochschule für Gesellschaftsgestaltung (HfGG)</t>
        </is>
      </c>
      <c r="F231" s="5" t="n">
        <v>3</v>
      </c>
      <c r="G231" s="5" t="n">
        <v>34</v>
      </c>
      <c r="H231" s="5" t="inlineStr">
        <is>
          <t>implementation_anchor</t>
        </is>
      </c>
      <c r="I231" t="inlineStr">
        <is>
          <t>construction_planning_anchor</t>
        </is>
      </c>
      <c r="J231" s="5" t="inlineStr">
        <is>
          <t>academic_support</t>
        </is>
      </c>
      <c r="K231" t="inlineStr">
        <is>
          <t>university_applied_sciences</t>
        </is>
      </c>
      <c r="L231" s="5" t="inlineStr">
        <is>
          <t>nachhaltigkeit</t>
        </is>
      </c>
      <c r="M231" s="5" t="inlineStr">
        <is>
          <t>klima_anpassung_stadt_land</t>
        </is>
      </c>
      <c r="N231" s="5" t="inlineStr">
        <is>
          <t>Klimaanpassung in Stadt und Land</t>
        </is>
      </c>
      <c r="O231" s="5" t="n">
        <v>4</v>
      </c>
      <c r="P231" s="5" t="n">
        <v>4</v>
      </c>
      <c r="Q231" s="5" t="n">
        <v>12</v>
      </c>
      <c r="R231" s="5" t="n">
        <v>4</v>
      </c>
      <c r="S231" s="5" t="n">
        <v>0</v>
      </c>
      <c r="T231" s="5" t="n">
        <v>0</v>
      </c>
      <c r="U231" s="5" t="n">
        <v>2</v>
      </c>
      <c r="V231" s="5" t="n">
        <v>7</v>
      </c>
      <c r="W231" s="5" t="n">
        <v>7</v>
      </c>
      <c r="X231" s="5" t="n">
        <v>0</v>
      </c>
      <c r="Y231" s="5" t="n">
        <v>0</v>
      </c>
      <c r="Z231" s="5" t="n">
        <v>0</v>
      </c>
      <c r="AA231" s="5" t="n">
        <v>0</v>
      </c>
      <c r="AB231" s="5" t="n">
        <v>37.752477</v>
      </c>
      <c r="AC231" s="5" t="inlineStr">
        <is>
          <t>Wie reagieren Kommunen, Bauwirtschaft, Landwirtschaft und Infrastruktur auf Hitze, Starkregen und Flächendruck?</t>
        </is>
      </c>
      <c r="AD231" s="5" t="inlineStr">
        <is>
          <t>Klimaanpassung in Stadt und Land: Architektenkammer Rheinland-Pfalz (implementation_anchor, 4) + Hochschule für Gesellschaftsgestaltung (HfGG) (academic_support, 4).</t>
        </is>
      </c>
      <c r="AE231" s="5" t="inlineStr">
        <is>
          <t>Architektenkammer Rheinland-Pfalz | Hochschule für Gesellschaftsgestaltung (HfGG)</t>
        </is>
      </c>
      <c r="AF231" s="5" t="inlineStr">
        <is>
          <t>klima-anpassung-stadt-land-architektenkammer-rheinland-pfalz-hochschule-für-gesellschaftsgestal</t>
        </is>
      </c>
    </row>
    <row r="232">
      <c r="A232" s="5" t="inlineStr">
        <is>
          <t>C0231</t>
        </is>
      </c>
      <c r="B232" s="5" t="inlineStr">
        <is>
          <t>x_0231</t>
        </is>
      </c>
      <c r="C232" s="5" t="n">
        <v>0</v>
      </c>
      <c r="D232" s="5" t="inlineStr">
        <is>
          <t>Architektenkammer Rheinland-Pfalz</t>
        </is>
      </c>
      <c r="E232" s="5" t="inlineStr">
        <is>
          <t>Technische Hochschule Bingen</t>
        </is>
      </c>
      <c r="F232" s="5" t="n">
        <v>3</v>
      </c>
      <c r="G232" s="5" t="n">
        <v>88</v>
      </c>
      <c r="H232" s="5" t="inlineStr">
        <is>
          <t>implementation_anchor</t>
        </is>
      </c>
      <c r="I232" t="inlineStr">
        <is>
          <t>construction_planning_anchor</t>
        </is>
      </c>
      <c r="J232" s="5" t="inlineStr">
        <is>
          <t>academic_support</t>
        </is>
      </c>
      <c r="K232" t="inlineStr">
        <is>
          <t>university_applied_sciences</t>
        </is>
      </c>
      <c r="L232" s="5" t="inlineStr">
        <is>
          <t>nachhaltigkeit</t>
        </is>
      </c>
      <c r="M232" s="5" t="inlineStr">
        <is>
          <t>klima_anpassung_stadt_land</t>
        </is>
      </c>
      <c r="N232" s="5" t="inlineStr">
        <is>
          <t>Klimaanpassung in Stadt und Land</t>
        </is>
      </c>
      <c r="O232" s="5" t="n">
        <v>4</v>
      </c>
      <c r="P232" s="5" t="n">
        <v>4</v>
      </c>
      <c r="Q232" s="5" t="n">
        <v>12</v>
      </c>
      <c r="R232" s="5" t="n">
        <v>4</v>
      </c>
      <c r="S232" s="5" t="n">
        <v>0</v>
      </c>
      <c r="T232" s="5" t="n">
        <v>0</v>
      </c>
      <c r="U232" s="5" t="n">
        <v>2</v>
      </c>
      <c r="V232" s="5" t="n">
        <v>7</v>
      </c>
      <c r="W232" s="5" t="n">
        <v>7</v>
      </c>
      <c r="X232" s="5" t="n">
        <v>0</v>
      </c>
      <c r="Y232" s="5" t="n">
        <v>0</v>
      </c>
      <c r="Z232" s="5" t="n">
        <v>0</v>
      </c>
      <c r="AA232" s="5" t="n">
        <v>0</v>
      </c>
      <c r="AB232" s="5" t="n">
        <v>37.752477</v>
      </c>
      <c r="AC232" s="5" t="inlineStr">
        <is>
          <t>Wie reagieren Kommunen, Bauwirtschaft, Landwirtschaft und Infrastruktur auf Hitze, Starkregen und Flächendruck?</t>
        </is>
      </c>
      <c r="AD232" s="5" t="inlineStr">
        <is>
          <t>Klimaanpassung in Stadt und Land: Architektenkammer Rheinland-Pfalz (implementation_anchor, 4) + Technische Hochschule Bingen (academic_support, 4).</t>
        </is>
      </c>
      <c r="AE232" s="5" t="inlineStr">
        <is>
          <t>Architektenkammer Rheinland-Pfalz | Technische Hochschule Bingen</t>
        </is>
      </c>
      <c r="AF232" s="5" t="inlineStr">
        <is>
          <t>klima-anpassung-stadt-land-architektenkammer-rheinland-pfalz-technische-hochschule-bingen</t>
        </is>
      </c>
    </row>
    <row r="233">
      <c r="A233" s="5" t="inlineStr">
        <is>
          <t>C0232</t>
        </is>
      </c>
      <c r="B233" s="5" t="inlineStr">
        <is>
          <t>x_0232</t>
        </is>
      </c>
      <c r="C233" s="5" t="n">
        <v>0</v>
      </c>
      <c r="D233" s="5" t="inlineStr">
        <is>
          <t>Bauern- und Winzerverband Rheinland-Pfalz Süd e.V.</t>
        </is>
      </c>
      <c r="E233" s="5" t="inlineStr">
        <is>
          <t>Landkreistag Rheinland-Pfalz</t>
        </is>
      </c>
      <c r="F233" s="5" t="n">
        <v>7</v>
      </c>
      <c r="G233" s="5" t="n">
        <v>63</v>
      </c>
      <c r="H233" s="5" t="inlineStr">
        <is>
          <t>implementation_anchor</t>
        </is>
      </c>
      <c r="I233" t="inlineStr">
        <is>
          <t>agriculture_wine_anchor</t>
        </is>
      </c>
      <c r="J233" s="5" t="inlineStr">
        <is>
          <t>context_actor</t>
        </is>
      </c>
      <c r="K233" t="inlineStr">
        <is>
          <t>public_policy_anchor</t>
        </is>
      </c>
      <c r="L233" s="5" t="inlineStr">
        <is>
          <t>nachhaltigkeit</t>
        </is>
      </c>
      <c r="M233" s="5" t="inlineStr">
        <is>
          <t>klima_anpassung_stadt_land</t>
        </is>
      </c>
      <c r="N233" s="5" t="inlineStr">
        <is>
          <t>Klimaanpassung in Stadt und Land</t>
        </is>
      </c>
      <c r="O233" s="5" t="n">
        <v>5</v>
      </c>
      <c r="P233" s="5" t="n">
        <v>5</v>
      </c>
      <c r="Q233" s="5" t="n">
        <v>14</v>
      </c>
      <c r="R233" s="5" t="n">
        <v>4</v>
      </c>
      <c r="S233" s="5" t="n">
        <v>0</v>
      </c>
      <c r="T233" s="5" t="n">
        <v>0</v>
      </c>
      <c r="U233" s="5" t="n">
        <v>2</v>
      </c>
      <c r="V233" s="5" t="n">
        <v>6</v>
      </c>
      <c r="W233" s="5" t="n">
        <v>6</v>
      </c>
      <c r="X233" s="5" t="n">
        <v>0</v>
      </c>
      <c r="Y233" s="5" t="n">
        <v>0</v>
      </c>
      <c r="Z233" s="5" t="n">
        <v>0</v>
      </c>
      <c r="AA233" s="5" t="n">
        <v>0</v>
      </c>
      <c r="AB233" s="5" t="n">
        <v>82.79520599999999</v>
      </c>
      <c r="AC233" s="5" t="inlineStr">
        <is>
          <t>Wie reagieren Kommunen, Bauwirtschaft, Landwirtschaft und Infrastruktur auf Hitze, Starkregen und Flächendruck?</t>
        </is>
      </c>
      <c r="AD233" s="5" t="inlineStr">
        <is>
          <t>Klimaanpassung in Stadt und Land: Bauern- und Winzerverband Rheinland-Pfalz Süd e.V. (implementation_anchor, 5) + Landkreistag Rheinland-Pfalz (context_actor, 5).</t>
        </is>
      </c>
      <c r="AE233" s="5" t="inlineStr">
        <is>
          <t>Bauern- und Winzerverband Rheinland-Pfalz Süd e.V. | Landkreistag Rheinland-Pfalz</t>
        </is>
      </c>
      <c r="AF233" s="5" t="inlineStr">
        <is>
          <t>klima-anpassung-stadt-land-bauern-und-winzerverband-rheinland-pfalz-süd-e-v-landkreistag-rheinl</t>
        </is>
      </c>
    </row>
    <row r="234">
      <c r="A234" s="5" t="inlineStr">
        <is>
          <t>C0233</t>
        </is>
      </c>
      <c r="B234" s="5" t="inlineStr">
        <is>
          <t>x_0233</t>
        </is>
      </c>
      <c r="C234" s="5" t="n">
        <v>0</v>
      </c>
      <c r="D234" s="5" t="inlineStr">
        <is>
          <t>Bauern- und Winzerverband Rheinland-Pfalz Süd e.V.</t>
        </is>
      </c>
      <c r="E234" s="5" t="inlineStr">
        <is>
          <t>Städtetag Rheinland-Pfalz</t>
        </is>
      </c>
      <c r="F234" s="5" t="n">
        <v>7</v>
      </c>
      <c r="G234" s="5" t="n">
        <v>85</v>
      </c>
      <c r="H234" s="5" t="inlineStr">
        <is>
          <t>implementation_anchor</t>
        </is>
      </c>
      <c r="I234" t="inlineStr">
        <is>
          <t>agriculture_wine_anchor</t>
        </is>
      </c>
      <c r="J234" s="5" t="inlineStr">
        <is>
          <t>context_actor</t>
        </is>
      </c>
      <c r="K234" t="inlineStr">
        <is>
          <t>public_policy_anchor</t>
        </is>
      </c>
      <c r="L234" s="5" t="inlineStr">
        <is>
          <t>nachhaltigkeit</t>
        </is>
      </c>
      <c r="M234" s="5" t="inlineStr">
        <is>
          <t>klima_anpassung_stadt_land</t>
        </is>
      </c>
      <c r="N234" s="5" t="inlineStr">
        <is>
          <t>Klimaanpassung in Stadt und Land</t>
        </is>
      </c>
      <c r="O234" s="5" t="n">
        <v>5</v>
      </c>
      <c r="P234" s="5" t="n">
        <v>5</v>
      </c>
      <c r="Q234" s="5" t="n">
        <v>14</v>
      </c>
      <c r="R234" s="5" t="n">
        <v>4</v>
      </c>
      <c r="S234" s="5" t="n">
        <v>0</v>
      </c>
      <c r="T234" s="5" t="n">
        <v>0</v>
      </c>
      <c r="U234" s="5" t="n">
        <v>2</v>
      </c>
      <c r="V234" s="5" t="n">
        <v>6</v>
      </c>
      <c r="W234" s="5" t="n">
        <v>6</v>
      </c>
      <c r="X234" s="5" t="n">
        <v>0</v>
      </c>
      <c r="Y234" s="5" t="n">
        <v>0</v>
      </c>
      <c r="Z234" s="5" t="n">
        <v>0</v>
      </c>
      <c r="AA234" s="5" t="n">
        <v>0</v>
      </c>
      <c r="AB234" s="5" t="n">
        <v>82.79520599999999</v>
      </c>
      <c r="AC234" s="5" t="inlineStr">
        <is>
          <t>Wie reagieren Kommunen, Bauwirtschaft, Landwirtschaft und Infrastruktur auf Hitze, Starkregen und Flächendruck?</t>
        </is>
      </c>
      <c r="AD234" s="5" t="inlineStr">
        <is>
          <t>Klimaanpassung in Stadt und Land: Bauern- und Winzerverband Rheinland-Pfalz Süd e.V. (implementation_anchor, 5) + Städtetag Rheinland-Pfalz (context_actor, 5).</t>
        </is>
      </c>
      <c r="AE234" s="5" t="inlineStr">
        <is>
          <t>Bauern- und Winzerverband Rheinland-Pfalz Süd e.V. | Städtetag Rheinland-Pfalz</t>
        </is>
      </c>
      <c r="AF234" s="5" t="inlineStr">
        <is>
          <t>klima-anpassung-stadt-land-bauern-und-winzerverband-rheinland-pfalz-süd-e-v-städtetag-rheinland</t>
        </is>
      </c>
    </row>
    <row r="235">
      <c r="A235" s="5" t="inlineStr">
        <is>
          <t>C0234</t>
        </is>
      </c>
      <c r="B235" s="5" t="inlineStr">
        <is>
          <t>x_0234</t>
        </is>
      </c>
      <c r="C235" s="5" t="n">
        <v>0</v>
      </c>
      <c r="D235" s="5" t="inlineStr">
        <is>
          <t>Hochschule für Gesellschaftsgestaltung (HfGG)</t>
        </is>
      </c>
      <c r="E235" s="5" t="inlineStr">
        <is>
          <t>Ingenieurkammer Rheinland-Pfalz</t>
        </is>
      </c>
      <c r="F235" s="5" t="n">
        <v>34</v>
      </c>
      <c r="G235" s="5" t="n">
        <v>44</v>
      </c>
      <c r="H235" s="5" t="inlineStr">
        <is>
          <t>academic_support</t>
        </is>
      </c>
      <c r="I235" t="inlineStr">
        <is>
          <t>university_applied_sciences</t>
        </is>
      </c>
      <c r="J235" s="5" t="inlineStr">
        <is>
          <t>implementation_anchor</t>
        </is>
      </c>
      <c r="K235" t="inlineStr">
        <is>
          <t>construction_planning_anchor</t>
        </is>
      </c>
      <c r="L235" s="5" t="inlineStr">
        <is>
          <t>nachhaltigkeit</t>
        </is>
      </c>
      <c r="M235" s="5" t="inlineStr">
        <is>
          <t>klima_anpassung_stadt_land</t>
        </is>
      </c>
      <c r="N235" s="5" t="inlineStr">
        <is>
          <t>Klimaanpassung in Stadt und Land</t>
        </is>
      </c>
      <c r="O235" s="5" t="n">
        <v>4</v>
      </c>
      <c r="P235" s="5" t="n">
        <v>4</v>
      </c>
      <c r="Q235" s="5" t="n">
        <v>12</v>
      </c>
      <c r="R235" s="5" t="n">
        <v>4</v>
      </c>
      <c r="S235" s="5" t="n">
        <v>0</v>
      </c>
      <c r="T235" s="5" t="n">
        <v>0</v>
      </c>
      <c r="U235" s="5" t="n">
        <v>2</v>
      </c>
      <c r="V235" s="5" t="n">
        <v>7</v>
      </c>
      <c r="W235" s="5" t="n">
        <v>7</v>
      </c>
      <c r="X235" s="5" t="n">
        <v>0</v>
      </c>
      <c r="Y235" s="5" t="n">
        <v>0</v>
      </c>
      <c r="Z235" s="5" t="n">
        <v>0</v>
      </c>
      <c r="AA235" s="5" t="n">
        <v>0</v>
      </c>
      <c r="AB235" s="5" t="n">
        <v>37.752477</v>
      </c>
      <c r="AC235" s="5" t="inlineStr">
        <is>
          <t>Wie reagieren Kommunen, Bauwirtschaft, Landwirtschaft und Infrastruktur auf Hitze, Starkregen und Flächendruck?</t>
        </is>
      </c>
      <c r="AD235" s="5" t="inlineStr">
        <is>
          <t>Klimaanpassung in Stadt und Land: Hochschule für Gesellschaftsgestaltung (HfGG) (academic_support, 4) + Ingenieurkammer Rheinland-Pfalz (implementation_anchor, 4).</t>
        </is>
      </c>
      <c r="AE235" s="5" t="inlineStr">
        <is>
          <t>Hochschule für Gesellschaftsgestaltung (HfGG) | Ingenieurkammer Rheinland-Pfalz</t>
        </is>
      </c>
      <c r="AF235" s="5" t="inlineStr">
        <is>
          <t>klima-anpassung-stadt-land-hochschule-für-gesellschaftsgestaltung-hfgg-ingenieurkammer-rheinlan</t>
        </is>
      </c>
    </row>
    <row r="236">
      <c r="A236" s="5" t="inlineStr">
        <is>
          <t>C0235</t>
        </is>
      </c>
      <c r="B236" s="5" t="inlineStr">
        <is>
          <t>x_0235</t>
        </is>
      </c>
      <c r="C236" s="5" t="n">
        <v>0</v>
      </c>
      <c r="D236" s="5" t="inlineStr">
        <is>
          <t>Ingenieurkammer Rheinland-Pfalz</t>
        </is>
      </c>
      <c r="E236" s="5" t="inlineStr">
        <is>
          <t>Technische Hochschule Bingen</t>
        </is>
      </c>
      <c r="F236" s="5" t="n">
        <v>44</v>
      </c>
      <c r="G236" s="5" t="n">
        <v>88</v>
      </c>
      <c r="H236" s="5" t="inlineStr">
        <is>
          <t>implementation_anchor</t>
        </is>
      </c>
      <c r="I236" t="inlineStr">
        <is>
          <t>construction_planning_anchor</t>
        </is>
      </c>
      <c r="J236" s="5" t="inlineStr">
        <is>
          <t>academic_support</t>
        </is>
      </c>
      <c r="K236" t="inlineStr">
        <is>
          <t>university_applied_sciences</t>
        </is>
      </c>
      <c r="L236" s="5" t="inlineStr">
        <is>
          <t>nachhaltigkeit</t>
        </is>
      </c>
      <c r="M236" s="5" t="inlineStr">
        <is>
          <t>klima_anpassung_stadt_land</t>
        </is>
      </c>
      <c r="N236" s="5" t="inlineStr">
        <is>
          <t>Klimaanpassung in Stadt und Land</t>
        </is>
      </c>
      <c r="O236" s="5" t="n">
        <v>4</v>
      </c>
      <c r="P236" s="5" t="n">
        <v>4</v>
      </c>
      <c r="Q236" s="5" t="n">
        <v>12</v>
      </c>
      <c r="R236" s="5" t="n">
        <v>4</v>
      </c>
      <c r="S236" s="5" t="n">
        <v>0</v>
      </c>
      <c r="T236" s="5" t="n">
        <v>0</v>
      </c>
      <c r="U236" s="5" t="n">
        <v>2</v>
      </c>
      <c r="V236" s="5" t="n">
        <v>7</v>
      </c>
      <c r="W236" s="5" t="n">
        <v>7</v>
      </c>
      <c r="X236" s="5" t="n">
        <v>0</v>
      </c>
      <c r="Y236" s="5" t="n">
        <v>0</v>
      </c>
      <c r="Z236" s="5" t="n">
        <v>0</v>
      </c>
      <c r="AA236" s="5" t="n">
        <v>0</v>
      </c>
      <c r="AB236" s="5" t="n">
        <v>37.752477</v>
      </c>
      <c r="AC236" s="5" t="inlineStr">
        <is>
          <t>Wie reagieren Kommunen, Bauwirtschaft, Landwirtschaft und Infrastruktur auf Hitze, Starkregen und Flächendruck?</t>
        </is>
      </c>
      <c r="AD236" s="5" t="inlineStr">
        <is>
          <t>Klimaanpassung in Stadt und Land: Ingenieurkammer Rheinland-Pfalz (implementation_anchor, 4) + Technische Hochschule Bingen (academic_support, 4).</t>
        </is>
      </c>
      <c r="AE236" s="5" t="inlineStr">
        <is>
          <t>Ingenieurkammer Rheinland-Pfalz | Technische Hochschule Bingen</t>
        </is>
      </c>
      <c r="AF236" s="5" t="inlineStr">
        <is>
          <t>klima-anpassung-stadt-land-ingenieurkammer-rheinland-pfalz-technische-hochschule-bingen</t>
        </is>
      </c>
    </row>
    <row r="237">
      <c r="A237" s="5" t="inlineStr">
        <is>
          <t>C0236</t>
        </is>
      </c>
      <c r="B237" s="5" t="inlineStr">
        <is>
          <t>x_0236</t>
        </is>
      </c>
      <c r="C237" s="5" t="n">
        <v>0</v>
      </c>
      <c r="D237" s="5" t="inlineStr">
        <is>
          <t>Entwicklungsagentur Rheinland-Pfalz e.V.</t>
        </is>
      </c>
      <c r="E237" s="5" t="inlineStr">
        <is>
          <t>Erster FC Kaiserslautern GmbH &amp; Co. KGaA</t>
        </is>
      </c>
      <c r="F237" s="5" t="n">
        <v>25</v>
      </c>
      <c r="G237" s="5" t="n">
        <v>27</v>
      </c>
      <c r="H237" s="5" t="inlineStr">
        <is>
          <t>implementation_anchor</t>
        </is>
      </c>
      <c r="I237" t="inlineStr">
        <is>
          <t>public_policy_anchor</t>
        </is>
      </c>
      <c r="J237" s="5" t="inlineStr">
        <is>
          <t>profit_anchor</t>
        </is>
      </c>
      <c r="K237" t="inlineStr">
        <is>
          <t>sports_regional_identity_anchor</t>
        </is>
      </c>
      <c r="L237" s="5" t="inlineStr">
        <is>
          <t>kultur</t>
        </is>
      </c>
      <c r="M237" s="5" t="inlineStr">
        <is>
          <t>kreativwirtschaft_digitale_medien</t>
        </is>
      </c>
      <c r="N237" s="5" t="inlineStr">
        <is>
          <t>Kreativwirtschaft, Medien und digitale Öffentlichkeit</t>
        </is>
      </c>
      <c r="O237" s="5" t="n">
        <v>3</v>
      </c>
      <c r="P237" s="5" t="n">
        <v>3</v>
      </c>
      <c r="Q237" s="5" t="n">
        <v>10</v>
      </c>
      <c r="R237" s="5" t="n">
        <v>4</v>
      </c>
      <c r="S237" s="5" t="n">
        <v>0</v>
      </c>
      <c r="T237" s="5" t="n">
        <v>0</v>
      </c>
      <c r="U237" s="5" t="n">
        <v>2</v>
      </c>
      <c r="V237" s="5" t="n">
        <v>8</v>
      </c>
      <c r="W237" s="5" t="n">
        <v>8</v>
      </c>
      <c r="X237" s="5" t="n">
        <v>0</v>
      </c>
      <c r="Y237" s="5" t="n">
        <v>0</v>
      </c>
      <c r="Z237" s="5" t="n">
        <v>0</v>
      </c>
      <c r="AA237" s="5" t="n">
        <v>0</v>
      </c>
      <c r="AB237" s="5" t="n">
        <v>58.364606</v>
      </c>
      <c r="AC237" s="5" t="inlineStr">
        <is>
          <t>Wie verändern Medien, Plattformen und kreative Arbeit die öffentliche Wahrnehmung von Rheinland-Pfalz?</t>
        </is>
      </c>
      <c r="AD237" s="5" t="inlineStr">
        <is>
          <t>Kreativwirtschaft, Medien und digitale Öffentlichkeit: Entwicklungsagentur Rheinland-Pfalz e.V. (implementation_anchor, 3) + Erster FC Kaiserslautern GmbH &amp; Co. KGaA (profit_anchor, 3).</t>
        </is>
      </c>
      <c r="AE237" s="5" t="inlineStr">
        <is>
          <t>Entwicklungsagentur Rheinland-Pfalz e.V. | Erster FC Kaiserslautern GmbH &amp; Co. KGaA</t>
        </is>
      </c>
      <c r="AF237" s="5" t="inlineStr">
        <is>
          <t>kreativwirtschaft-digitale-medien-entwicklungsagentur-rheinland-pfalz-e-v-erster-fc-kaiserslaut</t>
        </is>
      </c>
    </row>
    <row r="238">
      <c r="A238" s="5" t="inlineStr">
        <is>
          <t>C0237</t>
        </is>
      </c>
      <c r="B238" s="5" t="inlineStr">
        <is>
          <t>x_0237</t>
        </is>
      </c>
      <c r="C238" s="5" t="n">
        <v>0</v>
      </c>
      <c r="D238" s="5" t="inlineStr">
        <is>
          <t>Entwicklungsagentur Rheinland-Pfalz e.V.</t>
        </is>
      </c>
      <c r="E238" s="5" t="inlineStr">
        <is>
          <t>Hochschule Mainz</t>
        </is>
      </c>
      <c r="F238" s="5" t="n">
        <v>25</v>
      </c>
      <c r="G238" s="5" t="n">
        <v>39</v>
      </c>
      <c r="H238" s="5" t="inlineStr">
        <is>
          <t>implementation_anchor</t>
        </is>
      </c>
      <c r="I238" t="inlineStr">
        <is>
          <t>public_policy_anchor</t>
        </is>
      </c>
      <c r="J238" s="5" t="inlineStr">
        <is>
          <t>academic_support</t>
        </is>
      </c>
      <c r="K238" t="inlineStr">
        <is>
          <t>university_applied_sciences</t>
        </is>
      </c>
      <c r="L238" s="5" t="inlineStr">
        <is>
          <t>kultur</t>
        </is>
      </c>
      <c r="M238" s="5" t="inlineStr">
        <is>
          <t>kreativwirtschaft_digitale_medien</t>
        </is>
      </c>
      <c r="N238" s="5" t="inlineStr">
        <is>
          <t>Kreativwirtschaft, Medien und digitale Öffentlichkeit</t>
        </is>
      </c>
      <c r="O238" s="5" t="n">
        <v>3</v>
      </c>
      <c r="P238" s="5" t="n">
        <v>5</v>
      </c>
      <c r="Q238" s="5" t="n">
        <v>12</v>
      </c>
      <c r="R238" s="5" t="n">
        <v>4</v>
      </c>
      <c r="S238" s="5" t="n">
        <v>0</v>
      </c>
      <c r="T238" s="5" t="n">
        <v>0</v>
      </c>
      <c r="U238" s="5" t="n">
        <v>2</v>
      </c>
      <c r="V238" s="5" t="n">
        <v>7</v>
      </c>
      <c r="W238" s="5" t="n">
        <v>7</v>
      </c>
      <c r="X238" s="5" t="n">
        <v>0</v>
      </c>
      <c r="Y238" s="5" t="n">
        <v>0</v>
      </c>
      <c r="Z238" s="5" t="n">
        <v>0</v>
      </c>
      <c r="AA238" s="5" t="n">
        <v>0</v>
      </c>
      <c r="AB238" s="5" t="n">
        <v>41.234666</v>
      </c>
      <c r="AC238" s="5" t="inlineStr">
        <is>
          <t>Wie verändern Medien, Plattformen und kreative Arbeit die öffentliche Wahrnehmung von Rheinland-Pfalz?</t>
        </is>
      </c>
      <c r="AD238" s="5" t="inlineStr">
        <is>
          <t>Kreativwirtschaft, Medien und digitale Öffentlichkeit: Entwicklungsagentur Rheinland-Pfalz e.V. (implementation_anchor, 3) + Hochschule Mainz (academic_support, 5).</t>
        </is>
      </c>
      <c r="AE238" s="5" t="inlineStr">
        <is>
          <t>Entwicklungsagentur Rheinland-Pfalz e.V. | Hochschule Mainz</t>
        </is>
      </c>
      <c r="AF238" s="5" t="inlineStr">
        <is>
          <t>kreativwirtschaft-digitale-medien-entwicklungsagentur-rheinland-pfalz-e-v-hochschule-mainz</t>
        </is>
      </c>
    </row>
    <row r="239">
      <c r="A239" s="5" t="inlineStr">
        <is>
          <t>C0238</t>
        </is>
      </c>
      <c r="B239" s="5" t="inlineStr">
        <is>
          <t>x_0238</t>
        </is>
      </c>
      <c r="C239" s="5" t="n">
        <v>0</v>
      </c>
      <c r="D239" s="5" t="inlineStr">
        <is>
          <t>Bauwirtschaft Rheinland-Pfalz e.V.</t>
        </is>
      </c>
      <c r="E239" s="5" t="inlineStr">
        <is>
          <t>vero – Verband der Bau- und Rohstoffindustrie</t>
        </is>
      </c>
      <c r="F239" s="5" t="n">
        <v>8</v>
      </c>
      <c r="G239" s="5" t="n">
        <v>95</v>
      </c>
      <c r="H239" s="5" t="inlineStr">
        <is>
          <t>context_actor</t>
        </is>
      </c>
      <c r="I239" t="inlineStr">
        <is>
          <t>construction_planning_anchor</t>
        </is>
      </c>
      <c r="J239" s="5" t="inlineStr">
        <is>
          <t>profit_anchor</t>
        </is>
      </c>
      <c r="K239" t="inlineStr">
        <is>
          <t>construction_planning_anchor</t>
        </is>
      </c>
      <c r="L239" s="5" t="inlineStr">
        <is>
          <t>nachhaltigkeit</t>
        </is>
      </c>
      <c r="M239" s="5" t="inlineStr">
        <is>
          <t>kreislaufwirtschaft_bau_ebv</t>
        </is>
      </c>
      <c r="N239" s="5" t="inlineStr">
        <is>
          <t>Kreislaufwirtschaft, Bau und Ersatzbaustoffverordnung</t>
        </is>
      </c>
      <c r="O239" s="5" t="n">
        <v>5</v>
      </c>
      <c r="P239" s="5" t="n">
        <v>5</v>
      </c>
      <c r="Q239" s="5" t="n">
        <v>14</v>
      </c>
      <c r="R239" s="5" t="n">
        <v>4</v>
      </c>
      <c r="S239" s="5" t="n">
        <v>0</v>
      </c>
      <c r="T239" s="5" t="n">
        <v>0</v>
      </c>
      <c r="U239" s="5" t="n">
        <v>2</v>
      </c>
      <c r="V239" s="5" t="n">
        <v>6</v>
      </c>
      <c r="W239" s="5" t="n">
        <v>6</v>
      </c>
      <c r="X239" s="5" t="n">
        <v>0</v>
      </c>
      <c r="Y239" s="5" t="n">
        <v>0</v>
      </c>
      <c r="Z239" s="5" t="n">
        <v>0</v>
      </c>
      <c r="AA239" s="5" t="n">
        <v>0</v>
      </c>
      <c r="AB239" s="5" t="n">
        <v>24.990972</v>
      </c>
      <c r="AC239" s="5" t="inlineStr">
        <is>
          <t>Wie können Bauwirtschaft, Rohstoffindustrie, Kommunen und Verwaltung Kreislaufwirtschaft praktisch und rechtssicher umsetzen?</t>
        </is>
      </c>
      <c r="AD239" s="5" t="inlineStr">
        <is>
          <t>Kreislaufwirtschaft, Bau und Ersatzbaustoffverordnung: Bauwirtschaft Rheinland-Pfalz e.V. (context_actor, 5) + vero – Verband der Bau- und Rohstoffindustrie (profit_anchor, 5).</t>
        </is>
      </c>
      <c r="AE239" s="5" t="inlineStr">
        <is>
          <t>Bauwirtschaft Rheinland-Pfalz e.V. | vero – Verband der Bau- und Rohstoffindustrie</t>
        </is>
      </c>
      <c r="AF239" s="5" t="inlineStr">
        <is>
          <t>kreislaufwirtschaft-bau-ebv-bauwirtschaft-rheinland-pfalz-e-v-vero-verband-der-bau-und-rohstoff</t>
        </is>
      </c>
    </row>
    <row r="240">
      <c r="A240" s="5" t="inlineStr">
        <is>
          <t>C0239</t>
        </is>
      </c>
      <c r="B240" s="5" t="inlineStr">
        <is>
          <t>x_0239</t>
        </is>
      </c>
      <c r="C240" s="5" t="n">
        <v>0</v>
      </c>
      <c r="D240" s="5" t="inlineStr">
        <is>
          <t>Landkreistag Rheinland-Pfalz</t>
        </is>
      </c>
      <c r="E240" s="5" t="inlineStr">
        <is>
          <t>vero – Verband der Bau- und Rohstoffindustrie</t>
        </is>
      </c>
      <c r="F240" s="5" t="n">
        <v>63</v>
      </c>
      <c r="G240" s="5" t="n">
        <v>95</v>
      </c>
      <c r="H240" s="5" t="inlineStr">
        <is>
          <t>context_actor</t>
        </is>
      </c>
      <c r="I240" t="inlineStr">
        <is>
          <t>public_policy_anchor</t>
        </is>
      </c>
      <c r="J240" s="5" t="inlineStr">
        <is>
          <t>profit_anchor</t>
        </is>
      </c>
      <c r="K240" t="inlineStr">
        <is>
          <t>construction_planning_anchor</t>
        </is>
      </c>
      <c r="L240" s="5" t="inlineStr">
        <is>
          <t>nachhaltigkeit</t>
        </is>
      </c>
      <c r="M240" s="5" t="inlineStr">
        <is>
          <t>kreislaufwirtschaft_bau_ebv</t>
        </is>
      </c>
      <c r="N240" s="5" t="inlineStr">
        <is>
          <t>Kreislaufwirtschaft, Bau und Ersatzbaustoffverordnung</t>
        </is>
      </c>
      <c r="O240" s="5" t="n">
        <v>5</v>
      </c>
      <c r="P240" s="5" t="n">
        <v>5</v>
      </c>
      <c r="Q240" s="5" t="n">
        <v>14</v>
      </c>
      <c r="R240" s="5" t="n">
        <v>4</v>
      </c>
      <c r="S240" s="5" t="n">
        <v>0</v>
      </c>
      <c r="T240" s="5" t="n">
        <v>0</v>
      </c>
      <c r="U240" s="5" t="n">
        <v>2</v>
      </c>
      <c r="V240" s="5" t="n">
        <v>6</v>
      </c>
      <c r="W240" s="5" t="n">
        <v>6</v>
      </c>
      <c r="X240" s="5" t="n">
        <v>0</v>
      </c>
      <c r="Y240" s="5" t="n">
        <v>0</v>
      </c>
      <c r="Z240" s="5" t="n">
        <v>0</v>
      </c>
      <c r="AA240" s="5" t="n">
        <v>0</v>
      </c>
      <c r="AB240" s="5" t="n">
        <v>26.993335</v>
      </c>
      <c r="AC240" s="5" t="inlineStr">
        <is>
          <t>Wie können Bauwirtschaft, Rohstoffindustrie, Kommunen und Verwaltung Kreislaufwirtschaft praktisch und rechtssicher umsetzen?</t>
        </is>
      </c>
      <c r="AD240" s="5" t="inlineStr">
        <is>
          <t>Kreislaufwirtschaft, Bau und Ersatzbaustoffverordnung: Landkreistag Rheinland-Pfalz (context_actor, 5) + vero – Verband der Bau- und Rohstoffindustrie (profit_anchor, 5).</t>
        </is>
      </c>
      <c r="AE240" s="5" t="inlineStr">
        <is>
          <t>Landkreistag Rheinland-Pfalz | vero – Verband der Bau- und Rohstoffindustrie</t>
        </is>
      </c>
      <c r="AF240" s="5" t="inlineStr">
        <is>
          <t>kreislaufwirtschaft-bau-ebv-landkreistag-rheinland-pfalz-vero-verband-der-bau-und-rohstoffindus</t>
        </is>
      </c>
    </row>
    <row r="241">
      <c r="A241" s="5" t="inlineStr">
        <is>
          <t>C0240</t>
        </is>
      </c>
      <c r="B241" s="5" t="inlineStr">
        <is>
          <t>x_0240</t>
        </is>
      </c>
      <c r="C241" s="5" t="n">
        <v>0</v>
      </c>
      <c r="D241" s="5" t="inlineStr">
        <is>
          <t>Städtetag Rheinland-Pfalz</t>
        </is>
      </c>
      <c r="E241" s="5" t="inlineStr">
        <is>
          <t>vero – Verband der Bau- und Rohstoffindustrie</t>
        </is>
      </c>
      <c r="F241" s="5" t="n">
        <v>85</v>
      </c>
      <c r="G241" s="5" t="n">
        <v>95</v>
      </c>
      <c r="H241" s="5" t="inlineStr">
        <is>
          <t>context_actor</t>
        </is>
      </c>
      <c r="I241" t="inlineStr">
        <is>
          <t>public_policy_anchor</t>
        </is>
      </c>
      <c r="J241" s="5" t="inlineStr">
        <is>
          <t>profit_anchor</t>
        </is>
      </c>
      <c r="K241" t="inlineStr">
        <is>
          <t>construction_planning_anchor</t>
        </is>
      </c>
      <c r="L241" s="5" t="inlineStr">
        <is>
          <t>nachhaltigkeit</t>
        </is>
      </c>
      <c r="M241" s="5" t="inlineStr">
        <is>
          <t>kreislaufwirtschaft_bau_ebv</t>
        </is>
      </c>
      <c r="N241" s="5" t="inlineStr">
        <is>
          <t>Kreislaufwirtschaft, Bau und Ersatzbaustoffverordnung</t>
        </is>
      </c>
      <c r="O241" s="5" t="n">
        <v>5</v>
      </c>
      <c r="P241" s="5" t="n">
        <v>5</v>
      </c>
      <c r="Q241" s="5" t="n">
        <v>14</v>
      </c>
      <c r="R241" s="5" t="n">
        <v>4</v>
      </c>
      <c r="S241" s="5" t="n">
        <v>0</v>
      </c>
      <c r="T241" s="5" t="n">
        <v>0</v>
      </c>
      <c r="U241" s="5" t="n">
        <v>2</v>
      </c>
      <c r="V241" s="5" t="n">
        <v>6</v>
      </c>
      <c r="W241" s="5" t="n">
        <v>6</v>
      </c>
      <c r="X241" s="5" t="n">
        <v>0</v>
      </c>
      <c r="Y241" s="5" t="n">
        <v>0</v>
      </c>
      <c r="Z241" s="5" t="n">
        <v>0</v>
      </c>
      <c r="AA241" s="5" t="n">
        <v>0</v>
      </c>
      <c r="AB241" s="5" t="n">
        <v>26.993335</v>
      </c>
      <c r="AC241" s="5" t="inlineStr">
        <is>
          <t>Wie können Bauwirtschaft, Rohstoffindustrie, Kommunen und Verwaltung Kreislaufwirtschaft praktisch und rechtssicher umsetzen?</t>
        </is>
      </c>
      <c r="AD241" s="5" t="inlineStr">
        <is>
          <t>Kreislaufwirtschaft, Bau und Ersatzbaustoffverordnung: Städtetag Rheinland-Pfalz (context_actor, 5) + vero – Verband der Bau- und Rohstoffindustrie (profit_anchor, 5).</t>
        </is>
      </c>
      <c r="AE241" s="5" t="inlineStr">
        <is>
          <t>Städtetag Rheinland-Pfalz | vero – Verband der Bau- und Rohstoffindustrie</t>
        </is>
      </c>
      <c r="AF241" s="5" t="inlineStr">
        <is>
          <t>kreislaufwirtschaft-bau-ebv-städtetag-rheinland-pfalz-vero-verband-der-bau-und-rohstoffindustri</t>
        </is>
      </c>
    </row>
    <row r="242">
      <c r="A242" s="5" t="inlineStr">
        <is>
          <t>C0241</t>
        </is>
      </c>
      <c r="B242" s="5" t="inlineStr">
        <is>
          <t>x_0241</t>
        </is>
      </c>
      <c r="C242" s="5" t="n">
        <v>0</v>
      </c>
      <c r="D242" s="5" t="inlineStr">
        <is>
          <t>Entwicklungsagentur Rheinland-Pfalz e.V.</t>
        </is>
      </c>
      <c r="E242" s="5" t="inlineStr">
        <is>
          <t>SWR – Südwestrundfunk</t>
        </is>
      </c>
      <c r="F242" s="5" t="n">
        <v>25</v>
      </c>
      <c r="G242" s="5" t="n">
        <v>86</v>
      </c>
      <c r="H242" s="5" t="inlineStr">
        <is>
          <t>implementation_anchor</t>
        </is>
      </c>
      <c r="I242" t="inlineStr">
        <is>
          <t>public_policy_anchor</t>
        </is>
      </c>
      <c r="J242" s="5" t="inlineStr">
        <is>
          <t>context_actor</t>
        </is>
      </c>
      <c r="K242" t="inlineStr">
        <is>
          <t>media_publicity_anchor</t>
        </is>
      </c>
      <c r="L242" s="5" t="inlineStr">
        <is>
          <t>kultur</t>
        </is>
      </c>
      <c r="M242" s="5" t="inlineStr">
        <is>
          <t>kultur_standort_identitaet</t>
        </is>
      </c>
      <c r="N242" s="5" t="inlineStr">
        <is>
          <t>Kultur, Standortidentität und regionale Attraktivität</t>
        </is>
      </c>
      <c r="O242" s="5" t="n">
        <v>5</v>
      </c>
      <c r="P242" s="5" t="n">
        <v>5</v>
      </c>
      <c r="Q242" s="5" t="n">
        <v>14</v>
      </c>
      <c r="R242" s="5" t="n">
        <v>4</v>
      </c>
      <c r="S242" s="5" t="n">
        <v>0</v>
      </c>
      <c r="T242" s="5" t="n">
        <v>0</v>
      </c>
      <c r="U242" s="5" t="n">
        <v>2</v>
      </c>
      <c r="V242" s="5" t="n">
        <v>6</v>
      </c>
      <c r="W242" s="5" t="n">
        <v>6</v>
      </c>
      <c r="X242" s="5" t="n">
        <v>0</v>
      </c>
      <c r="Y242" s="5" t="n">
        <v>0</v>
      </c>
      <c r="Z242" s="5" t="n">
        <v>0</v>
      </c>
      <c r="AA242" s="5" t="n">
        <v>0</v>
      </c>
      <c r="AB242" s="5" t="n">
        <v>54.202186</v>
      </c>
      <c r="AC242" s="5" t="inlineStr">
        <is>
          <t>Wie stärkt Kultur die Attraktivität von Städten, Regionen und Arbeitgeberstandorten?</t>
        </is>
      </c>
      <c r="AD242" s="5" t="inlineStr">
        <is>
          <t>Kultur, Standortidentität und regionale Attraktivität: Entwicklungsagentur Rheinland-Pfalz e.V. (implementation_anchor, 5) + SWR – Südwestrundfunk (context_actor, 5).</t>
        </is>
      </c>
      <c r="AE242" s="5" t="inlineStr">
        <is>
          <t>Entwicklungsagentur Rheinland-Pfalz e.V. | SWR – Südwestrundfunk</t>
        </is>
      </c>
      <c r="AF242" s="5" t="inlineStr">
        <is>
          <t>kultur-standort-identitaet-entwicklungsagentur-rheinland-pfalz-e-v-swr-südwestrundfunk</t>
        </is>
      </c>
    </row>
    <row r="243">
      <c r="A243" s="5" t="inlineStr">
        <is>
          <t>C0242</t>
        </is>
      </c>
      <c r="B243" s="5" t="inlineStr">
        <is>
          <t>x_0242</t>
        </is>
      </c>
      <c r="C243" s="5" t="n">
        <v>0</v>
      </c>
      <c r="D243" s="5" t="inlineStr">
        <is>
          <t>Entwicklungsagentur Rheinland-Pfalz e.V.</t>
        </is>
      </c>
      <c r="E243" s="5" t="inlineStr">
        <is>
          <t>Städtetag Rheinland-Pfalz</t>
        </is>
      </c>
      <c r="F243" s="5" t="n">
        <v>25</v>
      </c>
      <c r="G243" s="5" t="n">
        <v>85</v>
      </c>
      <c r="H243" s="5" t="inlineStr">
        <is>
          <t>implementation_anchor</t>
        </is>
      </c>
      <c r="I243" t="inlineStr">
        <is>
          <t>public_policy_anchor</t>
        </is>
      </c>
      <c r="J243" s="5" t="inlineStr">
        <is>
          <t>context_actor</t>
        </is>
      </c>
      <c r="K243" t="inlineStr">
        <is>
          <t>public_policy_anchor</t>
        </is>
      </c>
      <c r="L243" s="5" t="inlineStr">
        <is>
          <t>kultur</t>
        </is>
      </c>
      <c r="M243" s="5" t="inlineStr">
        <is>
          <t>kultur_standort_identitaet</t>
        </is>
      </c>
      <c r="N243" s="5" t="inlineStr">
        <is>
          <t>Kultur, Standortidentität und regionale Attraktivität</t>
        </is>
      </c>
      <c r="O243" s="5" t="n">
        <v>5</v>
      </c>
      <c r="P243" s="5" t="n">
        <v>5</v>
      </c>
      <c r="Q243" s="5" t="n">
        <v>14</v>
      </c>
      <c r="R243" s="5" t="n">
        <v>4</v>
      </c>
      <c r="S243" s="5" t="n">
        <v>0</v>
      </c>
      <c r="T243" s="5" t="n">
        <v>0</v>
      </c>
      <c r="U243" s="5" t="n">
        <v>2</v>
      </c>
      <c r="V243" s="5" t="n">
        <v>6</v>
      </c>
      <c r="W243" s="5" t="n">
        <v>6</v>
      </c>
      <c r="X243" s="5" t="n">
        <v>0</v>
      </c>
      <c r="Y243" s="5" t="n">
        <v>0</v>
      </c>
      <c r="Z243" s="5" t="n">
        <v>0</v>
      </c>
      <c r="AA243" s="5" t="n">
        <v>0</v>
      </c>
      <c r="AB243" s="5" t="n">
        <v>44.255899</v>
      </c>
      <c r="AC243" s="5" t="inlineStr">
        <is>
          <t>Wie stärkt Kultur die Attraktivität von Städten, Regionen und Arbeitgeberstandorten?</t>
        </is>
      </c>
      <c r="AD243" s="5" t="inlineStr">
        <is>
          <t>Kultur, Standortidentität und regionale Attraktivität: Entwicklungsagentur Rheinland-Pfalz e.V. (implementation_anchor, 5) + Städtetag Rheinland-Pfalz (context_actor, 5).</t>
        </is>
      </c>
      <c r="AE243" s="5" t="inlineStr">
        <is>
          <t>Entwicklungsagentur Rheinland-Pfalz e.V. | Städtetag Rheinland-Pfalz</t>
        </is>
      </c>
      <c r="AF243" s="5" t="inlineStr">
        <is>
          <t>kultur-standort-identitaet-entwicklungsagentur-rheinland-pfalz-e-v-städtetag-rheinland-pfalz</t>
        </is>
      </c>
    </row>
    <row r="244">
      <c r="A244" s="5" t="inlineStr">
        <is>
          <t>C0243</t>
        </is>
      </c>
      <c r="B244" s="5" t="inlineStr">
        <is>
          <t>x_0243</t>
        </is>
      </c>
      <c r="C244" s="5" t="n">
        <v>0</v>
      </c>
      <c r="D244" s="5" t="inlineStr">
        <is>
          <t>Entwicklungsagentur Rheinland-Pfalz e.V.</t>
        </is>
      </c>
      <c r="E244" s="5" t="inlineStr">
        <is>
          <t>Villa Musica Rheinland-Pfalz</t>
        </is>
      </c>
      <c r="F244" s="5" t="n">
        <v>25</v>
      </c>
      <c r="G244" s="5" t="n">
        <v>96</v>
      </c>
      <c r="H244" s="5" t="inlineStr">
        <is>
          <t>implementation_anchor</t>
        </is>
      </c>
      <c r="I244" t="inlineStr">
        <is>
          <t>public_policy_anchor</t>
        </is>
      </c>
      <c r="J244" s="5" t="inlineStr">
        <is>
          <t>context_actor</t>
        </is>
      </c>
      <c r="K244" t="inlineStr">
        <is>
          <t>culture_foundation_anchor</t>
        </is>
      </c>
      <c r="L244" s="5" t="inlineStr">
        <is>
          <t>kultur</t>
        </is>
      </c>
      <c r="M244" s="5" t="inlineStr">
        <is>
          <t>kultur_standort_identitaet</t>
        </is>
      </c>
      <c r="N244" s="5" t="inlineStr">
        <is>
          <t>Kultur, Standortidentität und regionale Attraktivität</t>
        </is>
      </c>
      <c r="O244" s="5" t="n">
        <v>5</v>
      </c>
      <c r="P244" s="5" t="n">
        <v>5</v>
      </c>
      <c r="Q244" s="5" t="n">
        <v>14</v>
      </c>
      <c r="R244" s="5" t="n">
        <v>4</v>
      </c>
      <c r="S244" s="5" t="n">
        <v>0</v>
      </c>
      <c r="T244" s="5" t="n">
        <v>0</v>
      </c>
      <c r="U244" s="5" t="n">
        <v>2</v>
      </c>
      <c r="V244" s="5" t="n">
        <v>6</v>
      </c>
      <c r="W244" s="5" t="n">
        <v>6</v>
      </c>
      <c r="X244" s="5" t="n">
        <v>0</v>
      </c>
      <c r="Y244" s="5" t="n">
        <v>0</v>
      </c>
      <c r="Z244" s="5" t="n">
        <v>0</v>
      </c>
      <c r="AA244" s="5" t="n">
        <v>0</v>
      </c>
      <c r="AB244" s="5" t="n">
        <v>54.202186</v>
      </c>
      <c r="AC244" s="5" t="inlineStr">
        <is>
          <t>Wie stärkt Kultur die Attraktivität von Städten, Regionen und Arbeitgeberstandorten?</t>
        </is>
      </c>
      <c r="AD244" s="5" t="inlineStr">
        <is>
          <t>Kultur, Standortidentität und regionale Attraktivität: Entwicklungsagentur Rheinland-Pfalz e.V. (implementation_anchor, 5) + Villa Musica Rheinland-Pfalz (context_actor, 5).</t>
        </is>
      </c>
      <c r="AE244" s="5" t="inlineStr">
        <is>
          <t>Entwicklungsagentur Rheinland-Pfalz e.V. | Villa Musica Rheinland-Pfalz</t>
        </is>
      </c>
      <c r="AF244" s="5" t="inlineStr">
        <is>
          <t>kultur-standort-identitaet-entwicklungsagentur-rheinland-pfalz-e-v-villa-musica-rheinland-pfalz</t>
        </is>
      </c>
    </row>
    <row r="245">
      <c r="A245" s="5" t="inlineStr">
        <is>
          <t>C0244</t>
        </is>
      </c>
      <c r="B245" s="5" t="inlineStr">
        <is>
          <t>x_0244</t>
        </is>
      </c>
      <c r="C245" s="5" t="n">
        <v>0</v>
      </c>
      <c r="D245" s="5" t="inlineStr">
        <is>
          <t>Entwicklungsagentur Rheinland-Pfalz e.V.</t>
        </is>
      </c>
      <c r="E245" s="5" t="inlineStr">
        <is>
          <t>ZDF – Zweites Deutsches Fernsehen</t>
        </is>
      </c>
      <c r="F245" s="5" t="n">
        <v>25</v>
      </c>
      <c r="G245" s="5" t="n">
        <v>102</v>
      </c>
      <c r="H245" s="5" t="inlineStr">
        <is>
          <t>implementation_anchor</t>
        </is>
      </c>
      <c r="I245" t="inlineStr">
        <is>
          <t>public_policy_anchor</t>
        </is>
      </c>
      <c r="J245" s="5" t="inlineStr">
        <is>
          <t>context_actor</t>
        </is>
      </c>
      <c r="K245" t="inlineStr">
        <is>
          <t>media_publicity_anchor</t>
        </is>
      </c>
      <c r="L245" s="5" t="inlineStr">
        <is>
          <t>kultur</t>
        </is>
      </c>
      <c r="M245" s="5" t="inlineStr">
        <is>
          <t>kultur_standort_identitaet</t>
        </is>
      </c>
      <c r="N245" s="5" t="inlineStr">
        <is>
          <t>Kultur, Standortidentität und regionale Attraktivität</t>
        </is>
      </c>
      <c r="O245" s="5" t="n">
        <v>5</v>
      </c>
      <c r="P245" s="5" t="n">
        <v>5</v>
      </c>
      <c r="Q245" s="5" t="n">
        <v>14</v>
      </c>
      <c r="R245" s="5" t="n">
        <v>4</v>
      </c>
      <c r="S245" s="5" t="n">
        <v>0</v>
      </c>
      <c r="T245" s="5" t="n">
        <v>0</v>
      </c>
      <c r="U245" s="5" t="n">
        <v>2</v>
      </c>
      <c r="V245" s="5" t="n">
        <v>6</v>
      </c>
      <c r="W245" s="5" t="n">
        <v>6</v>
      </c>
      <c r="X245" s="5" t="n">
        <v>0</v>
      </c>
      <c r="Y245" s="5" t="n">
        <v>0</v>
      </c>
      <c r="Z245" s="5" t="n">
        <v>0</v>
      </c>
      <c r="AA245" s="5" t="n">
        <v>0</v>
      </c>
      <c r="AB245" s="5" t="n">
        <v>54.202186</v>
      </c>
      <c r="AC245" s="5" t="inlineStr">
        <is>
          <t>Wie stärkt Kultur die Attraktivität von Städten, Regionen und Arbeitgeberstandorten?</t>
        </is>
      </c>
      <c r="AD245" s="5" t="inlineStr">
        <is>
          <t>Kultur, Standortidentität und regionale Attraktivität: Entwicklungsagentur Rheinland-Pfalz e.V. (implementation_anchor, 5) + ZDF – Zweites Deutsches Fernsehen (context_actor, 5).</t>
        </is>
      </c>
      <c r="AE245" s="5" t="inlineStr">
        <is>
          <t>Entwicklungsagentur Rheinland-Pfalz e.V. | ZDF – Zweites Deutsches Fernsehen</t>
        </is>
      </c>
      <c r="AF245" s="5" t="inlineStr">
        <is>
          <t>kultur-standort-identitaet-entwicklungsagentur-rheinland-pfalz-e-v-zdf-zweites-deutsches-fernse</t>
        </is>
      </c>
    </row>
    <row r="246">
      <c r="A246" s="5" t="inlineStr">
        <is>
          <t>C0245</t>
        </is>
      </c>
      <c r="B246" s="5" t="inlineStr">
        <is>
          <t>x_0245</t>
        </is>
      </c>
      <c r="C246" s="5" t="n">
        <v>0</v>
      </c>
      <c r="D246" s="5" t="inlineStr">
        <is>
          <t>BRICKMAKERS AG</t>
        </is>
      </c>
      <c r="E246" s="5" t="inlineStr">
        <is>
          <t>Rheinland-Pfälzische Technische Universität Kaiserslautern-Landau (RPTU)</t>
        </is>
      </c>
      <c r="F246" s="5" t="n">
        <v>12</v>
      </c>
      <c r="G246" s="5" t="n">
        <v>74</v>
      </c>
      <c r="H246" s="5" t="inlineStr">
        <is>
          <t>profit_anchor</t>
        </is>
      </c>
      <c r="I246" t="inlineStr">
        <is>
          <t>technology_digital_anchor</t>
        </is>
      </c>
      <c r="J246" s="5" t="inlineStr">
        <is>
          <t>academic_support</t>
        </is>
      </c>
      <c r="K246" t="inlineStr">
        <is>
          <t>university_research</t>
        </is>
      </c>
      <c r="L246" s="5" t="inlineStr">
        <is>
          <t>wirtschaft</t>
        </is>
      </c>
      <c r="M246" s="5" t="inlineStr">
        <is>
          <t>mittelstand_digitalisierung_produktivitaet</t>
        </is>
      </c>
      <c r="N246" s="5" t="inlineStr">
        <is>
          <t>Mittelstand, Digitalisierung und Produktivität</t>
        </is>
      </c>
      <c r="O246" s="5" t="n">
        <v>5</v>
      </c>
      <c r="P246" s="5" t="n">
        <v>5</v>
      </c>
      <c r="Q246" s="5" t="n">
        <v>14</v>
      </c>
      <c r="R246" s="5" t="n">
        <v>4</v>
      </c>
      <c r="S246" s="5" t="n">
        <v>0</v>
      </c>
      <c r="T246" s="5" t="n">
        <v>0</v>
      </c>
      <c r="U246" s="5" t="n">
        <v>2</v>
      </c>
      <c r="V246" s="5" t="n">
        <v>6</v>
      </c>
      <c r="W246" s="5" t="n">
        <v>6</v>
      </c>
      <c r="X246" s="5" t="n">
        <v>0</v>
      </c>
      <c r="Y246" s="5" t="n">
        <v>0</v>
      </c>
      <c r="Z246" s="5" t="n">
        <v>0</v>
      </c>
      <c r="AA246" s="5" t="n">
        <v>0</v>
      </c>
      <c r="AB246" s="5" t="n">
        <v>28.612779</v>
      </c>
      <c r="AC246" s="5" t="inlineStr">
        <is>
          <t>Wie können mittelständische Unternehmen digitale Werkzeuge praktisch einsetzen, ohne dass daraus nur Pilotprojekte entstehen?</t>
        </is>
      </c>
      <c r="AD246" s="5" t="inlineStr">
        <is>
          <t>Mittelstand, Digitalisierung und Produktivität: BRICKMAKERS AG (profit_anchor, 5) + Rheinland-Pfälzische Technische Universität Kaiserslautern-Landau (RPTU) (academic_support, 5).</t>
        </is>
      </c>
      <c r="AE246" s="5" t="inlineStr">
        <is>
          <t>BRICKMAKERS AG | Rheinland-Pfälzische Technische Universität Kaiserslautern-Landau (RPTU)</t>
        </is>
      </c>
      <c r="AF246" s="5" t="inlineStr">
        <is>
          <t>mittelstand-digitalisierung-produktivitaet-brickmakers-ag-rheinland-pfälzische-technische-unive</t>
        </is>
      </c>
    </row>
    <row r="247">
      <c r="A247" s="5" t="inlineStr">
        <is>
          <t>C0246</t>
        </is>
      </c>
      <c r="B247" s="5" t="inlineStr">
        <is>
          <t>x_0246</t>
        </is>
      </c>
      <c r="C247" s="5" t="n">
        <v>0</v>
      </c>
      <c r="D247" s="5" t="inlineStr">
        <is>
          <t>BRICKMAKERS AG</t>
        </is>
      </c>
      <c r="E247" s="5" t="inlineStr">
        <is>
          <t>SmartFactory KL e.V.</t>
        </is>
      </c>
      <c r="F247" s="5" t="n">
        <v>12</v>
      </c>
      <c r="G247" s="5" t="n">
        <v>81</v>
      </c>
      <c r="H247" s="5" t="inlineStr">
        <is>
          <t>profit_anchor</t>
        </is>
      </c>
      <c r="I247" t="inlineStr">
        <is>
          <t>technology_digital_anchor</t>
        </is>
      </c>
      <c r="J247" s="5" t="inlineStr">
        <is>
          <t>context_actor</t>
        </is>
      </c>
      <c r="K247" t="inlineStr">
        <is>
          <t>technology_digital_anchor</t>
        </is>
      </c>
      <c r="L247" s="5" t="inlineStr">
        <is>
          <t>wirtschaft</t>
        </is>
      </c>
      <c r="M247" s="5" t="inlineStr">
        <is>
          <t>mittelstand_digitalisierung_produktivitaet</t>
        </is>
      </c>
      <c r="N247" s="5" t="inlineStr">
        <is>
          <t>Mittelstand, Digitalisierung und Produktivität</t>
        </is>
      </c>
      <c r="O247" s="5" t="n">
        <v>5</v>
      </c>
      <c r="P247" s="5" t="n">
        <v>5</v>
      </c>
      <c r="Q247" s="5" t="n">
        <v>14</v>
      </c>
      <c r="R247" s="5" t="n">
        <v>4</v>
      </c>
      <c r="S247" s="5" t="n">
        <v>0</v>
      </c>
      <c r="T247" s="5" t="n">
        <v>0</v>
      </c>
      <c r="U247" s="5" t="n">
        <v>2</v>
      </c>
      <c r="V247" s="5" t="n">
        <v>6</v>
      </c>
      <c r="W247" s="5" t="n">
        <v>6</v>
      </c>
      <c r="X247" s="5" t="n">
        <v>0</v>
      </c>
      <c r="Y247" s="5" t="n">
        <v>0</v>
      </c>
      <c r="Z247" s="5" t="n">
        <v>0</v>
      </c>
      <c r="AA247" s="5" t="n">
        <v>0</v>
      </c>
      <c r="AB247" s="5" t="n">
        <v>23.561714</v>
      </c>
      <c r="AC247" s="5" t="inlineStr">
        <is>
          <t>Wie können mittelständische Unternehmen digitale Werkzeuge praktisch einsetzen, ohne dass daraus nur Pilotprojekte entstehen?</t>
        </is>
      </c>
      <c r="AD247" s="5" t="inlineStr">
        <is>
          <t>Mittelstand, Digitalisierung und Produktivität: BRICKMAKERS AG (profit_anchor, 5) + SmartFactory KL e.V. (context_actor, 5).</t>
        </is>
      </c>
      <c r="AE247" s="5" t="inlineStr">
        <is>
          <t>BRICKMAKERS AG | SmartFactory KL e.V.</t>
        </is>
      </c>
      <c r="AF247" s="5" t="inlineStr">
        <is>
          <t>mittelstand-digitalisierung-produktivitaet-brickmakers-ag-smartfactory-kl-e-v</t>
        </is>
      </c>
    </row>
    <row r="248">
      <c r="A248" s="5" t="inlineStr">
        <is>
          <t>C0247</t>
        </is>
      </c>
      <c r="B248" s="5" t="inlineStr">
        <is>
          <t>x_0247</t>
        </is>
      </c>
      <c r="C248" s="5" t="n">
        <v>0</v>
      </c>
      <c r="D248" s="5" t="inlineStr">
        <is>
          <t>BRICKMAKERS AG</t>
        </is>
      </c>
      <c r="E248" s="5" t="inlineStr">
        <is>
          <t>robotspaceship</t>
        </is>
      </c>
      <c r="F248" s="5" t="n">
        <v>12</v>
      </c>
      <c r="G248" s="5" t="n">
        <v>75</v>
      </c>
      <c r="H248" s="5" t="inlineStr">
        <is>
          <t>profit_anchor</t>
        </is>
      </c>
      <c r="I248" t="inlineStr">
        <is>
          <t>technology_digital_anchor</t>
        </is>
      </c>
      <c r="J248" s="5" t="inlineStr">
        <is>
          <t>context_actor</t>
        </is>
      </c>
      <c r="K248" t="inlineStr">
        <is>
          <t>technology_digital_anchor</t>
        </is>
      </c>
      <c r="L248" s="5" t="inlineStr">
        <is>
          <t>wirtschaft</t>
        </is>
      </c>
      <c r="M248" s="5" t="inlineStr">
        <is>
          <t>mittelstand_digitalisierung_produktivitaet</t>
        </is>
      </c>
      <c r="N248" s="5" t="inlineStr">
        <is>
          <t>Mittelstand, Digitalisierung und Produktivität</t>
        </is>
      </c>
      <c r="O248" s="5" t="n">
        <v>5</v>
      </c>
      <c r="P248" s="5" t="n">
        <v>5</v>
      </c>
      <c r="Q248" s="5" t="n">
        <v>14</v>
      </c>
      <c r="R248" s="5" t="n">
        <v>4</v>
      </c>
      <c r="S248" s="5" t="n">
        <v>0</v>
      </c>
      <c r="T248" s="5" t="n">
        <v>0</v>
      </c>
      <c r="U248" s="5" t="n">
        <v>2</v>
      </c>
      <c r="V248" s="5" t="n">
        <v>6</v>
      </c>
      <c r="W248" s="5" t="n">
        <v>6</v>
      </c>
      <c r="X248" s="5" t="n">
        <v>0</v>
      </c>
      <c r="Y248" s="5" t="n">
        <v>0</v>
      </c>
      <c r="Z248" s="5" t="n">
        <v>0</v>
      </c>
      <c r="AA248" s="5" t="n">
        <v>0</v>
      </c>
      <c r="AB248" s="5" t="n">
        <v>23.561714</v>
      </c>
      <c r="AC248" s="5" t="inlineStr">
        <is>
          <t>Wie können mittelständische Unternehmen digitale Werkzeuge praktisch einsetzen, ohne dass daraus nur Pilotprojekte entstehen?</t>
        </is>
      </c>
      <c r="AD248" s="5" t="inlineStr">
        <is>
          <t>Mittelstand, Digitalisierung und Produktivität: BRICKMAKERS AG (profit_anchor, 5) + robotspaceship (context_actor, 5).</t>
        </is>
      </c>
      <c r="AE248" s="5" t="inlineStr">
        <is>
          <t>BRICKMAKERS AG | robotspaceship</t>
        </is>
      </c>
      <c r="AF248" s="5" t="inlineStr">
        <is>
          <t>mittelstand-digitalisierung-produktivitaet-brickmakers-ag-robotspaceship</t>
        </is>
      </c>
    </row>
    <row r="249">
      <c r="A249" s="5" t="inlineStr">
        <is>
          <t>C0248</t>
        </is>
      </c>
      <c r="B249" s="5" t="inlineStr">
        <is>
          <t>x_0248</t>
        </is>
      </c>
      <c r="C249" s="5" t="n">
        <v>0</v>
      </c>
      <c r="D249" s="5" t="inlineStr">
        <is>
          <t>Deutsche Telekom AG</t>
        </is>
      </c>
      <c r="E249" s="5" t="inlineStr">
        <is>
          <t>Rheinland-Pfälzische Technische Universität Kaiserslautern-Landau (RPTU)</t>
        </is>
      </c>
      <c r="F249" s="5" t="n">
        <v>18</v>
      </c>
      <c r="G249" s="5" t="n">
        <v>74</v>
      </c>
      <c r="H249" s="5" t="inlineStr">
        <is>
          <t>profit_anchor</t>
        </is>
      </c>
      <c r="I249" t="inlineStr">
        <is>
          <t>technology_digital_anchor</t>
        </is>
      </c>
      <c r="J249" s="5" t="inlineStr">
        <is>
          <t>academic_support</t>
        </is>
      </c>
      <c r="K249" t="inlineStr">
        <is>
          <t>university_research</t>
        </is>
      </c>
      <c r="L249" s="5" t="inlineStr">
        <is>
          <t>wirtschaft</t>
        </is>
      </c>
      <c r="M249" s="5" t="inlineStr">
        <is>
          <t>mittelstand_digitalisierung_produktivitaet</t>
        </is>
      </c>
      <c r="N249" s="5" t="inlineStr">
        <is>
          <t>Mittelstand, Digitalisierung und Produktivität</t>
        </is>
      </c>
      <c r="O249" s="5" t="n">
        <v>5</v>
      </c>
      <c r="P249" s="5" t="n">
        <v>5</v>
      </c>
      <c r="Q249" s="5" t="n">
        <v>14</v>
      </c>
      <c r="R249" s="5" t="n">
        <v>4</v>
      </c>
      <c r="S249" s="5" t="n">
        <v>0</v>
      </c>
      <c r="T249" s="5" t="n">
        <v>0</v>
      </c>
      <c r="U249" s="5" t="n">
        <v>2</v>
      </c>
      <c r="V249" s="5" t="n">
        <v>6</v>
      </c>
      <c r="W249" s="5" t="n">
        <v>6</v>
      </c>
      <c r="X249" s="5" t="n">
        <v>0</v>
      </c>
      <c r="Y249" s="5" t="n">
        <v>0</v>
      </c>
      <c r="Z249" s="5" t="n">
        <v>0</v>
      </c>
      <c r="AA249" s="5" t="n">
        <v>0</v>
      </c>
      <c r="AB249" s="5" t="n">
        <v>28.612779</v>
      </c>
      <c r="AC249" s="5" t="inlineStr">
        <is>
          <t>Wie können mittelständische Unternehmen digitale Werkzeuge praktisch einsetzen, ohne dass daraus nur Pilotprojekte entstehen?</t>
        </is>
      </c>
      <c r="AD249" s="5" t="inlineStr">
        <is>
          <t>Mittelstand, Digitalisierung und Produktivität: Deutsche Telekom AG (profit_anchor, 5) + Rheinland-Pfälzische Technische Universität Kaiserslautern-Landau (RPTU) (academic_support, 5).</t>
        </is>
      </c>
      <c r="AE249" s="5" t="inlineStr">
        <is>
          <t>Deutsche Telekom AG | Rheinland-Pfälzische Technische Universität Kaiserslautern-Landau (RPTU)</t>
        </is>
      </c>
      <c r="AF249" s="5" t="inlineStr">
        <is>
          <t>mittelstand-digitalisierung-produktivitaet-deutsche-telekom-ag-rheinland-pfälzische-technische-</t>
        </is>
      </c>
    </row>
    <row r="250">
      <c r="A250" s="5" t="inlineStr">
        <is>
          <t>C0249</t>
        </is>
      </c>
      <c r="B250" s="5" t="inlineStr">
        <is>
          <t>x_0249</t>
        </is>
      </c>
      <c r="C250" s="5" t="n">
        <v>0</v>
      </c>
      <c r="D250" s="5" t="inlineStr">
        <is>
          <t>Deutsche Telekom AG</t>
        </is>
      </c>
      <c r="E250" s="5" t="inlineStr">
        <is>
          <t>SmartFactory KL e.V.</t>
        </is>
      </c>
      <c r="F250" s="5" t="n">
        <v>18</v>
      </c>
      <c r="G250" s="5" t="n">
        <v>81</v>
      </c>
      <c r="H250" s="5" t="inlineStr">
        <is>
          <t>profit_anchor</t>
        </is>
      </c>
      <c r="I250" t="inlineStr">
        <is>
          <t>technology_digital_anchor</t>
        </is>
      </c>
      <c r="J250" s="5" t="inlineStr">
        <is>
          <t>context_actor</t>
        </is>
      </c>
      <c r="K250" t="inlineStr">
        <is>
          <t>technology_digital_anchor</t>
        </is>
      </c>
      <c r="L250" s="5" t="inlineStr">
        <is>
          <t>wirtschaft</t>
        </is>
      </c>
      <c r="M250" s="5" t="inlineStr">
        <is>
          <t>mittelstand_digitalisierung_produktivitaet</t>
        </is>
      </c>
      <c r="N250" s="5" t="inlineStr">
        <is>
          <t>Mittelstand, Digitalisierung und Produktivität</t>
        </is>
      </c>
      <c r="O250" s="5" t="n">
        <v>5</v>
      </c>
      <c r="P250" s="5" t="n">
        <v>5</v>
      </c>
      <c r="Q250" s="5" t="n">
        <v>14</v>
      </c>
      <c r="R250" s="5" t="n">
        <v>4</v>
      </c>
      <c r="S250" s="5" t="n">
        <v>0</v>
      </c>
      <c r="T250" s="5" t="n">
        <v>0</v>
      </c>
      <c r="U250" s="5" t="n">
        <v>2</v>
      </c>
      <c r="V250" s="5" t="n">
        <v>6</v>
      </c>
      <c r="W250" s="5" t="n">
        <v>6</v>
      </c>
      <c r="X250" s="5" t="n">
        <v>0</v>
      </c>
      <c r="Y250" s="5" t="n">
        <v>0</v>
      </c>
      <c r="Z250" s="5" t="n">
        <v>0</v>
      </c>
      <c r="AA250" s="5" t="n">
        <v>0</v>
      </c>
      <c r="AB250" s="5" t="n">
        <v>23.561714</v>
      </c>
      <c r="AC250" s="5" t="inlineStr">
        <is>
          <t>Wie können mittelständische Unternehmen digitale Werkzeuge praktisch einsetzen, ohne dass daraus nur Pilotprojekte entstehen?</t>
        </is>
      </c>
      <c r="AD250" s="5" t="inlineStr">
        <is>
          <t>Mittelstand, Digitalisierung und Produktivität: Deutsche Telekom AG (profit_anchor, 5) + SmartFactory KL e.V. (context_actor, 5).</t>
        </is>
      </c>
      <c r="AE250" s="5" t="inlineStr">
        <is>
          <t>Deutsche Telekom AG | SmartFactory KL e.V.</t>
        </is>
      </c>
      <c r="AF250" s="5" t="inlineStr">
        <is>
          <t>mittelstand-digitalisierung-produktivitaet-deutsche-telekom-ag-smartfactory-kl-e-v</t>
        </is>
      </c>
    </row>
    <row r="251">
      <c r="A251" s="5" t="inlineStr">
        <is>
          <t>C0250</t>
        </is>
      </c>
      <c r="B251" s="5" t="inlineStr">
        <is>
          <t>x_0250</t>
        </is>
      </c>
      <c r="C251" s="5" t="n">
        <v>0</v>
      </c>
      <c r="D251" s="5" t="inlineStr">
        <is>
          <t>Deutsche Telekom AG</t>
        </is>
      </c>
      <c r="E251" s="5" t="inlineStr">
        <is>
          <t>robotspaceship</t>
        </is>
      </c>
      <c r="F251" s="5" t="n">
        <v>18</v>
      </c>
      <c r="G251" s="5" t="n">
        <v>75</v>
      </c>
      <c r="H251" s="5" t="inlineStr">
        <is>
          <t>profit_anchor</t>
        </is>
      </c>
      <c r="I251" t="inlineStr">
        <is>
          <t>technology_digital_anchor</t>
        </is>
      </c>
      <c r="J251" s="5" t="inlineStr">
        <is>
          <t>context_actor</t>
        </is>
      </c>
      <c r="K251" t="inlineStr">
        <is>
          <t>technology_digital_anchor</t>
        </is>
      </c>
      <c r="L251" s="5" t="inlineStr">
        <is>
          <t>wirtschaft</t>
        </is>
      </c>
      <c r="M251" s="5" t="inlineStr">
        <is>
          <t>mittelstand_digitalisierung_produktivitaet</t>
        </is>
      </c>
      <c r="N251" s="5" t="inlineStr">
        <is>
          <t>Mittelstand, Digitalisierung und Produktivität</t>
        </is>
      </c>
      <c r="O251" s="5" t="n">
        <v>5</v>
      </c>
      <c r="P251" s="5" t="n">
        <v>5</v>
      </c>
      <c r="Q251" s="5" t="n">
        <v>14</v>
      </c>
      <c r="R251" s="5" t="n">
        <v>4</v>
      </c>
      <c r="S251" s="5" t="n">
        <v>0</v>
      </c>
      <c r="T251" s="5" t="n">
        <v>0</v>
      </c>
      <c r="U251" s="5" t="n">
        <v>2</v>
      </c>
      <c r="V251" s="5" t="n">
        <v>6</v>
      </c>
      <c r="W251" s="5" t="n">
        <v>6</v>
      </c>
      <c r="X251" s="5" t="n">
        <v>0</v>
      </c>
      <c r="Y251" s="5" t="n">
        <v>0</v>
      </c>
      <c r="Z251" s="5" t="n">
        <v>0</v>
      </c>
      <c r="AA251" s="5" t="n">
        <v>0</v>
      </c>
      <c r="AB251" s="5" t="n">
        <v>23.561714</v>
      </c>
      <c r="AC251" s="5" t="inlineStr">
        <is>
          <t>Wie können mittelständische Unternehmen digitale Werkzeuge praktisch einsetzen, ohne dass daraus nur Pilotprojekte entstehen?</t>
        </is>
      </c>
      <c r="AD251" s="5" t="inlineStr">
        <is>
          <t>Mittelstand, Digitalisierung und Produktivität: Deutsche Telekom AG (profit_anchor, 5) + robotspaceship (context_actor, 5).</t>
        </is>
      </c>
      <c r="AE251" s="5" t="inlineStr">
        <is>
          <t>Deutsche Telekom AG | robotspaceship</t>
        </is>
      </c>
      <c r="AF251" s="5" t="inlineStr">
        <is>
          <t>mittelstand-digitalisierung-produktivitaet-deutsche-telekom-ag-robotspaceship</t>
        </is>
      </c>
    </row>
    <row r="252">
      <c r="A252" s="5" t="inlineStr">
        <is>
          <t>C0251</t>
        </is>
      </c>
      <c r="B252" s="5" t="inlineStr">
        <is>
          <t>x_0251</t>
        </is>
      </c>
      <c r="C252" s="5" t="n">
        <v>0</v>
      </c>
      <c r="D252" s="5" t="inlineStr">
        <is>
          <t>Empolis Information Management GmbH</t>
        </is>
      </c>
      <c r="E252" s="5" t="inlineStr">
        <is>
          <t>Rheinland-Pfälzische Technische Universität Kaiserslautern-Landau (RPTU)</t>
        </is>
      </c>
      <c r="F252" s="5" t="n">
        <v>23</v>
      </c>
      <c r="G252" s="5" t="n">
        <v>74</v>
      </c>
      <c r="H252" s="5" t="inlineStr">
        <is>
          <t>profit_anchor</t>
        </is>
      </c>
      <c r="I252" t="inlineStr">
        <is>
          <t>technology_digital_anchor</t>
        </is>
      </c>
      <c r="J252" s="5" t="inlineStr">
        <is>
          <t>academic_support</t>
        </is>
      </c>
      <c r="K252" t="inlineStr">
        <is>
          <t>university_research</t>
        </is>
      </c>
      <c r="L252" s="5" t="inlineStr">
        <is>
          <t>wirtschaft</t>
        </is>
      </c>
      <c r="M252" s="5" t="inlineStr">
        <is>
          <t>mittelstand_digitalisierung_produktivitaet</t>
        </is>
      </c>
      <c r="N252" s="5" t="inlineStr">
        <is>
          <t>Mittelstand, Digitalisierung und Produktivität</t>
        </is>
      </c>
      <c r="O252" s="5" t="n">
        <v>5</v>
      </c>
      <c r="P252" s="5" t="n">
        <v>5</v>
      </c>
      <c r="Q252" s="5" t="n">
        <v>14</v>
      </c>
      <c r="R252" s="5" t="n">
        <v>4</v>
      </c>
      <c r="S252" s="5" t="n">
        <v>0</v>
      </c>
      <c r="T252" s="5" t="n">
        <v>0</v>
      </c>
      <c r="U252" s="5" t="n">
        <v>2</v>
      </c>
      <c r="V252" s="5" t="n">
        <v>6</v>
      </c>
      <c r="W252" s="5" t="n">
        <v>6</v>
      </c>
      <c r="X252" s="5" t="n">
        <v>0</v>
      </c>
      <c r="Y252" s="5" t="n">
        <v>0</v>
      </c>
      <c r="Z252" s="5" t="n">
        <v>0</v>
      </c>
      <c r="AA252" s="5" t="n">
        <v>0</v>
      </c>
      <c r="AB252" s="5" t="n">
        <v>28.612779</v>
      </c>
      <c r="AC252" s="5" t="inlineStr">
        <is>
          <t>Wie können mittelständische Unternehmen digitale Werkzeuge praktisch einsetzen, ohne dass daraus nur Pilotprojekte entstehen?</t>
        </is>
      </c>
      <c r="AD252" s="5" t="inlineStr">
        <is>
          <t>Mittelstand, Digitalisierung und Produktivität: Empolis Information Management GmbH (profit_anchor, 5) + Rheinland-Pfälzische Technische Universität Kaiserslautern-Landau (RPTU) (academic_support, 5).</t>
        </is>
      </c>
      <c r="AE252" s="5" t="inlineStr">
        <is>
          <t>Empolis Information Management GmbH | Rheinland-Pfälzische Technische Universität Kaiserslautern-Landau (RPTU)</t>
        </is>
      </c>
      <c r="AF252" s="5" t="inlineStr">
        <is>
          <t>mittelstand-digitalisierung-produktivitaet-empolis-information-management-gmbh-rheinland-pfälzi</t>
        </is>
      </c>
    </row>
    <row r="253">
      <c r="A253" s="5" t="inlineStr">
        <is>
          <t>C0252</t>
        </is>
      </c>
      <c r="B253" s="5" t="inlineStr">
        <is>
          <t>x_0252</t>
        </is>
      </c>
      <c r="C253" s="5" t="n">
        <v>0</v>
      </c>
      <c r="D253" s="5" t="inlineStr">
        <is>
          <t>Empolis Information Management GmbH</t>
        </is>
      </c>
      <c r="E253" s="5" t="inlineStr">
        <is>
          <t>SmartFactory KL e.V.</t>
        </is>
      </c>
      <c r="F253" s="5" t="n">
        <v>23</v>
      </c>
      <c r="G253" s="5" t="n">
        <v>81</v>
      </c>
      <c r="H253" s="5" t="inlineStr">
        <is>
          <t>profit_anchor</t>
        </is>
      </c>
      <c r="I253" t="inlineStr">
        <is>
          <t>technology_digital_anchor</t>
        </is>
      </c>
      <c r="J253" s="5" t="inlineStr">
        <is>
          <t>context_actor</t>
        </is>
      </c>
      <c r="K253" t="inlineStr">
        <is>
          <t>technology_digital_anchor</t>
        </is>
      </c>
      <c r="L253" s="5" t="inlineStr">
        <is>
          <t>wirtschaft</t>
        </is>
      </c>
      <c r="M253" s="5" t="inlineStr">
        <is>
          <t>mittelstand_digitalisierung_produktivitaet</t>
        </is>
      </c>
      <c r="N253" s="5" t="inlineStr">
        <is>
          <t>Mittelstand, Digitalisierung und Produktivität</t>
        </is>
      </c>
      <c r="O253" s="5" t="n">
        <v>5</v>
      </c>
      <c r="P253" s="5" t="n">
        <v>5</v>
      </c>
      <c r="Q253" s="5" t="n">
        <v>14</v>
      </c>
      <c r="R253" s="5" t="n">
        <v>4</v>
      </c>
      <c r="S253" s="5" t="n">
        <v>0</v>
      </c>
      <c r="T253" s="5" t="n">
        <v>0</v>
      </c>
      <c r="U253" s="5" t="n">
        <v>2</v>
      </c>
      <c r="V253" s="5" t="n">
        <v>6</v>
      </c>
      <c r="W253" s="5" t="n">
        <v>6</v>
      </c>
      <c r="X253" s="5" t="n">
        <v>0</v>
      </c>
      <c r="Y253" s="5" t="n">
        <v>0</v>
      </c>
      <c r="Z253" s="5" t="n">
        <v>0</v>
      </c>
      <c r="AA253" s="5" t="n">
        <v>0</v>
      </c>
      <c r="AB253" s="5" t="n">
        <v>23.561714</v>
      </c>
      <c r="AC253" s="5" t="inlineStr">
        <is>
          <t>Wie können mittelständische Unternehmen digitale Werkzeuge praktisch einsetzen, ohne dass daraus nur Pilotprojekte entstehen?</t>
        </is>
      </c>
      <c r="AD253" s="5" t="inlineStr">
        <is>
          <t>Mittelstand, Digitalisierung und Produktivität: Empolis Information Management GmbH (profit_anchor, 5) + SmartFactory KL e.V. (context_actor, 5).</t>
        </is>
      </c>
      <c r="AE253" s="5" t="inlineStr">
        <is>
          <t>Empolis Information Management GmbH | SmartFactory KL e.V.</t>
        </is>
      </c>
      <c r="AF253" s="5" t="inlineStr">
        <is>
          <t>mittelstand-digitalisierung-produktivitaet-empolis-information-management-gmbh-smartfactory-kl-</t>
        </is>
      </c>
    </row>
    <row r="254">
      <c r="A254" s="5" t="inlineStr">
        <is>
          <t>C0253</t>
        </is>
      </c>
      <c r="B254" s="5" t="inlineStr">
        <is>
          <t>x_0253</t>
        </is>
      </c>
      <c r="C254" s="5" t="n">
        <v>0</v>
      </c>
      <c r="D254" s="5" t="inlineStr">
        <is>
          <t>Empolis Information Management GmbH</t>
        </is>
      </c>
      <c r="E254" s="5" t="inlineStr">
        <is>
          <t>robotspaceship</t>
        </is>
      </c>
      <c r="F254" s="5" t="n">
        <v>23</v>
      </c>
      <c r="G254" s="5" t="n">
        <v>75</v>
      </c>
      <c r="H254" s="5" t="inlineStr">
        <is>
          <t>profit_anchor</t>
        </is>
      </c>
      <c r="I254" t="inlineStr">
        <is>
          <t>technology_digital_anchor</t>
        </is>
      </c>
      <c r="J254" s="5" t="inlineStr">
        <is>
          <t>context_actor</t>
        </is>
      </c>
      <c r="K254" t="inlineStr">
        <is>
          <t>technology_digital_anchor</t>
        </is>
      </c>
      <c r="L254" s="5" t="inlineStr">
        <is>
          <t>wirtschaft</t>
        </is>
      </c>
      <c r="M254" s="5" t="inlineStr">
        <is>
          <t>mittelstand_digitalisierung_produktivitaet</t>
        </is>
      </c>
      <c r="N254" s="5" t="inlineStr">
        <is>
          <t>Mittelstand, Digitalisierung und Produktivität</t>
        </is>
      </c>
      <c r="O254" s="5" t="n">
        <v>5</v>
      </c>
      <c r="P254" s="5" t="n">
        <v>5</v>
      </c>
      <c r="Q254" s="5" t="n">
        <v>14</v>
      </c>
      <c r="R254" s="5" t="n">
        <v>4</v>
      </c>
      <c r="S254" s="5" t="n">
        <v>0</v>
      </c>
      <c r="T254" s="5" t="n">
        <v>0</v>
      </c>
      <c r="U254" s="5" t="n">
        <v>2</v>
      </c>
      <c r="V254" s="5" t="n">
        <v>6</v>
      </c>
      <c r="W254" s="5" t="n">
        <v>6</v>
      </c>
      <c r="X254" s="5" t="n">
        <v>0</v>
      </c>
      <c r="Y254" s="5" t="n">
        <v>0</v>
      </c>
      <c r="Z254" s="5" t="n">
        <v>0</v>
      </c>
      <c r="AA254" s="5" t="n">
        <v>0</v>
      </c>
      <c r="AB254" s="5" t="n">
        <v>23.561714</v>
      </c>
      <c r="AC254" s="5" t="inlineStr">
        <is>
          <t>Wie können mittelständische Unternehmen digitale Werkzeuge praktisch einsetzen, ohne dass daraus nur Pilotprojekte entstehen?</t>
        </is>
      </c>
      <c r="AD254" s="5" t="inlineStr">
        <is>
          <t>Mittelstand, Digitalisierung und Produktivität: Empolis Information Management GmbH (profit_anchor, 5) + robotspaceship (context_actor, 5).</t>
        </is>
      </c>
      <c r="AE254" s="5" t="inlineStr">
        <is>
          <t>Empolis Information Management GmbH | robotspaceship</t>
        </is>
      </c>
      <c r="AF254" s="5" t="inlineStr">
        <is>
          <t>mittelstand-digitalisierung-produktivitaet-empolis-information-management-gmbh-robotspaceship</t>
        </is>
      </c>
    </row>
    <row r="255">
      <c r="A255" s="5" t="inlineStr">
        <is>
          <t>C0254</t>
        </is>
      </c>
      <c r="B255" s="5" t="inlineStr">
        <is>
          <t>x_0254</t>
        </is>
      </c>
      <c r="C255" s="5" t="n">
        <v>0</v>
      </c>
      <c r="D255" s="5" t="inlineStr">
        <is>
          <t>Handwerkskammern Rheinland-Pfalz</t>
        </is>
      </c>
      <c r="E255" s="5" t="inlineStr">
        <is>
          <t>Hochschule Kaiserslautern</t>
        </is>
      </c>
      <c r="F255" s="5" t="n">
        <v>32</v>
      </c>
      <c r="G255" s="5" t="n">
        <v>37</v>
      </c>
      <c r="H255" s="5" t="inlineStr">
        <is>
          <t>implementation_anchor</t>
        </is>
      </c>
      <c r="I255" t="inlineStr">
        <is>
          <t>chamber_association_anchor</t>
        </is>
      </c>
      <c r="J255" s="5" t="inlineStr">
        <is>
          <t>academic_support</t>
        </is>
      </c>
      <c r="K255" t="inlineStr">
        <is>
          <t>university_applied_sciences</t>
        </is>
      </c>
      <c r="L255" s="5" t="inlineStr">
        <is>
          <t>wirtschaft</t>
        </is>
      </c>
      <c r="M255" s="5" t="inlineStr">
        <is>
          <t>mittelstand_digitalisierung_produktivitaet</t>
        </is>
      </c>
      <c r="N255" s="5" t="inlineStr">
        <is>
          <t>Mittelstand, Digitalisierung und Produktivität</t>
        </is>
      </c>
      <c r="O255" s="5" t="n">
        <v>4</v>
      </c>
      <c r="P255" s="5" t="n">
        <v>4</v>
      </c>
      <c r="Q255" s="5" t="n">
        <v>12</v>
      </c>
      <c r="R255" s="5" t="n">
        <v>4</v>
      </c>
      <c r="S255" s="5" t="n">
        <v>0</v>
      </c>
      <c r="T255" s="5" t="n">
        <v>0</v>
      </c>
      <c r="U255" s="5" t="n">
        <v>2</v>
      </c>
      <c r="V255" s="5" t="n">
        <v>7</v>
      </c>
      <c r="W255" s="5" t="n">
        <v>7</v>
      </c>
      <c r="X255" s="5" t="n">
        <v>0</v>
      </c>
      <c r="Y255" s="5" t="n">
        <v>0</v>
      </c>
      <c r="Z255" s="5" t="n">
        <v>0</v>
      </c>
      <c r="AA255" s="5" t="n">
        <v>0</v>
      </c>
      <c r="AB255" s="5" t="n">
        <v>47.438317</v>
      </c>
      <c r="AC255" s="5" t="inlineStr">
        <is>
          <t>Wie können mittelständische Unternehmen digitale Werkzeuge praktisch einsetzen, ohne dass daraus nur Pilotprojekte entstehen?</t>
        </is>
      </c>
      <c r="AD255" s="5" t="inlineStr">
        <is>
          <t>Mittelstand, Digitalisierung und Produktivität: Handwerkskammern Rheinland-Pfalz (implementation_anchor, 4) + Hochschule Kaiserslautern (academic_support, 4).</t>
        </is>
      </c>
      <c r="AE255" s="5" t="inlineStr">
        <is>
          <t>Handwerkskammern Rheinland-Pfalz | Hochschule Kaiserslautern</t>
        </is>
      </c>
      <c r="AF255" s="5" t="inlineStr">
        <is>
          <t>mittelstand-digitalisierung-produktivitaet-handwerkskammern-rheinland-pfalz-hochschule-kaisersl</t>
        </is>
      </c>
    </row>
    <row r="256">
      <c r="A256" s="5" t="inlineStr">
        <is>
          <t>C0255</t>
        </is>
      </c>
      <c r="B256" s="5" t="inlineStr">
        <is>
          <t>x_0255</t>
        </is>
      </c>
      <c r="C256" s="5" t="n">
        <v>0</v>
      </c>
      <c r="D256" s="5" t="inlineStr">
        <is>
          <t>Handwerkskammern Rheinland-Pfalz</t>
        </is>
      </c>
      <c r="E256" s="5" t="inlineStr">
        <is>
          <t>WHU – Otto Beisheim School of Management</t>
        </is>
      </c>
      <c r="F256" s="5" t="n">
        <v>32</v>
      </c>
      <c r="G256" s="5" t="n">
        <v>99</v>
      </c>
      <c r="H256" s="5" t="inlineStr">
        <is>
          <t>implementation_anchor</t>
        </is>
      </c>
      <c r="I256" t="inlineStr">
        <is>
          <t>chamber_association_anchor</t>
        </is>
      </c>
      <c r="J256" s="5" t="inlineStr">
        <is>
          <t>academic_support</t>
        </is>
      </c>
      <c r="K256" t="inlineStr">
        <is>
          <t>university_research</t>
        </is>
      </c>
      <c r="L256" s="5" t="inlineStr">
        <is>
          <t>wirtschaft</t>
        </is>
      </c>
      <c r="M256" s="5" t="inlineStr">
        <is>
          <t>mittelstand_digitalisierung_produktivitaet</t>
        </is>
      </c>
      <c r="N256" s="5" t="inlineStr">
        <is>
          <t>Mittelstand, Digitalisierung und Produktivität</t>
        </is>
      </c>
      <c r="O256" s="5" t="n">
        <v>4</v>
      </c>
      <c r="P256" s="5" t="n">
        <v>4</v>
      </c>
      <c r="Q256" s="5" t="n">
        <v>12</v>
      </c>
      <c r="R256" s="5" t="n">
        <v>4</v>
      </c>
      <c r="S256" s="5" t="n">
        <v>0</v>
      </c>
      <c r="T256" s="5" t="n">
        <v>0</v>
      </c>
      <c r="U256" s="5" t="n">
        <v>2</v>
      </c>
      <c r="V256" s="5" t="n">
        <v>7</v>
      </c>
      <c r="W256" s="5" t="n">
        <v>7</v>
      </c>
      <c r="X256" s="5" t="n">
        <v>0</v>
      </c>
      <c r="Y256" s="5" t="n">
        <v>0</v>
      </c>
      <c r="Z256" s="5" t="n">
        <v>0</v>
      </c>
      <c r="AA256" s="5" t="n">
        <v>0</v>
      </c>
      <c r="AB256" s="5" t="n">
        <v>50.924563</v>
      </c>
      <c r="AC256" s="5" t="inlineStr">
        <is>
          <t>Wie können mittelständische Unternehmen digitale Werkzeuge praktisch einsetzen, ohne dass daraus nur Pilotprojekte entstehen?</t>
        </is>
      </c>
      <c r="AD256" s="5" t="inlineStr">
        <is>
          <t>Mittelstand, Digitalisierung und Produktivität: Handwerkskammern Rheinland-Pfalz (implementation_anchor, 4) + WHU – Otto Beisheim School of Management (academic_support, 4).</t>
        </is>
      </c>
      <c r="AE256" s="5" t="inlineStr">
        <is>
          <t>Handwerkskammern Rheinland-Pfalz | WHU – Otto Beisheim School of Management</t>
        </is>
      </c>
      <c r="AF256" s="5" t="inlineStr">
        <is>
          <t>mittelstand-digitalisierung-produktivitaet-handwerkskammern-rheinland-pfalz-whu-otto-beisheim-s</t>
        </is>
      </c>
    </row>
    <row r="257">
      <c r="A257" s="5" t="inlineStr">
        <is>
          <t>C0256</t>
        </is>
      </c>
      <c r="B257" s="5" t="inlineStr">
        <is>
          <t>x_0256</t>
        </is>
      </c>
      <c r="C257" s="5" t="n">
        <v>0</v>
      </c>
      <c r="D257" s="5" t="inlineStr">
        <is>
          <t>ITK Engineering GmbH</t>
        </is>
      </c>
      <c r="E257" s="5" t="inlineStr">
        <is>
          <t>Rheinland-Pfälzische Technische Universität Kaiserslautern-Landau (RPTU)</t>
        </is>
      </c>
      <c r="F257" s="5" t="n">
        <v>47</v>
      </c>
      <c r="G257" s="5" t="n">
        <v>74</v>
      </c>
      <c r="H257" s="5" t="inlineStr">
        <is>
          <t>profit_anchor</t>
        </is>
      </c>
      <c r="I257" t="inlineStr">
        <is>
          <t>technology_digital_anchor</t>
        </is>
      </c>
      <c r="J257" s="5" t="inlineStr">
        <is>
          <t>academic_support</t>
        </is>
      </c>
      <c r="K257" t="inlineStr">
        <is>
          <t>university_research</t>
        </is>
      </c>
      <c r="L257" s="5" t="inlineStr">
        <is>
          <t>wirtschaft</t>
        </is>
      </c>
      <c r="M257" s="5" t="inlineStr">
        <is>
          <t>mittelstand_digitalisierung_produktivitaet</t>
        </is>
      </c>
      <c r="N257" s="5" t="inlineStr">
        <is>
          <t>Mittelstand, Digitalisierung und Produktivität</t>
        </is>
      </c>
      <c r="O257" s="5" t="n">
        <v>5</v>
      </c>
      <c r="P257" s="5" t="n">
        <v>5</v>
      </c>
      <c r="Q257" s="5" t="n">
        <v>14</v>
      </c>
      <c r="R257" s="5" t="n">
        <v>4</v>
      </c>
      <c r="S257" s="5" t="n">
        <v>0</v>
      </c>
      <c r="T257" s="5" t="n">
        <v>0</v>
      </c>
      <c r="U257" s="5" t="n">
        <v>2</v>
      </c>
      <c r="V257" s="5" t="n">
        <v>6</v>
      </c>
      <c r="W257" s="5" t="n">
        <v>6</v>
      </c>
      <c r="X257" s="5" t="n">
        <v>0</v>
      </c>
      <c r="Y257" s="5" t="n">
        <v>0</v>
      </c>
      <c r="Z257" s="5" t="n">
        <v>0</v>
      </c>
      <c r="AA257" s="5" t="n">
        <v>0</v>
      </c>
      <c r="AB257" s="5" t="n">
        <v>28.612779</v>
      </c>
      <c r="AC257" s="5" t="inlineStr">
        <is>
          <t>Wie können mittelständische Unternehmen digitale Werkzeuge praktisch einsetzen, ohne dass daraus nur Pilotprojekte entstehen?</t>
        </is>
      </c>
      <c r="AD257" s="5" t="inlineStr">
        <is>
          <t>Mittelstand, Digitalisierung und Produktivität: ITK Engineering GmbH (profit_anchor, 5) + Rheinland-Pfälzische Technische Universität Kaiserslautern-Landau (RPTU) (academic_support, 5).</t>
        </is>
      </c>
      <c r="AE257" s="5" t="inlineStr">
        <is>
          <t>ITK Engineering GmbH | Rheinland-Pfälzische Technische Universität Kaiserslautern-Landau (RPTU)</t>
        </is>
      </c>
      <c r="AF257" s="5" t="inlineStr">
        <is>
          <t>mittelstand-digitalisierung-produktivitaet-itk-engineering-gmbh-rheinland-pfälzische-technische</t>
        </is>
      </c>
    </row>
    <row r="258">
      <c r="A258" s="5" t="inlineStr">
        <is>
          <t>C0257</t>
        </is>
      </c>
      <c r="B258" s="5" t="inlineStr">
        <is>
          <t>x_0257</t>
        </is>
      </c>
      <c r="C258" s="5" t="n">
        <v>0</v>
      </c>
      <c r="D258" s="5" t="inlineStr">
        <is>
          <t>ITK Engineering GmbH</t>
        </is>
      </c>
      <c r="E258" s="5" t="inlineStr">
        <is>
          <t>SmartFactory KL e.V.</t>
        </is>
      </c>
      <c r="F258" s="5" t="n">
        <v>47</v>
      </c>
      <c r="G258" s="5" t="n">
        <v>81</v>
      </c>
      <c r="H258" s="5" t="inlineStr">
        <is>
          <t>profit_anchor</t>
        </is>
      </c>
      <c r="I258" t="inlineStr">
        <is>
          <t>technology_digital_anchor</t>
        </is>
      </c>
      <c r="J258" s="5" t="inlineStr">
        <is>
          <t>context_actor</t>
        </is>
      </c>
      <c r="K258" t="inlineStr">
        <is>
          <t>technology_digital_anchor</t>
        </is>
      </c>
      <c r="L258" s="5" t="inlineStr">
        <is>
          <t>wirtschaft</t>
        </is>
      </c>
      <c r="M258" s="5" t="inlineStr">
        <is>
          <t>mittelstand_digitalisierung_produktivitaet</t>
        </is>
      </c>
      <c r="N258" s="5" t="inlineStr">
        <is>
          <t>Mittelstand, Digitalisierung und Produktivität</t>
        </is>
      </c>
      <c r="O258" s="5" t="n">
        <v>5</v>
      </c>
      <c r="P258" s="5" t="n">
        <v>5</v>
      </c>
      <c r="Q258" s="5" t="n">
        <v>14</v>
      </c>
      <c r="R258" s="5" t="n">
        <v>4</v>
      </c>
      <c r="S258" s="5" t="n">
        <v>0</v>
      </c>
      <c r="T258" s="5" t="n">
        <v>0</v>
      </c>
      <c r="U258" s="5" t="n">
        <v>2</v>
      </c>
      <c r="V258" s="5" t="n">
        <v>6</v>
      </c>
      <c r="W258" s="5" t="n">
        <v>6</v>
      </c>
      <c r="X258" s="5" t="n">
        <v>0</v>
      </c>
      <c r="Y258" s="5" t="n">
        <v>0</v>
      </c>
      <c r="Z258" s="5" t="n">
        <v>0</v>
      </c>
      <c r="AA258" s="5" t="n">
        <v>0</v>
      </c>
      <c r="AB258" s="5" t="n">
        <v>23.561714</v>
      </c>
      <c r="AC258" s="5" t="inlineStr">
        <is>
          <t>Wie können mittelständische Unternehmen digitale Werkzeuge praktisch einsetzen, ohne dass daraus nur Pilotprojekte entstehen?</t>
        </is>
      </c>
      <c r="AD258" s="5" t="inlineStr">
        <is>
          <t>Mittelstand, Digitalisierung und Produktivität: ITK Engineering GmbH (profit_anchor, 5) + SmartFactory KL e.V. (context_actor, 5).</t>
        </is>
      </c>
      <c r="AE258" s="5" t="inlineStr">
        <is>
          <t>ITK Engineering GmbH | SmartFactory KL e.V.</t>
        </is>
      </c>
      <c r="AF258" s="5" t="inlineStr">
        <is>
          <t>mittelstand-digitalisierung-produktivitaet-itk-engineering-gmbh-smartfactory-kl-e-v</t>
        </is>
      </c>
    </row>
    <row r="259">
      <c r="A259" s="5" t="inlineStr">
        <is>
          <t>C0258</t>
        </is>
      </c>
      <c r="B259" s="5" t="inlineStr">
        <is>
          <t>x_0258</t>
        </is>
      </c>
      <c r="C259" s="5" t="n">
        <v>0</v>
      </c>
      <c r="D259" s="5" t="inlineStr">
        <is>
          <t>ITK Engineering GmbH</t>
        </is>
      </c>
      <c r="E259" s="5" t="inlineStr">
        <is>
          <t>robotspaceship</t>
        </is>
      </c>
      <c r="F259" s="5" t="n">
        <v>47</v>
      </c>
      <c r="G259" s="5" t="n">
        <v>75</v>
      </c>
      <c r="H259" s="5" t="inlineStr">
        <is>
          <t>profit_anchor</t>
        </is>
      </c>
      <c r="I259" t="inlineStr">
        <is>
          <t>technology_digital_anchor</t>
        </is>
      </c>
      <c r="J259" s="5" t="inlineStr">
        <is>
          <t>context_actor</t>
        </is>
      </c>
      <c r="K259" t="inlineStr">
        <is>
          <t>technology_digital_anchor</t>
        </is>
      </c>
      <c r="L259" s="5" t="inlineStr">
        <is>
          <t>wirtschaft</t>
        </is>
      </c>
      <c r="M259" s="5" t="inlineStr">
        <is>
          <t>mittelstand_digitalisierung_produktivitaet</t>
        </is>
      </c>
      <c r="N259" s="5" t="inlineStr">
        <is>
          <t>Mittelstand, Digitalisierung und Produktivität</t>
        </is>
      </c>
      <c r="O259" s="5" t="n">
        <v>5</v>
      </c>
      <c r="P259" s="5" t="n">
        <v>5</v>
      </c>
      <c r="Q259" s="5" t="n">
        <v>14</v>
      </c>
      <c r="R259" s="5" t="n">
        <v>4</v>
      </c>
      <c r="S259" s="5" t="n">
        <v>0</v>
      </c>
      <c r="T259" s="5" t="n">
        <v>0</v>
      </c>
      <c r="U259" s="5" t="n">
        <v>2</v>
      </c>
      <c r="V259" s="5" t="n">
        <v>6</v>
      </c>
      <c r="W259" s="5" t="n">
        <v>6</v>
      </c>
      <c r="X259" s="5" t="n">
        <v>0</v>
      </c>
      <c r="Y259" s="5" t="n">
        <v>0</v>
      </c>
      <c r="Z259" s="5" t="n">
        <v>0</v>
      </c>
      <c r="AA259" s="5" t="n">
        <v>0</v>
      </c>
      <c r="AB259" s="5" t="n">
        <v>23.561714</v>
      </c>
      <c r="AC259" s="5" t="inlineStr">
        <is>
          <t>Wie können mittelständische Unternehmen digitale Werkzeuge praktisch einsetzen, ohne dass daraus nur Pilotprojekte entstehen?</t>
        </is>
      </c>
      <c r="AD259" s="5" t="inlineStr">
        <is>
          <t>Mittelstand, Digitalisierung und Produktivität: ITK Engineering GmbH (profit_anchor, 5) + robotspaceship (context_actor, 5).</t>
        </is>
      </c>
      <c r="AE259" s="5" t="inlineStr">
        <is>
          <t>ITK Engineering GmbH | robotspaceship</t>
        </is>
      </c>
      <c r="AF259" s="5" t="inlineStr">
        <is>
          <t>mittelstand-digitalisierung-produktivitaet-itk-engineering-gmbh-robotspaceship</t>
        </is>
      </c>
    </row>
    <row r="260">
      <c r="A260" s="5" t="inlineStr">
        <is>
          <t>C0259</t>
        </is>
      </c>
      <c r="B260" s="5" t="inlineStr">
        <is>
          <t>x_0259</t>
        </is>
      </c>
      <c r="C260" s="5" t="n">
        <v>0</v>
      </c>
      <c r="D260" s="5" t="inlineStr">
        <is>
          <t>Barmherzige Brüder Trier gGmbH</t>
        </is>
      </c>
      <c r="E260" s="5" t="inlineStr">
        <is>
          <t>Bundesagentur für Arbeit, Regionaldirektion Rheinland-Pfalz-Saarland</t>
        </is>
      </c>
      <c r="F260" s="5" t="n">
        <v>5</v>
      </c>
      <c r="G260" s="5" t="n">
        <v>13</v>
      </c>
      <c r="H260" s="5" t="inlineStr">
        <is>
          <t>context_actor</t>
        </is>
      </c>
      <c r="I260" t="inlineStr">
        <is>
          <t>health_social_anchor</t>
        </is>
      </c>
      <c r="J260" s="5" t="inlineStr">
        <is>
          <t>implementation_anchor</t>
        </is>
      </c>
      <c r="K260" t="inlineStr">
        <is>
          <t>public_policy_anchor</t>
        </is>
      </c>
      <c r="L260" s="5" t="inlineStr">
        <is>
          <t>gesellschaft</t>
        </is>
      </c>
      <c r="M260" s="5" t="inlineStr">
        <is>
          <t>pflege_fachkraefte_sozialwirtschaft</t>
        </is>
      </c>
      <c r="N260" s="5" t="inlineStr">
        <is>
          <t>Pflege, Fachkräfte und Sozialwirtschaft</t>
        </is>
      </c>
      <c r="O260" s="5" t="n">
        <v>5</v>
      </c>
      <c r="P260" s="5" t="n">
        <v>5</v>
      </c>
      <c r="Q260" s="5" t="n">
        <v>14</v>
      </c>
      <c r="R260" s="5" t="n">
        <v>4</v>
      </c>
      <c r="S260" s="5" t="n">
        <v>0</v>
      </c>
      <c r="T260" s="5" t="n">
        <v>0</v>
      </c>
      <c r="U260" s="5" t="n">
        <v>2</v>
      </c>
      <c r="V260" s="5" t="n">
        <v>6</v>
      </c>
      <c r="W260" s="5" t="n">
        <v>6</v>
      </c>
      <c r="X260" s="5" t="n">
        <v>0</v>
      </c>
      <c r="Y260" s="5" t="n">
        <v>0</v>
      </c>
      <c r="Z260" s="5" t="n">
        <v>0</v>
      </c>
      <c r="AA260" s="5" t="n">
        <v>0</v>
      </c>
      <c r="AB260" s="5" t="n">
        <v>38.326733</v>
      </c>
      <c r="AC260" s="5" t="inlineStr">
        <is>
          <t>Wie sichern Pflege- und Sozialträger Personal, Qualität und Versorgung in einer alternden Gesellschaft?</t>
        </is>
      </c>
      <c r="AD260" s="5" t="inlineStr">
        <is>
          <t>Pflege, Fachkräfte und Sozialwirtschaft: Barmherzige Brüder Trier gGmbH (context_actor, 5) + Bundesagentur für Arbeit, Regionaldirektion Rheinland-Pfalz-Saarland (implementation_anchor, 5).</t>
        </is>
      </c>
      <c r="AE260" s="5" t="inlineStr">
        <is>
          <t>Barmherzige Brüder Trier gGmbH | Bundesagentur für Arbeit, Regionaldirektion Rheinland-Pfalz-Saarland</t>
        </is>
      </c>
      <c r="AF260" s="5" t="inlineStr">
        <is>
          <t>pflege-fachkraefte-sozialwirtschaft-barmherzige-brüder-trier-ggmbh-bundesagentur-für-arbeit-reg</t>
        </is>
      </c>
    </row>
    <row r="261">
      <c r="A261" s="5" t="inlineStr">
        <is>
          <t>C0260</t>
        </is>
      </c>
      <c r="B261" s="5" t="inlineStr">
        <is>
          <t>x_0260</t>
        </is>
      </c>
      <c r="C261" s="5" t="n">
        <v>0</v>
      </c>
      <c r="D261" s="5" t="inlineStr">
        <is>
          <t>Barmherzige Brüder Trier gGmbH</t>
        </is>
      </c>
      <c r="E261" s="5" t="inlineStr">
        <is>
          <t>Caritasverband für die Diözese Speyer e.V.</t>
        </is>
      </c>
      <c r="F261" s="5" t="n">
        <v>5</v>
      </c>
      <c r="G261" s="5" t="n">
        <v>14</v>
      </c>
      <c r="H261" s="5" t="inlineStr">
        <is>
          <t>context_actor</t>
        </is>
      </c>
      <c r="I261" t="inlineStr">
        <is>
          <t>health_social_anchor</t>
        </is>
      </c>
      <c r="J261" s="5" t="inlineStr">
        <is>
          <t>implementation_anchor</t>
        </is>
      </c>
      <c r="K261" t="inlineStr">
        <is>
          <t>health_social_anchor</t>
        </is>
      </c>
      <c r="L261" s="5" t="inlineStr">
        <is>
          <t>gesellschaft</t>
        </is>
      </c>
      <c r="M261" s="5" t="inlineStr">
        <is>
          <t>pflege_fachkraefte_sozialwirtschaft</t>
        </is>
      </c>
      <c r="N261" s="5" t="inlineStr">
        <is>
          <t>Pflege, Fachkräfte und Sozialwirtschaft</t>
        </is>
      </c>
      <c r="O261" s="5" t="n">
        <v>5</v>
      </c>
      <c r="P261" s="5" t="n">
        <v>5</v>
      </c>
      <c r="Q261" s="5" t="n">
        <v>14</v>
      </c>
      <c r="R261" s="5" t="n">
        <v>4</v>
      </c>
      <c r="S261" s="5" t="n">
        <v>0</v>
      </c>
      <c r="T261" s="5" t="n">
        <v>0</v>
      </c>
      <c r="U261" s="5" t="n">
        <v>2</v>
      </c>
      <c r="V261" s="5" t="n">
        <v>6</v>
      </c>
      <c r="W261" s="5" t="n">
        <v>6</v>
      </c>
      <c r="X261" s="5" t="n">
        <v>0</v>
      </c>
      <c r="Y261" s="5" t="n">
        <v>0</v>
      </c>
      <c r="Z261" s="5" t="n">
        <v>0</v>
      </c>
      <c r="AA261" s="5" t="n">
        <v>0</v>
      </c>
      <c r="AB261" s="5" t="n">
        <v>31.293646</v>
      </c>
      <c r="AC261" s="5" t="inlineStr">
        <is>
          <t>Wie sichern Pflege- und Sozialträger Personal, Qualität und Versorgung in einer alternden Gesellschaft?</t>
        </is>
      </c>
      <c r="AD261" s="5" t="inlineStr">
        <is>
          <t>Pflege, Fachkräfte und Sozialwirtschaft: Barmherzige Brüder Trier gGmbH (context_actor, 5) + Caritasverband für die Diözese Speyer e.V. (implementation_anchor, 5).</t>
        </is>
      </c>
      <c r="AE261" s="5" t="inlineStr">
        <is>
          <t>Barmherzige Brüder Trier gGmbH | Caritasverband für die Diözese Speyer e.V.</t>
        </is>
      </c>
      <c r="AF261" s="5" t="inlineStr">
        <is>
          <t>pflege-fachkraefte-sozialwirtschaft-barmherzige-brüder-trier-ggmbh-caritasverband-für-die-diöze</t>
        </is>
      </c>
    </row>
    <row r="262">
      <c r="A262" s="5" t="inlineStr">
        <is>
          <t>C0261</t>
        </is>
      </c>
      <c r="B262" s="5" t="inlineStr">
        <is>
          <t>x_0261</t>
        </is>
      </c>
      <c r="C262" s="5" t="n">
        <v>0</v>
      </c>
      <c r="D262" s="5" t="inlineStr">
        <is>
          <t>Bundesagentur für Arbeit, Regionaldirektion Rheinland-Pfalz-Saarland</t>
        </is>
      </c>
      <c r="E262" s="5" t="inlineStr">
        <is>
          <t>in.betrieb gGmbH</t>
        </is>
      </c>
      <c r="F262" s="5" t="n">
        <v>13</v>
      </c>
      <c r="G262" s="5" t="n">
        <v>43</v>
      </c>
      <c r="H262" s="5" t="inlineStr">
        <is>
          <t>implementation_anchor</t>
        </is>
      </c>
      <c r="I262" t="inlineStr">
        <is>
          <t>public_policy_anchor</t>
        </is>
      </c>
      <c r="J262" s="5" t="inlineStr">
        <is>
          <t>context_actor</t>
        </is>
      </c>
      <c r="K262" t="inlineStr">
        <is>
          <t>health_social_anchor</t>
        </is>
      </c>
      <c r="L262" s="5" t="inlineStr">
        <is>
          <t>gesellschaft</t>
        </is>
      </c>
      <c r="M262" s="5" t="inlineStr">
        <is>
          <t>pflege_fachkraefte_sozialwirtschaft</t>
        </is>
      </c>
      <c r="N262" s="5" t="inlineStr">
        <is>
          <t>Pflege, Fachkräfte und Sozialwirtschaft</t>
        </is>
      </c>
      <c r="O262" s="5" t="n">
        <v>5</v>
      </c>
      <c r="P262" s="5" t="n">
        <v>5</v>
      </c>
      <c r="Q262" s="5" t="n">
        <v>14</v>
      </c>
      <c r="R262" s="5" t="n">
        <v>4</v>
      </c>
      <c r="S262" s="5" t="n">
        <v>0</v>
      </c>
      <c r="T262" s="5" t="n">
        <v>0</v>
      </c>
      <c r="U262" s="5" t="n">
        <v>2</v>
      </c>
      <c r="V262" s="5" t="n">
        <v>6</v>
      </c>
      <c r="W262" s="5" t="n">
        <v>6</v>
      </c>
      <c r="X262" s="5" t="n">
        <v>0</v>
      </c>
      <c r="Y262" s="5" t="n">
        <v>0</v>
      </c>
      <c r="Z262" s="5" t="n">
        <v>0</v>
      </c>
      <c r="AA262" s="5" t="n">
        <v>0</v>
      </c>
      <c r="AB262" s="5" t="n">
        <v>38.326733</v>
      </c>
      <c r="AC262" s="5" t="inlineStr">
        <is>
          <t>Wie sichern Pflege- und Sozialträger Personal, Qualität und Versorgung in einer alternden Gesellschaft?</t>
        </is>
      </c>
      <c r="AD262" s="5" t="inlineStr">
        <is>
          <t>Pflege, Fachkräfte und Sozialwirtschaft: Bundesagentur für Arbeit, Regionaldirektion Rheinland-Pfalz-Saarland (implementation_anchor, 5) + in.betrieb gGmbH (context_actor, 5).</t>
        </is>
      </c>
      <c r="AE262" s="5" t="inlineStr">
        <is>
          <t>Bundesagentur für Arbeit, Regionaldirektion Rheinland-Pfalz-Saarland | in.betrieb gGmbH</t>
        </is>
      </c>
      <c r="AF262" s="5" t="inlineStr">
        <is>
          <t>pflege-fachkraefte-sozialwirtschaft-bundesagentur-für-arbeit-regionaldirektion-rheinland-pfalz-</t>
        </is>
      </c>
    </row>
    <row r="263">
      <c r="A263" s="5" t="inlineStr">
        <is>
          <t>C0262</t>
        </is>
      </c>
      <c r="B263" s="5" t="inlineStr">
        <is>
          <t>x_0262</t>
        </is>
      </c>
      <c r="C263" s="5" t="n">
        <v>0</v>
      </c>
      <c r="D263" s="5" t="inlineStr">
        <is>
          <t>Caritasverband für die Diözese Speyer e.V.</t>
        </is>
      </c>
      <c r="E263" s="5" t="inlineStr">
        <is>
          <t>in.betrieb gGmbH</t>
        </is>
      </c>
      <c r="F263" s="5" t="n">
        <v>14</v>
      </c>
      <c r="G263" s="5" t="n">
        <v>43</v>
      </c>
      <c r="H263" s="5" t="inlineStr">
        <is>
          <t>implementation_anchor</t>
        </is>
      </c>
      <c r="I263" t="inlineStr">
        <is>
          <t>health_social_anchor</t>
        </is>
      </c>
      <c r="J263" s="5" t="inlineStr">
        <is>
          <t>context_actor</t>
        </is>
      </c>
      <c r="K263" t="inlineStr">
        <is>
          <t>health_social_anchor</t>
        </is>
      </c>
      <c r="L263" s="5" t="inlineStr">
        <is>
          <t>gesellschaft</t>
        </is>
      </c>
      <c r="M263" s="5" t="inlineStr">
        <is>
          <t>pflege_fachkraefte_sozialwirtschaft</t>
        </is>
      </c>
      <c r="N263" s="5" t="inlineStr">
        <is>
          <t>Pflege, Fachkräfte und Sozialwirtschaft</t>
        </is>
      </c>
      <c r="O263" s="5" t="n">
        <v>5</v>
      </c>
      <c r="P263" s="5" t="n">
        <v>5</v>
      </c>
      <c r="Q263" s="5" t="n">
        <v>14</v>
      </c>
      <c r="R263" s="5" t="n">
        <v>4</v>
      </c>
      <c r="S263" s="5" t="n">
        <v>0</v>
      </c>
      <c r="T263" s="5" t="n">
        <v>0</v>
      </c>
      <c r="U263" s="5" t="n">
        <v>2</v>
      </c>
      <c r="V263" s="5" t="n">
        <v>6</v>
      </c>
      <c r="W263" s="5" t="n">
        <v>6</v>
      </c>
      <c r="X263" s="5" t="n">
        <v>0</v>
      </c>
      <c r="Y263" s="5" t="n">
        <v>0</v>
      </c>
      <c r="Z263" s="5" t="n">
        <v>0</v>
      </c>
      <c r="AA263" s="5" t="n">
        <v>0</v>
      </c>
      <c r="AB263" s="5" t="n">
        <v>31.293646</v>
      </c>
      <c r="AC263" s="5" t="inlineStr">
        <is>
          <t>Wie sichern Pflege- und Sozialträger Personal, Qualität und Versorgung in einer alternden Gesellschaft?</t>
        </is>
      </c>
      <c r="AD263" s="5" t="inlineStr">
        <is>
          <t>Pflege, Fachkräfte und Sozialwirtschaft: Caritasverband für die Diözese Speyer e.V. (implementation_anchor, 5) + in.betrieb gGmbH (context_actor, 5).</t>
        </is>
      </c>
      <c r="AE263" s="5" t="inlineStr">
        <is>
          <t>Caritasverband für die Diözese Speyer e.V. | in.betrieb gGmbH</t>
        </is>
      </c>
      <c r="AF263" s="5" t="inlineStr">
        <is>
          <t>pflege-fachkraefte-sozialwirtschaft-caritasverband-für-die-diözese-speyer-e-v-in-betrieb-ggmbh</t>
        </is>
      </c>
    </row>
    <row r="264">
      <c r="A264" s="5" t="inlineStr">
        <is>
          <t>C0263</t>
        </is>
      </c>
      <c r="B264" s="5" t="inlineStr">
        <is>
          <t>x_0263</t>
        </is>
      </c>
      <c r="C264" s="5" t="n">
        <v>0</v>
      </c>
      <c r="D264" s="5" t="inlineStr">
        <is>
          <t>Duale Hochschule Rheinland-Pfalz</t>
        </is>
      </c>
      <c r="E264" s="5" t="inlineStr">
        <is>
          <t>LandesPsychotherapeutenKammer Rheinland-Pfalz</t>
        </is>
      </c>
      <c r="F264" s="5" t="n">
        <v>21</v>
      </c>
      <c r="G264" s="5" t="n">
        <v>61</v>
      </c>
      <c r="H264" s="5" t="inlineStr">
        <is>
          <t>academic_support</t>
        </is>
      </c>
      <c r="I264" t="inlineStr">
        <is>
          <t>university_applied_sciences</t>
        </is>
      </c>
      <c r="J264" s="5" t="inlineStr">
        <is>
          <t>implementation_anchor</t>
        </is>
      </c>
      <c r="K264" t="inlineStr">
        <is>
          <t>health_social_anchor</t>
        </is>
      </c>
      <c r="L264" s="5" t="inlineStr">
        <is>
          <t>gesellschaft</t>
        </is>
      </c>
      <c r="M264" s="5" t="inlineStr">
        <is>
          <t>pflege_fachkraefte_sozialwirtschaft</t>
        </is>
      </c>
      <c r="N264" s="5" t="inlineStr">
        <is>
          <t>Pflege, Fachkräfte und Sozialwirtschaft</t>
        </is>
      </c>
      <c r="O264" s="5" t="n">
        <v>4</v>
      </c>
      <c r="P264" s="5" t="n">
        <v>4</v>
      </c>
      <c r="Q264" s="5" t="n">
        <v>12</v>
      </c>
      <c r="R264" s="5" t="n">
        <v>4</v>
      </c>
      <c r="S264" s="5" t="n">
        <v>0</v>
      </c>
      <c r="T264" s="5" t="n">
        <v>0</v>
      </c>
      <c r="U264" s="5" t="n">
        <v>2</v>
      </c>
      <c r="V264" s="5" t="n">
        <v>7</v>
      </c>
      <c r="W264" s="5" t="n">
        <v>7</v>
      </c>
      <c r="X264" s="5" t="n">
        <v>0</v>
      </c>
      <c r="Y264" s="5" t="n">
        <v>0</v>
      </c>
      <c r="Z264" s="5" t="n">
        <v>0</v>
      </c>
      <c r="AA264" s="5" t="n">
        <v>0</v>
      </c>
      <c r="AB264" s="5" t="n">
        <v>33.914618</v>
      </c>
      <c r="AC264" s="5" t="inlineStr">
        <is>
          <t>Wie sichern Pflege- und Sozialträger Personal, Qualität und Versorgung in einer alternden Gesellschaft?</t>
        </is>
      </c>
      <c r="AD264" s="5" t="inlineStr">
        <is>
          <t>Pflege, Fachkräfte und Sozialwirtschaft: Duale Hochschule Rheinland-Pfalz (academic_support, 4) + LandesPsychotherapeutenKammer Rheinland-Pfalz (implementation_anchor, 4).</t>
        </is>
      </c>
      <c r="AE264" s="5" t="inlineStr">
        <is>
          <t>Duale Hochschule Rheinland-Pfalz | LandesPsychotherapeutenKammer Rheinland-Pfalz</t>
        </is>
      </c>
      <c r="AF264" s="5" t="inlineStr">
        <is>
          <t>pflege-fachkraefte-sozialwirtschaft-duale-hochschule-rheinland-pfalz-landespsychotherapeutenkam</t>
        </is>
      </c>
    </row>
    <row r="265">
      <c r="A265" s="5" t="inlineStr">
        <is>
          <t>C0264</t>
        </is>
      </c>
      <c r="B265" s="5" t="inlineStr">
        <is>
          <t>x_0264</t>
        </is>
      </c>
      <c r="C265" s="5" t="n">
        <v>0</v>
      </c>
      <c r="D265" s="5" t="inlineStr">
        <is>
          <t>Duale Hochschule Rheinland-Pfalz</t>
        </is>
      </c>
      <c r="E265" s="5" t="inlineStr">
        <is>
          <t>Landesärztekammer Rheinland-Pfalz</t>
        </is>
      </c>
      <c r="F265" s="5" t="n">
        <v>21</v>
      </c>
      <c r="G265" s="5" t="n">
        <v>62</v>
      </c>
      <c r="H265" s="5" t="inlineStr">
        <is>
          <t>academic_support</t>
        </is>
      </c>
      <c r="I265" t="inlineStr">
        <is>
          <t>university_applied_sciences</t>
        </is>
      </c>
      <c r="J265" s="5" t="inlineStr">
        <is>
          <t>implementation_anchor</t>
        </is>
      </c>
      <c r="K265" t="inlineStr">
        <is>
          <t>health_social_anchor</t>
        </is>
      </c>
      <c r="L265" s="5" t="inlineStr">
        <is>
          <t>gesellschaft</t>
        </is>
      </c>
      <c r="M265" s="5" t="inlineStr">
        <is>
          <t>pflege_fachkraefte_sozialwirtschaft</t>
        </is>
      </c>
      <c r="N265" s="5" t="inlineStr">
        <is>
          <t>Pflege, Fachkräfte und Sozialwirtschaft</t>
        </is>
      </c>
      <c r="O265" s="5" t="n">
        <v>4</v>
      </c>
      <c r="P265" s="5" t="n">
        <v>4</v>
      </c>
      <c r="Q265" s="5" t="n">
        <v>12</v>
      </c>
      <c r="R265" s="5" t="n">
        <v>4</v>
      </c>
      <c r="S265" s="5" t="n">
        <v>0</v>
      </c>
      <c r="T265" s="5" t="n">
        <v>0</v>
      </c>
      <c r="U265" s="5" t="n">
        <v>2</v>
      </c>
      <c r="V265" s="5" t="n">
        <v>7</v>
      </c>
      <c r="W265" s="5" t="n">
        <v>7</v>
      </c>
      <c r="X265" s="5" t="n">
        <v>0</v>
      </c>
      <c r="Y265" s="5" t="n">
        <v>0</v>
      </c>
      <c r="Z265" s="5" t="n">
        <v>0</v>
      </c>
      <c r="AA265" s="5" t="n">
        <v>0</v>
      </c>
      <c r="AB265" s="5" t="n">
        <v>33.914618</v>
      </c>
      <c r="AC265" s="5" t="inlineStr">
        <is>
          <t>Wie sichern Pflege- und Sozialträger Personal, Qualität und Versorgung in einer alternden Gesellschaft?</t>
        </is>
      </c>
      <c r="AD265" s="5" t="inlineStr">
        <is>
          <t>Pflege, Fachkräfte und Sozialwirtschaft: Duale Hochschule Rheinland-Pfalz (academic_support, 4) + Landesärztekammer Rheinland-Pfalz (implementation_anchor, 4).</t>
        </is>
      </c>
      <c r="AE265" s="5" t="inlineStr">
        <is>
          <t>Duale Hochschule Rheinland-Pfalz | Landesärztekammer Rheinland-Pfalz</t>
        </is>
      </c>
      <c r="AF265" s="5" t="inlineStr">
        <is>
          <t>pflege-fachkraefte-sozialwirtschaft-duale-hochschule-rheinland-pfalz-landesärztekammer-rheinlan</t>
        </is>
      </c>
    </row>
    <row r="266">
      <c r="A266" s="5" t="inlineStr">
        <is>
          <t>C0265</t>
        </is>
      </c>
      <c r="B266" s="5" t="inlineStr">
        <is>
          <t>x_0265</t>
        </is>
      </c>
      <c r="C266" s="5" t="n">
        <v>0</v>
      </c>
      <c r="D266" s="5" t="inlineStr">
        <is>
          <t>LandesPsychotherapeutenKammer Rheinland-Pfalz</t>
        </is>
      </c>
      <c r="E266" s="5" t="inlineStr">
        <is>
          <t>Vinzenz Pallotti University gGmbH</t>
        </is>
      </c>
      <c r="F266" s="5" t="n">
        <v>61</v>
      </c>
      <c r="G266" s="5" t="n">
        <v>97</v>
      </c>
      <c r="H266" s="5" t="inlineStr">
        <is>
          <t>implementation_anchor</t>
        </is>
      </c>
      <c r="I266" t="inlineStr">
        <is>
          <t>health_social_anchor</t>
        </is>
      </c>
      <c r="J266" s="5" t="inlineStr">
        <is>
          <t>academic_support</t>
        </is>
      </c>
      <c r="K266" t="inlineStr">
        <is>
          <t>university_research</t>
        </is>
      </c>
      <c r="L266" s="5" t="inlineStr">
        <is>
          <t>gesellschaft</t>
        </is>
      </c>
      <c r="M266" s="5" t="inlineStr">
        <is>
          <t>pflege_fachkraefte_sozialwirtschaft</t>
        </is>
      </c>
      <c r="N266" s="5" t="inlineStr">
        <is>
          <t>Pflege, Fachkräfte und Sozialwirtschaft</t>
        </is>
      </c>
      <c r="O266" s="5" t="n">
        <v>4</v>
      </c>
      <c r="P266" s="5" t="n">
        <v>4</v>
      </c>
      <c r="Q266" s="5" t="n">
        <v>12</v>
      </c>
      <c r="R266" s="5" t="n">
        <v>4</v>
      </c>
      <c r="S266" s="5" t="n">
        <v>0</v>
      </c>
      <c r="T266" s="5" t="n">
        <v>0</v>
      </c>
      <c r="U266" s="5" t="n">
        <v>2</v>
      </c>
      <c r="V266" s="5" t="n">
        <v>7</v>
      </c>
      <c r="W266" s="5" t="n">
        <v>7</v>
      </c>
      <c r="X266" s="5" t="n">
        <v>0</v>
      </c>
      <c r="Y266" s="5" t="n">
        <v>0</v>
      </c>
      <c r="Z266" s="5" t="n">
        <v>0</v>
      </c>
      <c r="AA266" s="5" t="n">
        <v>0</v>
      </c>
      <c r="AB266" s="5" t="n">
        <v>38.640892</v>
      </c>
      <c r="AC266" s="5" t="inlineStr">
        <is>
          <t>Wie sichern Pflege- und Sozialträger Personal, Qualität und Versorgung in einer alternden Gesellschaft?</t>
        </is>
      </c>
      <c r="AD266" s="5" t="inlineStr">
        <is>
          <t>Pflege, Fachkräfte und Sozialwirtschaft: LandesPsychotherapeutenKammer Rheinland-Pfalz (implementation_anchor, 4) + Vinzenz Pallotti University gGmbH (academic_support, 4).</t>
        </is>
      </c>
      <c r="AE266" s="5" t="inlineStr">
        <is>
          <t>LandesPsychotherapeutenKammer Rheinland-Pfalz | Vinzenz Pallotti University gGmbH</t>
        </is>
      </c>
      <c r="AF266" s="5" t="inlineStr">
        <is>
          <t>pflege-fachkraefte-sozialwirtschaft-landespsychotherapeutenkammer-rheinland-pfalz-vinzenz-pallo</t>
        </is>
      </c>
    </row>
    <row r="267">
      <c r="A267" s="5" t="inlineStr">
        <is>
          <t>C0266</t>
        </is>
      </c>
      <c r="B267" s="5" t="inlineStr">
        <is>
          <t>x_0266</t>
        </is>
      </c>
      <c r="C267" s="5" t="n">
        <v>0</v>
      </c>
      <c r="D267" s="5" t="inlineStr">
        <is>
          <t>Landesärztekammer Rheinland-Pfalz</t>
        </is>
      </c>
      <c r="E267" s="5" t="inlineStr">
        <is>
          <t>Vinzenz Pallotti University gGmbH</t>
        </is>
      </c>
      <c r="F267" s="5" t="n">
        <v>62</v>
      </c>
      <c r="G267" s="5" t="n">
        <v>97</v>
      </c>
      <c r="H267" s="5" t="inlineStr">
        <is>
          <t>implementation_anchor</t>
        </is>
      </c>
      <c r="I267" t="inlineStr">
        <is>
          <t>health_social_anchor</t>
        </is>
      </c>
      <c r="J267" s="5" t="inlineStr">
        <is>
          <t>academic_support</t>
        </is>
      </c>
      <c r="K267" t="inlineStr">
        <is>
          <t>university_research</t>
        </is>
      </c>
      <c r="L267" s="5" t="inlineStr">
        <is>
          <t>gesellschaft</t>
        </is>
      </c>
      <c r="M267" s="5" t="inlineStr">
        <is>
          <t>pflege_fachkraefte_sozialwirtschaft</t>
        </is>
      </c>
      <c r="N267" s="5" t="inlineStr">
        <is>
          <t>Pflege, Fachkräfte und Sozialwirtschaft</t>
        </is>
      </c>
      <c r="O267" s="5" t="n">
        <v>4</v>
      </c>
      <c r="P267" s="5" t="n">
        <v>4</v>
      </c>
      <c r="Q267" s="5" t="n">
        <v>12</v>
      </c>
      <c r="R267" s="5" t="n">
        <v>4</v>
      </c>
      <c r="S267" s="5" t="n">
        <v>0</v>
      </c>
      <c r="T267" s="5" t="n">
        <v>0</v>
      </c>
      <c r="U267" s="5" t="n">
        <v>2</v>
      </c>
      <c r="V267" s="5" t="n">
        <v>7</v>
      </c>
      <c r="W267" s="5" t="n">
        <v>7</v>
      </c>
      <c r="X267" s="5" t="n">
        <v>0</v>
      </c>
      <c r="Y267" s="5" t="n">
        <v>0</v>
      </c>
      <c r="Z267" s="5" t="n">
        <v>0</v>
      </c>
      <c r="AA267" s="5" t="n">
        <v>0</v>
      </c>
      <c r="AB267" s="5" t="n">
        <v>38.640892</v>
      </c>
      <c r="AC267" s="5" t="inlineStr">
        <is>
          <t>Wie sichern Pflege- und Sozialträger Personal, Qualität und Versorgung in einer alternden Gesellschaft?</t>
        </is>
      </c>
      <c r="AD267" s="5" t="inlineStr">
        <is>
          <t>Pflege, Fachkräfte und Sozialwirtschaft: Landesärztekammer Rheinland-Pfalz (implementation_anchor, 4) + Vinzenz Pallotti University gGmbH (academic_support, 4).</t>
        </is>
      </c>
      <c r="AE267" s="5" t="inlineStr">
        <is>
          <t>Landesärztekammer Rheinland-Pfalz | Vinzenz Pallotti University gGmbH</t>
        </is>
      </c>
      <c r="AF267" s="5" t="inlineStr">
        <is>
          <t>pflege-fachkraefte-sozialwirtschaft-landesärztekammer-rheinland-pfalz-vinzenz-pallotti-universi</t>
        </is>
      </c>
    </row>
    <row r="268">
      <c r="A268" s="5" t="inlineStr">
        <is>
          <t>C0267</t>
        </is>
      </c>
      <c r="B268" s="5" t="inlineStr">
        <is>
          <t>x_0267</t>
        </is>
      </c>
      <c r="C268" s="5" t="n">
        <v>0</v>
      </c>
      <c r="D268" s="5" t="inlineStr">
        <is>
          <t>1. FSV Mainz 05 e.V.</t>
        </is>
      </c>
      <c r="E268" s="5" t="inlineStr">
        <is>
          <t>Erster FC Kaiserslautern GmbH &amp; Co. KGaA</t>
        </is>
      </c>
      <c r="F268" s="5" t="n">
        <v>1</v>
      </c>
      <c r="G268" s="5" t="n">
        <v>27</v>
      </c>
      <c r="H268" s="5" t="inlineStr">
        <is>
          <t>context_actor</t>
        </is>
      </c>
      <c r="I268" t="inlineStr">
        <is>
          <t>sports_regional_identity_anchor</t>
        </is>
      </c>
      <c r="J268" s="5" t="inlineStr">
        <is>
          <t>profit_anchor</t>
        </is>
      </c>
      <c r="K268" t="inlineStr">
        <is>
          <t>sports_regional_identity_anchor</t>
        </is>
      </c>
      <c r="L268" s="5" t="inlineStr">
        <is>
          <t>gesellschaft</t>
        </is>
      </c>
      <c r="M268" s="5" t="inlineStr">
        <is>
          <t>sport_region_identifikation</t>
        </is>
      </c>
      <c r="N268" s="5" t="inlineStr">
        <is>
          <t>Sport, Region und gesellschaftliche Identifikation</t>
        </is>
      </c>
      <c r="O268" s="5" t="n">
        <v>5</v>
      </c>
      <c r="P268" s="5" t="n">
        <v>5</v>
      </c>
      <c r="Q268" s="5" t="n">
        <v>14</v>
      </c>
      <c r="R268" s="5" t="n">
        <v>4</v>
      </c>
      <c r="S268" s="5" t="n">
        <v>0</v>
      </c>
      <c r="T268" s="5" t="n">
        <v>0</v>
      </c>
      <c r="U268" s="5" t="n">
        <v>2</v>
      </c>
      <c r="V268" s="5" t="n">
        <v>6</v>
      </c>
      <c r="W268" s="5" t="n">
        <v>6</v>
      </c>
      <c r="X268" s="5" t="n">
        <v>0</v>
      </c>
      <c r="Y268" s="5" t="n">
        <v>0</v>
      </c>
      <c r="Z268" s="5" t="n">
        <v>0</v>
      </c>
      <c r="AA268" s="5" t="n">
        <v>0</v>
      </c>
      <c r="AB268" s="5" t="n">
        <v>49.981943</v>
      </c>
      <c r="AC268" s="5" t="inlineStr">
        <is>
          <t>Wie können Sportvereine als regionale Plattformen für Bildung, Teilhabe, Gesundheit oder Standortbindung wirken?</t>
        </is>
      </c>
      <c r="AD268" s="5" t="inlineStr">
        <is>
          <t>Sport, Region und gesellschaftliche Identifikation: 1. FSV Mainz 05 e.V. (context_actor, 5) + Erster FC Kaiserslautern GmbH &amp; Co. KGaA (profit_anchor, 5).</t>
        </is>
      </c>
      <c r="AE268" s="5" t="inlineStr">
        <is>
          <t>1. FSV Mainz 05 e.V. | Erster FC Kaiserslautern GmbH &amp; Co. KGaA</t>
        </is>
      </c>
      <c r="AF268" s="5" t="inlineStr">
        <is>
          <t>sport-region-identifikation-1-fsv-mainz-05-e-v-erster-fc-kaiserslautern-gmbh-co-kgaa</t>
        </is>
      </c>
    </row>
    <row r="269">
      <c r="A269" s="5" t="inlineStr">
        <is>
          <t>C0268</t>
        </is>
      </c>
      <c r="B269" s="5" t="inlineStr">
        <is>
          <t>x_0268</t>
        </is>
      </c>
      <c r="C269" s="5" t="n">
        <v>0</v>
      </c>
      <c r="D269" s="5" t="inlineStr">
        <is>
          <t>BASF SE</t>
        </is>
      </c>
      <c r="E269" s="5" t="inlineStr">
        <is>
          <t>Investitions- und Strukturbank Rheinland-Pfalz (ISB)</t>
        </is>
      </c>
      <c r="F269" s="5" t="n">
        <v>6</v>
      </c>
      <c r="G269" s="5" t="n">
        <v>45</v>
      </c>
      <c r="H269" s="5" t="inlineStr">
        <is>
          <t>profit_anchor</t>
        </is>
      </c>
      <c r="I269" t="inlineStr">
        <is>
          <t>industry_anchor</t>
        </is>
      </c>
      <c r="J269" s="5" t="inlineStr">
        <is>
          <t>context_actor</t>
        </is>
      </c>
      <c r="K269" t="inlineStr">
        <is>
          <t>bank_finance_anchor</t>
        </is>
      </c>
      <c r="L269" s="5" t="inlineStr">
        <is>
          <t>wirtschaft</t>
        </is>
      </c>
      <c r="M269" s="5" t="inlineStr">
        <is>
          <t>standort_investition_transformation</t>
        </is>
      </c>
      <c r="N269" s="5" t="inlineStr">
        <is>
          <t>Standort, Investition und industrielle Transformation</t>
        </is>
      </c>
      <c r="O269" s="5" t="n">
        <v>5</v>
      </c>
      <c r="P269" s="5" t="n">
        <v>5</v>
      </c>
      <c r="Q269" s="5" t="n">
        <v>14</v>
      </c>
      <c r="R269" s="5" t="n">
        <v>4</v>
      </c>
      <c r="S269" s="5" t="n">
        <v>0</v>
      </c>
      <c r="T269" s="5" t="n">
        <v>0</v>
      </c>
      <c r="U269" s="5" t="n">
        <v>2</v>
      </c>
      <c r="V269" s="5" t="n">
        <v>6</v>
      </c>
      <c r="W269" s="5" t="n">
        <v>6</v>
      </c>
      <c r="X269" s="5" t="n">
        <v>0</v>
      </c>
      <c r="Y269" s="5" t="n">
        <v>0</v>
      </c>
      <c r="Z269" s="5" t="n">
        <v>0</v>
      </c>
      <c r="AA269" s="5" t="n">
        <v>0</v>
      </c>
      <c r="AB269" s="5" t="n">
        <v>24.165959</v>
      </c>
      <c r="AC269" s="5" t="inlineStr">
        <is>
          <t>Welche Standortbedingungen entscheiden darüber, ob Unternehmen in Rheinland-Pfalz investieren, modernisieren oder verlagern?</t>
        </is>
      </c>
      <c r="AD269" s="5" t="inlineStr">
        <is>
          <t>Standort, Investition und industrielle Transformation: BASF SE (profit_anchor, 5) + Investitions- und Strukturbank Rheinland-Pfalz (ISB) (context_actor, 5).</t>
        </is>
      </c>
      <c r="AE269" s="5" t="inlineStr">
        <is>
          <t>BASF SE | Investitions- und Strukturbank Rheinland-Pfalz (ISB)</t>
        </is>
      </c>
      <c r="AF269" s="5" t="inlineStr">
        <is>
          <t>standort-investition-transformation-basf-se-investitions-und-strukturbank-rheinland-pfalz-isb</t>
        </is>
      </c>
    </row>
    <row r="270">
      <c r="A270" s="5" t="inlineStr">
        <is>
          <t>C0269</t>
        </is>
      </c>
      <c r="B270" s="5" t="inlineStr">
        <is>
          <t>x_0269</t>
        </is>
      </c>
      <c r="C270" s="5" t="n">
        <v>0</v>
      </c>
      <c r="D270" s="5" t="inlineStr">
        <is>
          <t>Boehringer Ingelheim Pharma GmbH &amp; Co. KG</t>
        </is>
      </c>
      <c r="E270" s="5" t="inlineStr">
        <is>
          <t>Investitions- und Strukturbank Rheinland-Pfalz (ISB)</t>
        </is>
      </c>
      <c r="F270" s="5" t="n">
        <v>11</v>
      </c>
      <c r="G270" s="5" t="n">
        <v>45</v>
      </c>
      <c r="H270" s="5" t="inlineStr">
        <is>
          <t>profit_anchor</t>
        </is>
      </c>
      <c r="I270" t="inlineStr">
        <is>
          <t>health_social_anchor</t>
        </is>
      </c>
      <c r="J270" s="5" t="inlineStr">
        <is>
          <t>context_actor</t>
        </is>
      </c>
      <c r="K270" t="inlineStr">
        <is>
          <t>bank_finance_anchor</t>
        </is>
      </c>
      <c r="L270" s="5" t="inlineStr">
        <is>
          <t>wirtschaft</t>
        </is>
      </c>
      <c r="M270" s="5" t="inlineStr">
        <is>
          <t>standort_investition_transformation</t>
        </is>
      </c>
      <c r="N270" s="5" t="inlineStr">
        <is>
          <t>Standort, Investition und industrielle Transformation</t>
        </is>
      </c>
      <c r="O270" s="5" t="n">
        <v>5</v>
      </c>
      <c r="P270" s="5" t="n">
        <v>5</v>
      </c>
      <c r="Q270" s="5" t="n">
        <v>14</v>
      </c>
      <c r="R270" s="5" t="n">
        <v>4</v>
      </c>
      <c r="S270" s="5" t="n">
        <v>0</v>
      </c>
      <c r="T270" s="5" t="n">
        <v>0</v>
      </c>
      <c r="U270" s="5" t="n">
        <v>2</v>
      </c>
      <c r="V270" s="5" t="n">
        <v>6</v>
      </c>
      <c r="W270" s="5" t="n">
        <v>6</v>
      </c>
      <c r="X270" s="5" t="n">
        <v>0</v>
      </c>
      <c r="Y270" s="5" t="n">
        <v>0</v>
      </c>
      <c r="Z270" s="5" t="n">
        <v>0</v>
      </c>
      <c r="AA270" s="5" t="n">
        <v>0</v>
      </c>
      <c r="AB270" s="5" t="n">
        <v>23.771156</v>
      </c>
      <c r="AC270" s="5" t="inlineStr">
        <is>
          <t>Welche Standortbedingungen entscheiden darüber, ob Unternehmen in Rheinland-Pfalz investieren, modernisieren oder verlagern?</t>
        </is>
      </c>
      <c r="AD270" s="5" t="inlineStr">
        <is>
          <t>Standort, Investition und industrielle Transformation: Boehringer Ingelheim Pharma GmbH &amp; Co. KG (profit_anchor, 5) + Investitions- und Strukturbank Rheinland-Pfalz (ISB) (context_actor, 5).</t>
        </is>
      </c>
      <c r="AE270" s="5" t="inlineStr">
        <is>
          <t>Boehringer Ingelheim Pharma GmbH &amp; Co. KG | Investitions- und Strukturbank Rheinland-Pfalz (ISB)</t>
        </is>
      </c>
      <c r="AF270" s="5" t="inlineStr">
        <is>
          <t>standort-investition-transformation-boehringer-ingelheim-pharma-gmbh-co-kg-investitions-und-str</t>
        </is>
      </c>
    </row>
    <row r="271">
      <c r="A271" s="5" t="inlineStr">
        <is>
          <t>C0270</t>
        </is>
      </c>
      <c r="B271" s="5" t="inlineStr">
        <is>
          <t>x_0270</t>
        </is>
      </c>
      <c r="C271" s="5" t="n">
        <v>0</v>
      </c>
      <c r="D271" s="5" t="inlineStr">
        <is>
          <t>Investitions- und Strukturbank Rheinland-Pfalz (ISB)</t>
        </is>
      </c>
      <c r="E271" s="5" t="inlineStr">
        <is>
          <t>Landesbank Baden-Württemberg (LBBW)</t>
        </is>
      </c>
      <c r="F271" s="5" t="n">
        <v>45</v>
      </c>
      <c r="G271" s="5" t="n">
        <v>60</v>
      </c>
      <c r="H271" s="5" t="inlineStr">
        <is>
          <t>context_actor</t>
        </is>
      </c>
      <c r="I271" t="inlineStr">
        <is>
          <t>bank_finance_anchor</t>
        </is>
      </c>
      <c r="J271" s="5" t="inlineStr">
        <is>
          <t>profit_anchor</t>
        </is>
      </c>
      <c r="K271" t="inlineStr">
        <is>
          <t>bank_finance_anchor</t>
        </is>
      </c>
      <c r="L271" s="5" t="inlineStr">
        <is>
          <t>wirtschaft</t>
        </is>
      </c>
      <c r="M271" s="5" t="inlineStr">
        <is>
          <t>standort_investition_transformation</t>
        </is>
      </c>
      <c r="N271" s="5" t="inlineStr">
        <is>
          <t>Standort, Investition und industrielle Transformation</t>
        </is>
      </c>
      <c r="O271" s="5" t="n">
        <v>5</v>
      </c>
      <c r="P271" s="5" t="n">
        <v>5</v>
      </c>
      <c r="Q271" s="5" t="n">
        <v>14</v>
      </c>
      <c r="R271" s="5" t="n">
        <v>4</v>
      </c>
      <c r="S271" s="5" t="n">
        <v>0</v>
      </c>
      <c r="T271" s="5" t="n">
        <v>0</v>
      </c>
      <c r="U271" s="5" t="n">
        <v>2</v>
      </c>
      <c r="V271" s="5" t="n">
        <v>6</v>
      </c>
      <c r="W271" s="5" t="n">
        <v>6</v>
      </c>
      <c r="X271" s="5" t="n">
        <v>0</v>
      </c>
      <c r="Y271" s="5" t="n">
        <v>0</v>
      </c>
      <c r="Z271" s="5" t="n">
        <v>0</v>
      </c>
      <c r="AA271" s="5" t="n">
        <v>0</v>
      </c>
      <c r="AB271" s="5" t="n">
        <v>26.716473</v>
      </c>
      <c r="AC271" s="5" t="inlineStr">
        <is>
          <t>Welche Standortbedingungen entscheiden darüber, ob Unternehmen in Rheinland-Pfalz investieren, modernisieren oder verlagern?</t>
        </is>
      </c>
      <c r="AD271" s="5" t="inlineStr">
        <is>
          <t>Standort, Investition und industrielle Transformation: Investitions- und Strukturbank Rheinland-Pfalz (ISB) (context_actor, 5) + Landesbank Baden-Württemberg (LBBW) (profit_anchor, 5).</t>
        </is>
      </c>
      <c r="AE271" s="5" t="inlineStr">
        <is>
          <t>Investitions- und Strukturbank Rheinland-Pfalz (ISB) | Landesbank Baden-Württemberg (LBBW)</t>
        </is>
      </c>
      <c r="AF271" s="5" t="inlineStr">
        <is>
          <t>standort-investition-transformation-investitions-und-strukturbank-rheinland-pfalz-isb-landesban</t>
        </is>
      </c>
    </row>
    <row r="272">
      <c r="A272" s="5" t="inlineStr">
        <is>
          <t>C0271</t>
        </is>
      </c>
      <c r="B272" s="5" t="inlineStr">
        <is>
          <t>x_0271</t>
        </is>
      </c>
      <c r="C272" s="5" t="n">
        <v>0</v>
      </c>
      <c r="D272" s="5" t="inlineStr">
        <is>
          <t>Investitions- und Strukturbank Rheinland-Pfalz (ISB)</t>
        </is>
      </c>
      <c r="E272" s="5" t="inlineStr">
        <is>
          <t>Ministerium für Wirtschaft, Verkehr, Landwirtschaft und Weinbau</t>
        </is>
      </c>
      <c r="F272" s="5" t="n">
        <v>45</v>
      </c>
      <c r="G272" s="5" t="n">
        <v>70</v>
      </c>
      <c r="H272" s="5" t="inlineStr">
        <is>
          <t>context_actor</t>
        </is>
      </c>
      <c r="I272" t="inlineStr">
        <is>
          <t>bank_finance_anchor</t>
        </is>
      </c>
      <c r="J272" s="5" t="inlineStr">
        <is>
          <t>profit_anchor</t>
        </is>
      </c>
      <c r="K272" t="inlineStr">
        <is>
          <t>public_policy_anchor</t>
        </is>
      </c>
      <c r="L272" s="5" t="inlineStr">
        <is>
          <t>wirtschaft</t>
        </is>
      </c>
      <c r="M272" s="5" t="inlineStr">
        <is>
          <t>standort_investition_transformation</t>
        </is>
      </c>
      <c r="N272" s="5" t="inlineStr">
        <is>
          <t>Standort, Investition und industrielle Transformation</t>
        </is>
      </c>
      <c r="O272" s="5" t="n">
        <v>5</v>
      </c>
      <c r="P272" s="5" t="n">
        <v>5</v>
      </c>
      <c r="Q272" s="5" t="n">
        <v>14</v>
      </c>
      <c r="R272" s="5" t="n">
        <v>4</v>
      </c>
      <c r="S272" s="5" t="n">
        <v>0</v>
      </c>
      <c r="T272" s="5" t="n">
        <v>0</v>
      </c>
      <c r="U272" s="5" t="n">
        <v>2</v>
      </c>
      <c r="V272" s="5" t="n">
        <v>6</v>
      </c>
      <c r="W272" s="5" t="n">
        <v>6</v>
      </c>
      <c r="X272" s="5" t="n">
        <v>0</v>
      </c>
      <c r="Y272" s="5" t="n">
        <v>0</v>
      </c>
      <c r="Z272" s="5" t="n">
        <v>0</v>
      </c>
      <c r="AA272" s="5" t="n">
        <v>0</v>
      </c>
      <c r="AB272" s="5" t="n">
        <v>27.807386</v>
      </c>
      <c r="AC272" s="5" t="inlineStr">
        <is>
          <t>Welche Standortbedingungen entscheiden darüber, ob Unternehmen in Rheinland-Pfalz investieren, modernisieren oder verlagern?</t>
        </is>
      </c>
      <c r="AD272" s="5" t="inlineStr">
        <is>
          <t>Standort, Investition und industrielle Transformation: Investitions- und Strukturbank Rheinland-Pfalz (ISB) (context_actor, 5) + Ministerium für Wirtschaft, Verkehr, Landwirtschaft und Weinbau (profit_anchor, 5).</t>
        </is>
      </c>
      <c r="AE272" s="5" t="inlineStr">
        <is>
          <t>Investitions- und Strukturbank Rheinland-Pfalz (ISB) | Ministerium für Wirtschaft, Verkehr, Landwirtschaft und Weinbau</t>
        </is>
      </c>
      <c r="AF272" s="5" t="inlineStr">
        <is>
          <t>standort-investition-transformation-investitions-und-strukturbank-rheinland-pfalz-isb-ministeri</t>
        </is>
      </c>
    </row>
    <row r="273">
      <c r="A273" s="5" t="inlineStr">
        <is>
          <t>C0272</t>
        </is>
      </c>
      <c r="B273" s="5" t="inlineStr">
        <is>
          <t>x_0272</t>
        </is>
      </c>
      <c r="C273" s="5" t="n">
        <v>0</v>
      </c>
      <c r="D273" s="5" t="inlineStr">
        <is>
          <t>Investitions- und Strukturbank Rheinland-Pfalz (ISB)</t>
        </is>
      </c>
      <c r="E273" s="5" t="inlineStr">
        <is>
          <t>SCHOTT AG</t>
        </is>
      </c>
      <c r="F273" s="5" t="n">
        <v>45</v>
      </c>
      <c r="G273" s="5" t="n">
        <v>78</v>
      </c>
      <c r="H273" s="5" t="inlineStr">
        <is>
          <t>context_actor</t>
        </is>
      </c>
      <c r="I273" t="inlineStr">
        <is>
          <t>bank_finance_anchor</t>
        </is>
      </c>
      <c r="J273" s="5" t="inlineStr">
        <is>
          <t>profit_anchor</t>
        </is>
      </c>
      <c r="K273" t="inlineStr">
        <is>
          <t>industry_anchor</t>
        </is>
      </c>
      <c r="L273" s="5" t="inlineStr">
        <is>
          <t>wirtschaft</t>
        </is>
      </c>
      <c r="M273" s="5" t="inlineStr">
        <is>
          <t>standort_investition_transformation</t>
        </is>
      </c>
      <c r="N273" s="5" t="inlineStr">
        <is>
          <t>Standort, Investition und industrielle Transformation</t>
        </is>
      </c>
      <c r="O273" s="5" t="n">
        <v>5</v>
      </c>
      <c r="P273" s="5" t="n">
        <v>5</v>
      </c>
      <c r="Q273" s="5" t="n">
        <v>14</v>
      </c>
      <c r="R273" s="5" t="n">
        <v>4</v>
      </c>
      <c r="S273" s="5" t="n">
        <v>0</v>
      </c>
      <c r="T273" s="5" t="n">
        <v>0</v>
      </c>
      <c r="U273" s="5" t="n">
        <v>2</v>
      </c>
      <c r="V273" s="5" t="n">
        <v>6</v>
      </c>
      <c r="W273" s="5" t="n">
        <v>6</v>
      </c>
      <c r="X273" s="5" t="n">
        <v>0</v>
      </c>
      <c r="Y273" s="5" t="n">
        <v>0</v>
      </c>
      <c r="Z273" s="5" t="n">
        <v>0</v>
      </c>
      <c r="AA273" s="5" t="n">
        <v>0</v>
      </c>
      <c r="AB273" s="5" t="n">
        <v>24.165959</v>
      </c>
      <c r="AC273" s="5" t="inlineStr">
        <is>
          <t>Welche Standortbedingungen entscheiden darüber, ob Unternehmen in Rheinland-Pfalz investieren, modernisieren oder verlagern?</t>
        </is>
      </c>
      <c r="AD273" s="5" t="inlineStr">
        <is>
          <t>Standort, Investition und industrielle Transformation: Investitions- und Strukturbank Rheinland-Pfalz (ISB) (context_actor, 5) + SCHOTT AG (profit_anchor, 5).</t>
        </is>
      </c>
      <c r="AE273" s="5" t="inlineStr">
        <is>
          <t>Investitions- und Strukturbank Rheinland-Pfalz (ISB) | SCHOTT AG</t>
        </is>
      </c>
      <c r="AF273" s="5" t="inlineStr">
        <is>
          <t>standort-investition-transformation-investitions-und-strukturbank-rheinland-pfalz-isb-schott-ag</t>
        </is>
      </c>
    </row>
    <row r="274">
      <c r="A274" s="5" t="inlineStr">
        <is>
          <t>C0273</t>
        </is>
      </c>
      <c r="B274" s="5" t="inlineStr">
        <is>
          <t>x_0273</t>
        </is>
      </c>
      <c r="C274" s="5" t="n">
        <v>0</v>
      </c>
      <c r="D274" s="5" t="inlineStr">
        <is>
          <t>Investitions- und Strukturbank Rheinland-Pfalz (ISB)</t>
        </is>
      </c>
      <c r="E274" s="5" t="inlineStr">
        <is>
          <t>thyssenkrupp Rasselstein GmbH</t>
        </is>
      </c>
      <c r="F274" s="5" t="n">
        <v>45</v>
      </c>
      <c r="G274" s="5" t="n">
        <v>89</v>
      </c>
      <c r="H274" s="5" t="inlineStr">
        <is>
          <t>context_actor</t>
        </is>
      </c>
      <c r="I274" t="inlineStr">
        <is>
          <t>bank_finance_anchor</t>
        </is>
      </c>
      <c r="J274" s="5" t="inlineStr">
        <is>
          <t>profit_anchor</t>
        </is>
      </c>
      <c r="K274" t="inlineStr">
        <is>
          <t>industry_anchor</t>
        </is>
      </c>
      <c r="L274" s="5" t="inlineStr">
        <is>
          <t>wirtschaft</t>
        </is>
      </c>
      <c r="M274" s="5" t="inlineStr">
        <is>
          <t>standort_investition_transformation</t>
        </is>
      </c>
      <c r="N274" s="5" t="inlineStr">
        <is>
          <t>Standort, Investition und industrielle Transformation</t>
        </is>
      </c>
      <c r="O274" s="5" t="n">
        <v>5</v>
      </c>
      <c r="P274" s="5" t="n">
        <v>5</v>
      </c>
      <c r="Q274" s="5" t="n">
        <v>14</v>
      </c>
      <c r="R274" s="5" t="n">
        <v>4</v>
      </c>
      <c r="S274" s="5" t="n">
        <v>0</v>
      </c>
      <c r="T274" s="5" t="n">
        <v>0</v>
      </c>
      <c r="U274" s="5" t="n">
        <v>2</v>
      </c>
      <c r="V274" s="5" t="n">
        <v>6</v>
      </c>
      <c r="W274" s="5" t="n">
        <v>6</v>
      </c>
      <c r="X274" s="5" t="n">
        <v>0</v>
      </c>
      <c r="Y274" s="5" t="n">
        <v>0</v>
      </c>
      <c r="Z274" s="5" t="n">
        <v>0</v>
      </c>
      <c r="AA274" s="5" t="n">
        <v>0</v>
      </c>
      <c r="AB274" s="5" t="n">
        <v>24.165959</v>
      </c>
      <c r="AC274" s="5" t="inlineStr">
        <is>
          <t>Welche Standortbedingungen entscheiden darüber, ob Unternehmen in Rheinland-Pfalz investieren, modernisieren oder verlagern?</t>
        </is>
      </c>
      <c r="AD274" s="5" t="inlineStr">
        <is>
          <t>Standort, Investition und industrielle Transformation: Investitions- und Strukturbank Rheinland-Pfalz (ISB) (context_actor, 5) + thyssenkrupp Rasselstein GmbH (profit_anchor, 5).</t>
        </is>
      </c>
      <c r="AE274" s="5" t="inlineStr">
        <is>
          <t>Investitions- und Strukturbank Rheinland-Pfalz (ISB) | thyssenkrupp Rasselstein GmbH</t>
        </is>
      </c>
      <c r="AF274" s="5" t="inlineStr">
        <is>
          <t>standort-investition-transformation-investitions-und-strukturbank-rheinland-pfalz-isb-thyssenkr</t>
        </is>
      </c>
    </row>
    <row r="275">
      <c r="A275" s="5" t="inlineStr">
        <is>
          <t>C0274</t>
        </is>
      </c>
      <c r="B275" s="5" t="inlineStr">
        <is>
          <t>x_0274</t>
        </is>
      </c>
      <c r="C275" s="5" t="n">
        <v>0</v>
      </c>
      <c r="D275" s="5" t="inlineStr">
        <is>
          <t>Bundesagentur für Arbeit, Regionaldirektion Rheinland-Pfalz-Saarland</t>
        </is>
      </c>
      <c r="E275" s="5" t="inlineStr">
        <is>
          <t>JOBS FOR MOMS UG</t>
        </is>
      </c>
      <c r="F275" s="5" t="n">
        <v>13</v>
      </c>
      <c r="G275" s="5" t="n">
        <v>48</v>
      </c>
      <c r="H275" s="5" t="inlineStr">
        <is>
          <t>implementation_anchor</t>
        </is>
      </c>
      <c r="I275" t="inlineStr">
        <is>
          <t>public_policy_anchor</t>
        </is>
      </c>
      <c r="J275" s="5" t="inlineStr">
        <is>
          <t>context_actor</t>
        </is>
      </c>
      <c r="K275" t="inlineStr">
        <is>
          <t>professional_services_anchor</t>
        </is>
      </c>
      <c r="L275" s="5" t="inlineStr">
        <is>
          <t>gesellschaft</t>
        </is>
      </c>
      <c r="M275" s="5" t="inlineStr">
        <is>
          <t>teilhabe_inklusion_arbeitsmarkt</t>
        </is>
      </c>
      <c r="N275" s="5" t="inlineStr">
        <is>
          <t>Teilhabe, Inklusion und Arbeitsmarkt</t>
        </is>
      </c>
      <c r="O275" s="5" t="n">
        <v>5</v>
      </c>
      <c r="P275" s="5" t="n">
        <v>5</v>
      </c>
      <c r="Q275" s="5" t="n">
        <v>14</v>
      </c>
      <c r="R275" s="5" t="n">
        <v>4</v>
      </c>
      <c r="S275" s="5" t="n">
        <v>0</v>
      </c>
      <c r="T275" s="5" t="n">
        <v>0</v>
      </c>
      <c r="U275" s="5" t="n">
        <v>2</v>
      </c>
      <c r="V275" s="5" t="n">
        <v>6</v>
      </c>
      <c r="W275" s="5" t="n">
        <v>6</v>
      </c>
      <c r="X275" s="5" t="n">
        <v>0</v>
      </c>
      <c r="Y275" s="5" t="n">
        <v>0</v>
      </c>
      <c r="Z275" s="5" t="n">
        <v>0</v>
      </c>
      <c r="AA275" s="5" t="n">
        <v>0</v>
      </c>
      <c r="AB275" s="5" t="n">
        <v>46.415979</v>
      </c>
      <c r="AC275" s="5" t="inlineStr">
        <is>
          <t>Wie können Menschen mit Familienpflichten, Behinderung oder schwierigen Erwerbsbiografien besser am Arbeitsmarkt teilnehmen?</t>
        </is>
      </c>
      <c r="AD275" s="5" t="inlineStr">
        <is>
          <t>Teilhabe, Inklusion und Arbeitsmarkt: Bundesagentur für Arbeit, Regionaldirektion Rheinland-Pfalz-Saarland (implementation_anchor, 5) + JOBS FOR MOMS UG (context_actor, 5).</t>
        </is>
      </c>
      <c r="AE275" s="5" t="inlineStr">
        <is>
          <t>Bundesagentur für Arbeit, Regionaldirektion Rheinland-Pfalz-Saarland | JOBS FOR MOMS UG</t>
        </is>
      </c>
      <c r="AF275" s="5" t="inlineStr">
        <is>
          <t>teilhabe-inklusion-arbeitsmarkt-bundesagentur-für-arbeit-regionaldirektion-rheinland-pfalz-saar</t>
        </is>
      </c>
    </row>
    <row r="276">
      <c r="A276" s="5" t="inlineStr">
        <is>
          <t>C0275</t>
        </is>
      </c>
      <c r="B276" s="5" t="inlineStr">
        <is>
          <t>x_0275</t>
        </is>
      </c>
      <c r="C276" s="5" t="n">
        <v>0</v>
      </c>
      <c r="D276" s="5" t="inlineStr">
        <is>
          <t>Bundesagentur für Arbeit, Regionaldirektion Rheinland-Pfalz-Saarland</t>
        </is>
      </c>
      <c r="E276" s="5" t="inlineStr">
        <is>
          <t>in.betrieb gGmbH</t>
        </is>
      </c>
      <c r="F276" s="5" t="n">
        <v>13</v>
      </c>
      <c r="G276" s="5" t="n">
        <v>43</v>
      </c>
      <c r="H276" s="5" t="inlineStr">
        <is>
          <t>implementation_anchor</t>
        </is>
      </c>
      <c r="I276" t="inlineStr">
        <is>
          <t>public_policy_anchor</t>
        </is>
      </c>
      <c r="J276" s="5" t="inlineStr">
        <is>
          <t>context_actor</t>
        </is>
      </c>
      <c r="K276" t="inlineStr">
        <is>
          <t>health_social_anchor</t>
        </is>
      </c>
      <c r="L276" s="5" t="inlineStr">
        <is>
          <t>gesellschaft</t>
        </is>
      </c>
      <c r="M276" s="5" t="inlineStr">
        <is>
          <t>teilhabe_inklusion_arbeitsmarkt</t>
        </is>
      </c>
      <c r="N276" s="5" t="inlineStr">
        <is>
          <t>Teilhabe, Inklusion und Arbeitsmarkt</t>
        </is>
      </c>
      <c r="O276" s="5" t="n">
        <v>5</v>
      </c>
      <c r="P276" s="5" t="n">
        <v>5</v>
      </c>
      <c r="Q276" s="5" t="n">
        <v>14</v>
      </c>
      <c r="R276" s="5" t="n">
        <v>4</v>
      </c>
      <c r="S276" s="5" t="n">
        <v>0</v>
      </c>
      <c r="T276" s="5" t="n">
        <v>0</v>
      </c>
      <c r="U276" s="5" t="n">
        <v>2</v>
      </c>
      <c r="V276" s="5" t="n">
        <v>6</v>
      </c>
      <c r="W276" s="5" t="n">
        <v>6</v>
      </c>
      <c r="X276" s="5" t="n">
        <v>0</v>
      </c>
      <c r="Y276" s="5" t="n">
        <v>0</v>
      </c>
      <c r="Z276" s="5" t="n">
        <v>0</v>
      </c>
      <c r="AA276" s="5" t="n">
        <v>0</v>
      </c>
      <c r="AB276" s="5" t="n">
        <v>38.326733</v>
      </c>
      <c r="AC276" s="5" t="inlineStr">
        <is>
          <t>Wie können Menschen mit Familienpflichten, Behinderung oder schwierigen Erwerbsbiografien besser am Arbeitsmarkt teilnehmen?</t>
        </is>
      </c>
      <c r="AD276" s="5" t="inlineStr">
        <is>
          <t>Teilhabe, Inklusion und Arbeitsmarkt: Bundesagentur für Arbeit, Regionaldirektion Rheinland-Pfalz-Saarland (implementation_anchor, 5) + in.betrieb gGmbH (context_actor, 5).</t>
        </is>
      </c>
      <c r="AE276" s="5" t="inlineStr">
        <is>
          <t>Bundesagentur für Arbeit, Regionaldirektion Rheinland-Pfalz-Saarland | in.betrieb gGmbH</t>
        </is>
      </c>
      <c r="AF276" s="5" t="inlineStr">
        <is>
          <t>teilhabe-inklusion-arbeitsmarkt-bundesagentur-für-arbeit-regionaldirektion-rheinland-pfalz-saar</t>
        </is>
      </c>
    </row>
    <row r="277">
      <c r="A277" s="5" t="inlineStr">
        <is>
          <t>C0276</t>
        </is>
      </c>
      <c r="B277" s="5" t="inlineStr">
        <is>
          <t>x_0276</t>
        </is>
      </c>
      <c r="C277" s="5" t="n">
        <v>0</v>
      </c>
      <c r="D277" s="5" t="inlineStr">
        <is>
          <t>Caritasverband für die Diözese Speyer e.V.</t>
        </is>
      </c>
      <c r="E277" s="5" t="inlineStr">
        <is>
          <t>JOBS FOR MOMS UG</t>
        </is>
      </c>
      <c r="F277" s="5" t="n">
        <v>14</v>
      </c>
      <c r="G277" s="5" t="n">
        <v>48</v>
      </c>
      <c r="H277" s="5" t="inlineStr">
        <is>
          <t>implementation_anchor</t>
        </is>
      </c>
      <c r="I277" t="inlineStr">
        <is>
          <t>health_social_anchor</t>
        </is>
      </c>
      <c r="J277" s="5" t="inlineStr">
        <is>
          <t>context_actor</t>
        </is>
      </c>
      <c r="K277" t="inlineStr">
        <is>
          <t>professional_services_anchor</t>
        </is>
      </c>
      <c r="L277" s="5" t="inlineStr">
        <is>
          <t>gesellschaft</t>
        </is>
      </c>
      <c r="M277" s="5" t="inlineStr">
        <is>
          <t>teilhabe_inklusion_arbeitsmarkt</t>
        </is>
      </c>
      <c r="N277" s="5" t="inlineStr">
        <is>
          <t>Teilhabe, Inklusion und Arbeitsmarkt</t>
        </is>
      </c>
      <c r="O277" s="5" t="n">
        <v>5</v>
      </c>
      <c r="P277" s="5" t="n">
        <v>5</v>
      </c>
      <c r="Q277" s="5" t="n">
        <v>14</v>
      </c>
      <c r="R277" s="5" t="n">
        <v>4</v>
      </c>
      <c r="S277" s="5" t="n">
        <v>0</v>
      </c>
      <c r="T277" s="5" t="n">
        <v>0</v>
      </c>
      <c r="U277" s="5" t="n">
        <v>2</v>
      </c>
      <c r="V277" s="5" t="n">
        <v>6</v>
      </c>
      <c r="W277" s="5" t="n">
        <v>6</v>
      </c>
      <c r="X277" s="5" t="n">
        <v>0</v>
      </c>
      <c r="Y277" s="5" t="n">
        <v>0</v>
      </c>
      <c r="Z277" s="5" t="n">
        <v>0</v>
      </c>
      <c r="AA277" s="5" t="n">
        <v>0</v>
      </c>
      <c r="AB277" s="5" t="n">
        <v>40.801923</v>
      </c>
      <c r="AC277" s="5" t="inlineStr">
        <is>
          <t>Wie können Menschen mit Familienpflichten, Behinderung oder schwierigen Erwerbsbiografien besser am Arbeitsmarkt teilnehmen?</t>
        </is>
      </c>
      <c r="AD277" s="5" t="inlineStr">
        <is>
          <t>Teilhabe, Inklusion und Arbeitsmarkt: Caritasverband für die Diözese Speyer e.V. (implementation_anchor, 5) + JOBS FOR MOMS UG (context_actor, 5).</t>
        </is>
      </c>
      <c r="AE277" s="5" t="inlineStr">
        <is>
          <t>Caritasverband für die Diözese Speyer e.V. | JOBS FOR MOMS UG</t>
        </is>
      </c>
      <c r="AF277" s="5" t="inlineStr">
        <is>
          <t>teilhabe-inklusion-arbeitsmarkt-caritasverband-für-die-diözese-speyer-e-v-jobs-for-moms-ug</t>
        </is>
      </c>
    </row>
    <row r="278">
      <c r="A278" s="5" t="inlineStr">
        <is>
          <t>C0277</t>
        </is>
      </c>
      <c r="B278" s="5" t="inlineStr">
        <is>
          <t>x_0277</t>
        </is>
      </c>
      <c r="C278" s="5" t="n">
        <v>0</v>
      </c>
      <c r="D278" s="5" t="inlineStr">
        <is>
          <t>Caritasverband für die Diözese Speyer e.V.</t>
        </is>
      </c>
      <c r="E278" s="5" t="inlineStr">
        <is>
          <t>in.betrieb gGmbH</t>
        </is>
      </c>
      <c r="F278" s="5" t="n">
        <v>14</v>
      </c>
      <c r="G278" s="5" t="n">
        <v>43</v>
      </c>
      <c r="H278" s="5" t="inlineStr">
        <is>
          <t>implementation_anchor</t>
        </is>
      </c>
      <c r="I278" t="inlineStr">
        <is>
          <t>health_social_anchor</t>
        </is>
      </c>
      <c r="J278" s="5" t="inlineStr">
        <is>
          <t>context_actor</t>
        </is>
      </c>
      <c r="K278" t="inlineStr">
        <is>
          <t>health_social_anchor</t>
        </is>
      </c>
      <c r="L278" s="5" t="inlineStr">
        <is>
          <t>gesellschaft</t>
        </is>
      </c>
      <c r="M278" s="5" t="inlineStr">
        <is>
          <t>teilhabe_inklusion_arbeitsmarkt</t>
        </is>
      </c>
      <c r="N278" s="5" t="inlineStr">
        <is>
          <t>Teilhabe, Inklusion und Arbeitsmarkt</t>
        </is>
      </c>
      <c r="O278" s="5" t="n">
        <v>5</v>
      </c>
      <c r="P278" s="5" t="n">
        <v>5</v>
      </c>
      <c r="Q278" s="5" t="n">
        <v>14</v>
      </c>
      <c r="R278" s="5" t="n">
        <v>4</v>
      </c>
      <c r="S278" s="5" t="n">
        <v>0</v>
      </c>
      <c r="T278" s="5" t="n">
        <v>0</v>
      </c>
      <c r="U278" s="5" t="n">
        <v>2</v>
      </c>
      <c r="V278" s="5" t="n">
        <v>6</v>
      </c>
      <c r="W278" s="5" t="n">
        <v>6</v>
      </c>
      <c r="X278" s="5" t="n">
        <v>0</v>
      </c>
      <c r="Y278" s="5" t="n">
        <v>0</v>
      </c>
      <c r="Z278" s="5" t="n">
        <v>0</v>
      </c>
      <c r="AA278" s="5" t="n">
        <v>0</v>
      </c>
      <c r="AB278" s="5" t="n">
        <v>31.293646</v>
      </c>
      <c r="AC278" s="5" t="inlineStr">
        <is>
          <t>Wie können Menschen mit Familienpflichten, Behinderung oder schwierigen Erwerbsbiografien besser am Arbeitsmarkt teilnehmen?</t>
        </is>
      </c>
      <c r="AD278" s="5" t="inlineStr">
        <is>
          <t>Teilhabe, Inklusion und Arbeitsmarkt: Caritasverband für die Diözese Speyer e.V. (implementation_anchor, 5) + in.betrieb gGmbH (context_actor, 5).</t>
        </is>
      </c>
      <c r="AE278" s="5" t="inlineStr">
        <is>
          <t>Caritasverband für die Diözese Speyer e.V. | in.betrieb gGmbH</t>
        </is>
      </c>
      <c r="AF278" s="5" t="inlineStr">
        <is>
          <t>teilhabe-inklusion-arbeitsmarkt-caritasverband-für-die-diözese-speyer-e-v-in-betrieb-ggmbh</t>
        </is>
      </c>
    </row>
    <row r="279">
      <c r="A279" s="5" t="inlineStr">
        <is>
          <t>C0278</t>
        </is>
      </c>
      <c r="B279" s="5" t="inlineStr">
        <is>
          <t>x_0278</t>
        </is>
      </c>
      <c r="C279" s="5" t="n">
        <v>0</v>
      </c>
      <c r="D279" s="5" t="inlineStr">
        <is>
          <t>Deutsche Universität für Verwaltungswissenschaften Speyer</t>
        </is>
      </c>
      <c r="E279" s="5" t="inlineStr">
        <is>
          <t>Empolis Information Management GmbH</t>
        </is>
      </c>
      <c r="F279" s="5" t="n">
        <v>19</v>
      </c>
      <c r="G279" s="5" t="n">
        <v>23</v>
      </c>
      <c r="H279" s="5" t="inlineStr">
        <is>
          <t>academic_support</t>
        </is>
      </c>
      <c r="I279" t="inlineStr">
        <is>
          <t>university_research</t>
        </is>
      </c>
      <c r="J279" s="5" t="inlineStr">
        <is>
          <t>profit_anchor</t>
        </is>
      </c>
      <c r="K279" t="inlineStr">
        <is>
          <t>technology_digital_anchor</t>
        </is>
      </c>
      <c r="L279" s="5" t="inlineStr">
        <is>
          <t>wissen</t>
        </is>
      </c>
      <c r="M279" s="5" t="inlineStr">
        <is>
          <t>verwaltungswissen_digitalisierung</t>
        </is>
      </c>
      <c r="N279" s="5" t="inlineStr">
        <is>
          <t>Verwaltungswissen und digitale Umsetzung</t>
        </is>
      </c>
      <c r="O279" s="5" t="n">
        <v>5</v>
      </c>
      <c r="P279" s="5" t="n">
        <v>5</v>
      </c>
      <c r="Q279" s="5" t="n">
        <v>14</v>
      </c>
      <c r="R279" s="5" t="n">
        <v>4</v>
      </c>
      <c r="S279" s="5" t="n">
        <v>0</v>
      </c>
      <c r="T279" s="5" t="n">
        <v>0</v>
      </c>
      <c r="U279" s="5" t="n">
        <v>2</v>
      </c>
      <c r="V279" s="5" t="n">
        <v>6</v>
      </c>
      <c r="W279" s="5" t="n">
        <v>6</v>
      </c>
      <c r="X279" s="5" t="n">
        <v>0</v>
      </c>
      <c r="Y279" s="5" t="n">
        <v>0</v>
      </c>
      <c r="Z279" s="5" t="n">
        <v>0</v>
      </c>
      <c r="AA279" s="5" t="n">
        <v>0</v>
      </c>
      <c r="AB279" s="5" t="n">
        <v>28.612779</v>
      </c>
      <c r="AC279" s="5" t="inlineStr">
        <is>
          <t>Wie wird Verwaltung bei Regulierung, Genehmigung, Digitalisierung und Umsetzung leistungsfähiger?</t>
        </is>
      </c>
      <c r="AD279" s="5" t="inlineStr">
        <is>
          <t>Verwaltungswissen und digitale Umsetzung: Deutsche Universität für Verwaltungswissenschaften Speyer (academic_support, 5) + Empolis Information Management GmbH (profit_anchor, 5).</t>
        </is>
      </c>
      <c r="AE279" s="5" t="inlineStr">
        <is>
          <t>Deutsche Universität für Verwaltungswissenschaften Speyer | Empolis Information Management GmbH</t>
        </is>
      </c>
      <c r="AF279" s="5" t="inlineStr">
        <is>
          <t>verwaltungswissen-digitalisierung-deutsche-universität-für-verwaltungswissenschaften-speyer-emp</t>
        </is>
      </c>
    </row>
    <row r="280">
      <c r="A280" s="5" t="inlineStr">
        <is>
          <t>C0279</t>
        </is>
      </c>
      <c r="B280" s="5" t="inlineStr">
        <is>
          <t>x_0279</t>
        </is>
      </c>
      <c r="C280" s="5" t="n">
        <v>0</v>
      </c>
      <c r="D280" s="5" t="inlineStr">
        <is>
          <t>Deutsche Universität für Verwaltungswissenschaften Speyer</t>
        </is>
      </c>
      <c r="E280" s="5" t="inlineStr">
        <is>
          <t>Ministerium für Wirtschaft, Verkehr, Landwirtschaft und Weinbau</t>
        </is>
      </c>
      <c r="F280" s="5" t="n">
        <v>19</v>
      </c>
      <c r="G280" s="5" t="n">
        <v>70</v>
      </c>
      <c r="H280" s="5" t="inlineStr">
        <is>
          <t>academic_support</t>
        </is>
      </c>
      <c r="I280" t="inlineStr">
        <is>
          <t>university_research</t>
        </is>
      </c>
      <c r="J280" s="5" t="inlineStr">
        <is>
          <t>profit_anchor</t>
        </is>
      </c>
      <c r="K280" t="inlineStr">
        <is>
          <t>public_policy_anchor</t>
        </is>
      </c>
      <c r="L280" s="5" t="inlineStr">
        <is>
          <t>wissen</t>
        </is>
      </c>
      <c r="M280" s="5" t="inlineStr">
        <is>
          <t>verwaltungswissen_digitalisierung</t>
        </is>
      </c>
      <c r="N280" s="5" t="inlineStr">
        <is>
          <t>Verwaltungswissen und digitale Umsetzung</t>
        </is>
      </c>
      <c r="O280" s="5" t="n">
        <v>5</v>
      </c>
      <c r="P280" s="5" t="n">
        <v>5</v>
      </c>
      <c r="Q280" s="5" t="n">
        <v>14</v>
      </c>
      <c r="R280" s="5" t="n">
        <v>4</v>
      </c>
      <c r="S280" s="5" t="n">
        <v>0</v>
      </c>
      <c r="T280" s="5" t="n">
        <v>0</v>
      </c>
      <c r="U280" s="5" t="n">
        <v>2</v>
      </c>
      <c r="V280" s="5" t="n">
        <v>6</v>
      </c>
      <c r="W280" s="5" t="n">
        <v>6</v>
      </c>
      <c r="X280" s="5" t="n">
        <v>0</v>
      </c>
      <c r="Y280" s="5" t="n">
        <v>0</v>
      </c>
      <c r="Z280" s="5" t="n">
        <v>0</v>
      </c>
      <c r="AA280" s="5" t="n">
        <v>0</v>
      </c>
      <c r="AB280" s="5" t="n">
        <v>31.587653</v>
      </c>
      <c r="AC280" s="5" t="inlineStr">
        <is>
          <t>Wie wird Verwaltung bei Regulierung, Genehmigung, Digitalisierung und Umsetzung leistungsfähiger?</t>
        </is>
      </c>
      <c r="AD280" s="5" t="inlineStr">
        <is>
          <t>Verwaltungswissen und digitale Umsetzung: Deutsche Universität für Verwaltungswissenschaften Speyer (academic_support, 5) + Ministerium für Wirtschaft, Verkehr, Landwirtschaft und Weinbau (profit_anchor, 5).</t>
        </is>
      </c>
      <c r="AE280" s="5" t="inlineStr">
        <is>
          <t>Deutsche Universität für Verwaltungswissenschaften Speyer | Ministerium für Wirtschaft, Verkehr, Landwirtschaft und Weinbau</t>
        </is>
      </c>
      <c r="AF280" s="5" t="inlineStr">
        <is>
          <t>verwaltungswissen-digitalisierung-deutsche-universität-für-verwaltungswissenschaften-speyer-min</t>
        </is>
      </c>
    </row>
    <row r="281">
      <c r="A281" s="5" t="inlineStr">
        <is>
          <t>C0280</t>
        </is>
      </c>
      <c r="B281" s="5" t="inlineStr">
        <is>
          <t>x_0280</t>
        </is>
      </c>
      <c r="C281" s="5" t="n">
        <v>0</v>
      </c>
      <c r="D281" s="5" t="inlineStr">
        <is>
          <t>Empolis Information Management GmbH</t>
        </is>
      </c>
      <c r="E281" s="5" t="inlineStr">
        <is>
          <t>Landkreistag Rheinland-Pfalz</t>
        </is>
      </c>
      <c r="F281" s="5" t="n">
        <v>23</v>
      </c>
      <c r="G281" s="5" t="n">
        <v>63</v>
      </c>
      <c r="H281" s="5" t="inlineStr">
        <is>
          <t>profit_anchor</t>
        </is>
      </c>
      <c r="I281" t="inlineStr">
        <is>
          <t>technology_digital_anchor</t>
        </is>
      </c>
      <c r="J281" s="5" t="inlineStr">
        <is>
          <t>context_actor</t>
        </is>
      </c>
      <c r="K281" t="inlineStr">
        <is>
          <t>public_policy_anchor</t>
        </is>
      </c>
      <c r="L281" s="5" t="inlineStr">
        <is>
          <t>wissen</t>
        </is>
      </c>
      <c r="M281" s="5" t="inlineStr">
        <is>
          <t>verwaltungswissen_digitalisierung</t>
        </is>
      </c>
      <c r="N281" s="5" t="inlineStr">
        <is>
          <t>Verwaltungswissen und digitale Umsetzung</t>
        </is>
      </c>
      <c r="O281" s="5" t="n">
        <v>5</v>
      </c>
      <c r="P281" s="5" t="n">
        <v>5</v>
      </c>
      <c r="Q281" s="5" t="n">
        <v>14</v>
      </c>
      <c r="R281" s="5" t="n">
        <v>4</v>
      </c>
      <c r="S281" s="5" t="n">
        <v>0</v>
      </c>
      <c r="T281" s="5" t="n">
        <v>0</v>
      </c>
      <c r="U281" s="5" t="n">
        <v>2</v>
      </c>
      <c r="V281" s="5" t="n">
        <v>6</v>
      </c>
      <c r="W281" s="5" t="n">
        <v>6</v>
      </c>
      <c r="X281" s="5" t="n">
        <v>0</v>
      </c>
      <c r="Y281" s="5" t="n">
        <v>0</v>
      </c>
      <c r="Z281" s="5" t="n">
        <v>0</v>
      </c>
      <c r="AA281" s="5" t="n">
        <v>0</v>
      </c>
      <c r="AB281" s="5" t="n">
        <v>26.342797</v>
      </c>
      <c r="AC281" s="5" t="inlineStr">
        <is>
          <t>Wie wird Verwaltung bei Regulierung, Genehmigung, Digitalisierung und Umsetzung leistungsfähiger?</t>
        </is>
      </c>
      <c r="AD281" s="5" t="inlineStr">
        <is>
          <t>Verwaltungswissen und digitale Umsetzung: Empolis Information Management GmbH (profit_anchor, 5) + Landkreistag Rheinland-Pfalz (context_actor, 5).</t>
        </is>
      </c>
      <c r="AE281" s="5" t="inlineStr">
        <is>
          <t>Empolis Information Management GmbH | Landkreistag Rheinland-Pfalz</t>
        </is>
      </c>
      <c r="AF281" s="5" t="inlineStr">
        <is>
          <t>verwaltungswissen-digitalisierung-empolis-information-management-gmbh-landkreistag-rheinland-pf</t>
        </is>
      </c>
    </row>
    <row r="282">
      <c r="A282" s="5" t="inlineStr">
        <is>
          <t>C0281</t>
        </is>
      </c>
      <c r="B282" s="5" t="inlineStr">
        <is>
          <t>x_0281</t>
        </is>
      </c>
      <c r="C282" s="5" t="n">
        <v>0</v>
      </c>
      <c r="D282" s="5" t="inlineStr">
        <is>
          <t>Empolis Information Management GmbH</t>
        </is>
      </c>
      <c r="E282" s="5" t="inlineStr">
        <is>
          <t>Staatskanzlei des Landes Rheinland-Pfalz</t>
        </is>
      </c>
      <c r="F282" s="5" t="n">
        <v>23</v>
      </c>
      <c r="G282" s="5" t="n">
        <v>83</v>
      </c>
      <c r="H282" s="5" t="inlineStr">
        <is>
          <t>profit_anchor</t>
        </is>
      </c>
      <c r="I282" t="inlineStr">
        <is>
          <t>technology_digital_anchor</t>
        </is>
      </c>
      <c r="J282" s="5" t="inlineStr">
        <is>
          <t>context_actor</t>
        </is>
      </c>
      <c r="K282" t="inlineStr">
        <is>
          <t>public_policy_anchor</t>
        </is>
      </c>
      <c r="L282" s="5" t="inlineStr">
        <is>
          <t>wissen</t>
        </is>
      </c>
      <c r="M282" s="5" t="inlineStr">
        <is>
          <t>verwaltungswissen_digitalisierung</t>
        </is>
      </c>
      <c r="N282" s="5" t="inlineStr">
        <is>
          <t>Verwaltungswissen und digitale Umsetzung</t>
        </is>
      </c>
      <c r="O282" s="5" t="n">
        <v>5</v>
      </c>
      <c r="P282" s="5" t="n">
        <v>5</v>
      </c>
      <c r="Q282" s="5" t="n">
        <v>14</v>
      </c>
      <c r="R282" s="5" t="n">
        <v>4</v>
      </c>
      <c r="S282" s="5" t="n">
        <v>0</v>
      </c>
      <c r="T282" s="5" t="n">
        <v>0</v>
      </c>
      <c r="U282" s="5" t="n">
        <v>2</v>
      </c>
      <c r="V282" s="5" t="n">
        <v>6</v>
      </c>
      <c r="W282" s="5" t="n">
        <v>6</v>
      </c>
      <c r="X282" s="5" t="n">
        <v>0</v>
      </c>
      <c r="Y282" s="5" t="n">
        <v>0</v>
      </c>
      <c r="Z282" s="5" t="n">
        <v>0</v>
      </c>
      <c r="AA282" s="5" t="n">
        <v>0</v>
      </c>
      <c r="AB282" s="5" t="n">
        <v>26.342797</v>
      </c>
      <c r="AC282" s="5" t="inlineStr">
        <is>
          <t>Wie wird Verwaltung bei Regulierung, Genehmigung, Digitalisierung und Umsetzung leistungsfähiger?</t>
        </is>
      </c>
      <c r="AD282" s="5" t="inlineStr">
        <is>
          <t>Verwaltungswissen und digitale Umsetzung: Empolis Information Management GmbH (profit_anchor, 5) + Staatskanzlei des Landes Rheinland-Pfalz (context_actor, 5).</t>
        </is>
      </c>
      <c r="AE282" s="5" t="inlineStr">
        <is>
          <t>Empolis Information Management GmbH | Staatskanzlei des Landes Rheinland-Pfalz</t>
        </is>
      </c>
      <c r="AF282" s="5" t="inlineStr">
        <is>
          <t>verwaltungswissen-digitalisierung-empolis-information-management-gmbh-staatskanzlei-des-landes-</t>
        </is>
      </c>
    </row>
    <row r="283">
      <c r="A283" s="5" t="inlineStr">
        <is>
          <t>C0282</t>
        </is>
      </c>
      <c r="B283" s="5" t="inlineStr">
        <is>
          <t>x_0282</t>
        </is>
      </c>
      <c r="C283" s="5" t="n">
        <v>0</v>
      </c>
      <c r="D283" s="5" t="inlineStr">
        <is>
          <t>Empolis Information Management GmbH</t>
        </is>
      </c>
      <c r="E283" s="5" t="inlineStr">
        <is>
          <t>Städtetag Rheinland-Pfalz</t>
        </is>
      </c>
      <c r="F283" s="5" t="n">
        <v>23</v>
      </c>
      <c r="G283" s="5" t="n">
        <v>85</v>
      </c>
      <c r="H283" s="5" t="inlineStr">
        <is>
          <t>profit_anchor</t>
        </is>
      </c>
      <c r="I283" t="inlineStr">
        <is>
          <t>technology_digital_anchor</t>
        </is>
      </c>
      <c r="J283" s="5" t="inlineStr">
        <is>
          <t>context_actor</t>
        </is>
      </c>
      <c r="K283" t="inlineStr">
        <is>
          <t>public_policy_anchor</t>
        </is>
      </c>
      <c r="L283" s="5" t="inlineStr">
        <is>
          <t>wissen</t>
        </is>
      </c>
      <c r="M283" s="5" t="inlineStr">
        <is>
          <t>verwaltungswissen_digitalisierung</t>
        </is>
      </c>
      <c r="N283" s="5" t="inlineStr">
        <is>
          <t>Verwaltungswissen und digitale Umsetzung</t>
        </is>
      </c>
      <c r="O283" s="5" t="n">
        <v>5</v>
      </c>
      <c r="P283" s="5" t="n">
        <v>5</v>
      </c>
      <c r="Q283" s="5" t="n">
        <v>14</v>
      </c>
      <c r="R283" s="5" t="n">
        <v>4</v>
      </c>
      <c r="S283" s="5" t="n">
        <v>0</v>
      </c>
      <c r="T283" s="5" t="n">
        <v>0</v>
      </c>
      <c r="U283" s="5" t="n">
        <v>2</v>
      </c>
      <c r="V283" s="5" t="n">
        <v>6</v>
      </c>
      <c r="W283" s="5" t="n">
        <v>6</v>
      </c>
      <c r="X283" s="5" t="n">
        <v>0</v>
      </c>
      <c r="Y283" s="5" t="n">
        <v>0</v>
      </c>
      <c r="Z283" s="5" t="n">
        <v>0</v>
      </c>
      <c r="AA283" s="5" t="n">
        <v>0</v>
      </c>
      <c r="AB283" s="5" t="n">
        <v>26.342797</v>
      </c>
      <c r="AC283" s="5" t="inlineStr">
        <is>
          <t>Wie wird Verwaltung bei Regulierung, Genehmigung, Digitalisierung und Umsetzung leistungsfähiger?</t>
        </is>
      </c>
      <c r="AD283" s="5" t="inlineStr">
        <is>
          <t>Verwaltungswissen und digitale Umsetzung: Empolis Information Management GmbH (profit_anchor, 5) + Städtetag Rheinland-Pfalz (context_actor, 5).</t>
        </is>
      </c>
      <c r="AE283" s="5" t="inlineStr">
        <is>
          <t>Empolis Information Management GmbH | Städtetag Rheinland-Pfalz</t>
        </is>
      </c>
      <c r="AF283" s="5" t="inlineStr">
        <is>
          <t>verwaltungswissen-digitalisierung-empolis-information-management-gmbh-städtetag-rheinland-pfalz</t>
        </is>
      </c>
    </row>
    <row r="284">
      <c r="A284" s="5" t="inlineStr">
        <is>
          <t>C0283</t>
        </is>
      </c>
      <c r="B284" s="5" t="inlineStr">
        <is>
          <t>x_0283</t>
        </is>
      </c>
      <c r="C284" s="5" t="n">
        <v>0</v>
      </c>
      <c r="D284" s="5" t="inlineStr">
        <is>
          <t>Landkreistag Rheinland-Pfalz</t>
        </is>
      </c>
      <c r="E284" s="5" t="inlineStr">
        <is>
          <t>Ministerium für Wirtschaft, Verkehr, Landwirtschaft und Weinbau</t>
        </is>
      </c>
      <c r="F284" s="5" t="n">
        <v>63</v>
      </c>
      <c r="G284" s="5" t="n">
        <v>70</v>
      </c>
      <c r="H284" s="5" t="inlineStr">
        <is>
          <t>context_actor</t>
        </is>
      </c>
      <c r="I284" t="inlineStr">
        <is>
          <t>public_policy_anchor</t>
        </is>
      </c>
      <c r="J284" s="5" t="inlineStr">
        <is>
          <t>profit_anchor</t>
        </is>
      </c>
      <c r="K284" t="inlineStr">
        <is>
          <t>public_policy_anchor</t>
        </is>
      </c>
      <c r="L284" s="5" t="inlineStr">
        <is>
          <t>wissen</t>
        </is>
      </c>
      <c r="M284" s="5" t="inlineStr">
        <is>
          <t>verwaltungswissen_digitalisierung</t>
        </is>
      </c>
      <c r="N284" s="5" t="inlineStr">
        <is>
          <t>Verwaltungswissen und digitale Umsetzung</t>
        </is>
      </c>
      <c r="O284" s="5" t="n">
        <v>5</v>
      </c>
      <c r="P284" s="5" t="n">
        <v>5</v>
      </c>
      <c r="Q284" s="5" t="n">
        <v>14</v>
      </c>
      <c r="R284" s="5" t="n">
        <v>4</v>
      </c>
      <c r="S284" s="5" t="n">
        <v>0</v>
      </c>
      <c r="T284" s="5" t="n">
        <v>0</v>
      </c>
      <c r="U284" s="5" t="n">
        <v>2</v>
      </c>
      <c r="V284" s="5" t="n">
        <v>6</v>
      </c>
      <c r="W284" s="5" t="n">
        <v>6</v>
      </c>
      <c r="X284" s="5" t="n">
        <v>0</v>
      </c>
      <c r="Y284" s="5" t="n">
        <v>0</v>
      </c>
      <c r="Z284" s="5" t="n">
        <v>0</v>
      </c>
      <c r="AA284" s="5" t="n">
        <v>0</v>
      </c>
      <c r="AB284" s="5" t="n">
        <v>28.857088</v>
      </c>
      <c r="AC284" s="5" t="inlineStr">
        <is>
          <t>Wie wird Verwaltung bei Regulierung, Genehmigung, Digitalisierung und Umsetzung leistungsfähiger?</t>
        </is>
      </c>
      <c r="AD284" s="5" t="inlineStr">
        <is>
          <t>Verwaltungswissen und digitale Umsetzung: Landkreistag Rheinland-Pfalz (context_actor, 5) + Ministerium für Wirtschaft, Verkehr, Landwirtschaft und Weinbau (profit_anchor, 5).</t>
        </is>
      </c>
      <c r="AE284" s="5" t="inlineStr">
        <is>
          <t>Landkreistag Rheinland-Pfalz | Ministerium für Wirtschaft, Verkehr, Landwirtschaft und Weinbau</t>
        </is>
      </c>
      <c r="AF284" s="5" t="inlineStr">
        <is>
          <t>verwaltungswissen-digitalisierung-landkreistag-rheinland-pfalz-ministerium-für-wirtschaft-verke</t>
        </is>
      </c>
    </row>
    <row r="285">
      <c r="A285" s="5" t="inlineStr">
        <is>
          <t>C0284</t>
        </is>
      </c>
      <c r="B285" s="5" t="inlineStr">
        <is>
          <t>x_0284</t>
        </is>
      </c>
      <c r="C285" s="5" t="n">
        <v>0</v>
      </c>
      <c r="D285" s="5" t="inlineStr">
        <is>
          <t>Ministerium für Wirtschaft, Verkehr, Landwirtschaft und Weinbau</t>
        </is>
      </c>
      <c r="E285" s="5" t="inlineStr">
        <is>
          <t>Staatskanzlei des Landes Rheinland-Pfalz</t>
        </is>
      </c>
      <c r="F285" s="5" t="n">
        <v>70</v>
      </c>
      <c r="G285" s="5" t="n">
        <v>83</v>
      </c>
      <c r="H285" s="5" t="inlineStr">
        <is>
          <t>profit_anchor</t>
        </is>
      </c>
      <c r="I285" t="inlineStr">
        <is>
          <t>public_policy_anchor</t>
        </is>
      </c>
      <c r="J285" s="5" t="inlineStr">
        <is>
          <t>context_actor</t>
        </is>
      </c>
      <c r="K285" t="inlineStr">
        <is>
          <t>public_policy_anchor</t>
        </is>
      </c>
      <c r="L285" s="5" t="inlineStr">
        <is>
          <t>wissen</t>
        </is>
      </c>
      <c r="M285" s="5" t="inlineStr">
        <is>
          <t>verwaltungswissen_digitalisierung</t>
        </is>
      </c>
      <c r="N285" s="5" t="inlineStr">
        <is>
          <t>Verwaltungswissen und digitale Umsetzung</t>
        </is>
      </c>
      <c r="O285" s="5" t="n">
        <v>5</v>
      </c>
      <c r="P285" s="5" t="n">
        <v>5</v>
      </c>
      <c r="Q285" s="5" t="n">
        <v>14</v>
      </c>
      <c r="R285" s="5" t="n">
        <v>4</v>
      </c>
      <c r="S285" s="5" t="n">
        <v>0</v>
      </c>
      <c r="T285" s="5" t="n">
        <v>0</v>
      </c>
      <c r="U285" s="5" t="n">
        <v>2</v>
      </c>
      <c r="V285" s="5" t="n">
        <v>6</v>
      </c>
      <c r="W285" s="5" t="n">
        <v>6</v>
      </c>
      <c r="X285" s="5" t="n">
        <v>0</v>
      </c>
      <c r="Y285" s="5" t="n">
        <v>0</v>
      </c>
      <c r="Z285" s="5" t="n">
        <v>0</v>
      </c>
      <c r="AA285" s="5" t="n">
        <v>0</v>
      </c>
      <c r="AB285" s="5" t="n">
        <v>28.857088</v>
      </c>
      <c r="AC285" s="5" t="inlineStr">
        <is>
          <t>Wie wird Verwaltung bei Regulierung, Genehmigung, Digitalisierung und Umsetzung leistungsfähiger?</t>
        </is>
      </c>
      <c r="AD285" s="5" t="inlineStr">
        <is>
          <t>Verwaltungswissen und digitale Umsetzung: Ministerium für Wirtschaft, Verkehr, Landwirtschaft und Weinbau (profit_anchor, 5) + Staatskanzlei des Landes Rheinland-Pfalz (context_actor, 5).</t>
        </is>
      </c>
      <c r="AE285" s="5" t="inlineStr">
        <is>
          <t>Ministerium für Wirtschaft, Verkehr, Landwirtschaft und Weinbau | Staatskanzlei des Landes Rheinland-Pfalz</t>
        </is>
      </c>
      <c r="AF285" s="5" t="inlineStr">
        <is>
          <t>verwaltungswissen-digitalisierung-ministerium-für-wirtschaft-verkehr-landwirtschaft-und-weinbau</t>
        </is>
      </c>
    </row>
    <row r="286">
      <c r="A286" s="5" t="inlineStr">
        <is>
          <t>C0285</t>
        </is>
      </c>
      <c r="B286" s="5" t="inlineStr">
        <is>
          <t>x_0285</t>
        </is>
      </c>
      <c r="C286" s="5" t="n">
        <v>0</v>
      </c>
      <c r="D286" s="5" t="inlineStr">
        <is>
          <t>Ministerium für Wirtschaft, Verkehr, Landwirtschaft und Weinbau</t>
        </is>
      </c>
      <c r="E286" s="5" t="inlineStr">
        <is>
          <t>Städtetag Rheinland-Pfalz</t>
        </is>
      </c>
      <c r="F286" s="5" t="n">
        <v>70</v>
      </c>
      <c r="G286" s="5" t="n">
        <v>85</v>
      </c>
      <c r="H286" s="5" t="inlineStr">
        <is>
          <t>profit_anchor</t>
        </is>
      </c>
      <c r="I286" t="inlineStr">
        <is>
          <t>public_policy_anchor</t>
        </is>
      </c>
      <c r="J286" s="5" t="inlineStr">
        <is>
          <t>context_actor</t>
        </is>
      </c>
      <c r="K286" t="inlineStr">
        <is>
          <t>public_policy_anchor</t>
        </is>
      </c>
      <c r="L286" s="5" t="inlineStr">
        <is>
          <t>wissen</t>
        </is>
      </c>
      <c r="M286" s="5" t="inlineStr">
        <is>
          <t>verwaltungswissen_digitalisierung</t>
        </is>
      </c>
      <c r="N286" s="5" t="inlineStr">
        <is>
          <t>Verwaltungswissen und digitale Umsetzung</t>
        </is>
      </c>
      <c r="O286" s="5" t="n">
        <v>5</v>
      </c>
      <c r="P286" s="5" t="n">
        <v>5</v>
      </c>
      <c r="Q286" s="5" t="n">
        <v>14</v>
      </c>
      <c r="R286" s="5" t="n">
        <v>4</v>
      </c>
      <c r="S286" s="5" t="n">
        <v>0</v>
      </c>
      <c r="T286" s="5" t="n">
        <v>0</v>
      </c>
      <c r="U286" s="5" t="n">
        <v>2</v>
      </c>
      <c r="V286" s="5" t="n">
        <v>6</v>
      </c>
      <c r="W286" s="5" t="n">
        <v>6</v>
      </c>
      <c r="X286" s="5" t="n">
        <v>0</v>
      </c>
      <c r="Y286" s="5" t="n">
        <v>0</v>
      </c>
      <c r="Z286" s="5" t="n">
        <v>0</v>
      </c>
      <c r="AA286" s="5" t="n">
        <v>0</v>
      </c>
      <c r="AB286" s="5" t="n">
        <v>28.857088</v>
      </c>
      <c r="AC286" s="5" t="inlineStr">
        <is>
          <t>Wie wird Verwaltung bei Regulierung, Genehmigung, Digitalisierung und Umsetzung leistungsfähiger?</t>
        </is>
      </c>
      <c r="AD286" s="5" t="inlineStr">
        <is>
          <t>Verwaltungswissen und digitale Umsetzung: Ministerium für Wirtschaft, Verkehr, Landwirtschaft und Weinbau (profit_anchor, 5) + Städtetag Rheinland-Pfalz (context_actor, 5).</t>
        </is>
      </c>
      <c r="AE286" s="5" t="inlineStr">
        <is>
          <t>Ministerium für Wirtschaft, Verkehr, Landwirtschaft und Weinbau | Städtetag Rheinland-Pfalz</t>
        </is>
      </c>
      <c r="AF286" s="5" t="inlineStr">
        <is>
          <t>verwaltungswissen-digitalisierung-ministerium-für-wirtschaft-verkehr-landwirtschaft-und-weinbau</t>
        </is>
      </c>
    </row>
    <row r="287">
      <c r="A287" s="5" t="inlineStr">
        <is>
          <t>C0286</t>
        </is>
      </c>
      <c r="B287" s="5" t="inlineStr">
        <is>
          <t>x_0286</t>
        </is>
      </c>
      <c r="C287" s="5" t="n">
        <v>0</v>
      </c>
      <c r="D287" s="5" t="inlineStr">
        <is>
          <t>Bundesagentur für Arbeit, Regionaldirektion Rheinland-Pfalz-Saarland</t>
        </is>
      </c>
      <c r="E287" s="5" t="inlineStr">
        <is>
          <t>Hochschule für Gesellschaftsgestaltung (HfGG)</t>
        </is>
      </c>
      <c r="F287" s="5" t="n">
        <v>13</v>
      </c>
      <c r="G287" s="5" t="n">
        <v>34</v>
      </c>
      <c r="H287" s="5" t="inlineStr">
        <is>
          <t>implementation_anchor</t>
        </is>
      </c>
      <c r="I287" t="inlineStr">
        <is>
          <t>public_policy_anchor</t>
        </is>
      </c>
      <c r="J287" s="5" t="inlineStr">
        <is>
          <t>academic_support</t>
        </is>
      </c>
      <c r="K287" t="inlineStr">
        <is>
          <t>university_applied_sciences</t>
        </is>
      </c>
      <c r="L287" s="5" t="inlineStr">
        <is>
          <t>wissen</t>
        </is>
      </c>
      <c r="M287" s="5" t="inlineStr">
        <is>
          <t>weiterbildung_lebenslanges_lernen</t>
        </is>
      </c>
      <c r="N287" s="5" t="inlineStr">
        <is>
          <t>Weiterbildung und lebenslanges Lernen</t>
        </is>
      </c>
      <c r="O287" s="5" t="n">
        <v>5</v>
      </c>
      <c r="P287" s="5" t="n">
        <v>3</v>
      </c>
      <c r="Q287" s="5" t="n">
        <v>12</v>
      </c>
      <c r="R287" s="5" t="n">
        <v>4</v>
      </c>
      <c r="S287" s="5" t="n">
        <v>0</v>
      </c>
      <c r="T287" s="5" t="n">
        <v>0</v>
      </c>
      <c r="U287" s="5" t="n">
        <v>2</v>
      </c>
      <c r="V287" s="5" t="n">
        <v>7</v>
      </c>
      <c r="W287" s="5" t="n">
        <v>7</v>
      </c>
      <c r="X287" s="5" t="n">
        <v>0</v>
      </c>
      <c r="Y287" s="5" t="n">
        <v>0</v>
      </c>
      <c r="Z287" s="5" t="n">
        <v>0</v>
      </c>
      <c r="AA287" s="5" t="n">
        <v>0</v>
      </c>
      <c r="AB287" s="5" t="n">
        <v>41.234666</v>
      </c>
      <c r="AC287" s="5" t="inlineStr">
        <is>
          <t>Wie können Beschäftigte, Verwaltung und Unternehmen Weiterbildung in reale Transformationsprozesse integrieren?</t>
        </is>
      </c>
      <c r="AD287" s="5" t="inlineStr">
        <is>
          <t>Weiterbildung und lebenslanges Lernen: Bundesagentur für Arbeit, Regionaldirektion Rheinland-Pfalz-Saarland (implementation_anchor, 5) + Hochschule für Gesellschaftsgestaltung (HfGG) (academic_support, 3).</t>
        </is>
      </c>
      <c r="AE287" s="5" t="inlineStr">
        <is>
          <t>Bundesagentur für Arbeit, Regionaldirektion Rheinland-Pfalz-Saarland | Hochschule für Gesellschaftsgestaltung (HfGG)</t>
        </is>
      </c>
      <c r="AF287" s="5" t="inlineStr">
        <is>
          <t>weiterbildung-lebenslanges-lernen-bundesagentur-für-arbeit-regionaldirektion-rheinland-pfalz-sa</t>
        </is>
      </c>
    </row>
    <row r="288">
      <c r="A288" s="5" t="inlineStr">
        <is>
          <t>C0287</t>
        </is>
      </c>
      <c r="B288" s="5" t="inlineStr">
        <is>
          <t>x_0287</t>
        </is>
      </c>
      <c r="C288" s="5" t="n">
        <v>0</v>
      </c>
      <c r="D288" s="5" t="inlineStr">
        <is>
          <t>Bundesagentur für Arbeit, Regionaldirektion Rheinland-Pfalz-Saarland</t>
        </is>
      </c>
      <c r="E288" s="5" t="inlineStr">
        <is>
          <t>Hochschule für Musik Mainz</t>
        </is>
      </c>
      <c r="F288" s="5" t="n">
        <v>13</v>
      </c>
      <c r="G288" s="5" t="n">
        <v>35</v>
      </c>
      <c r="H288" s="5" t="inlineStr">
        <is>
          <t>implementation_anchor</t>
        </is>
      </c>
      <c r="I288" t="inlineStr">
        <is>
          <t>public_policy_anchor</t>
        </is>
      </c>
      <c r="J288" s="5" t="inlineStr">
        <is>
          <t>academic_support</t>
        </is>
      </c>
      <c r="K288" t="inlineStr">
        <is>
          <t>university_applied_sciences</t>
        </is>
      </c>
      <c r="L288" s="5" t="inlineStr">
        <is>
          <t>wissen</t>
        </is>
      </c>
      <c r="M288" s="5" t="inlineStr">
        <is>
          <t>weiterbildung_lebenslanges_lernen</t>
        </is>
      </c>
      <c r="N288" s="5" t="inlineStr">
        <is>
          <t>Weiterbildung und lebenslanges Lernen</t>
        </is>
      </c>
      <c r="O288" s="5" t="n">
        <v>5</v>
      </c>
      <c r="P288" s="5" t="n">
        <v>3</v>
      </c>
      <c r="Q288" s="5" t="n">
        <v>12</v>
      </c>
      <c r="R288" s="5" t="n">
        <v>4</v>
      </c>
      <c r="S288" s="5" t="n">
        <v>0</v>
      </c>
      <c r="T288" s="5" t="n">
        <v>0</v>
      </c>
      <c r="U288" s="5" t="n">
        <v>2</v>
      </c>
      <c r="V288" s="5" t="n">
        <v>7</v>
      </c>
      <c r="W288" s="5" t="n">
        <v>7</v>
      </c>
      <c r="X288" s="5" t="n">
        <v>0</v>
      </c>
      <c r="Y288" s="5" t="n">
        <v>0</v>
      </c>
      <c r="Z288" s="5" t="n">
        <v>0</v>
      </c>
      <c r="AA288" s="5" t="n">
        <v>0</v>
      </c>
      <c r="AB288" s="5" t="n">
        <v>41.234666</v>
      </c>
      <c r="AC288" s="5" t="inlineStr">
        <is>
          <t>Wie können Beschäftigte, Verwaltung und Unternehmen Weiterbildung in reale Transformationsprozesse integrieren?</t>
        </is>
      </c>
      <c r="AD288" s="5" t="inlineStr">
        <is>
          <t>Weiterbildung und lebenslanges Lernen: Bundesagentur für Arbeit, Regionaldirektion Rheinland-Pfalz-Saarland (implementation_anchor, 5) + Hochschule für Musik Mainz (academic_support, 3).</t>
        </is>
      </c>
      <c r="AE288" s="5" t="inlineStr">
        <is>
          <t>Bundesagentur für Arbeit, Regionaldirektion Rheinland-Pfalz-Saarland | Hochschule für Musik Mainz</t>
        </is>
      </c>
      <c r="AF288" s="5" t="inlineStr">
        <is>
          <t>weiterbildung-lebenslanges-lernen-bundesagentur-für-arbeit-regionaldirektion-rheinland-pfalz-sa</t>
        </is>
      </c>
    </row>
    <row r="289">
      <c r="A289" s="5" t="inlineStr">
        <is>
          <t>C0288</t>
        </is>
      </c>
      <c r="B289" s="5" t="inlineStr">
        <is>
          <t>x_0288</t>
        </is>
      </c>
      <c r="C289" s="5" t="n">
        <v>0</v>
      </c>
      <c r="D289" s="5" t="inlineStr">
        <is>
          <t>Handwerkskammern Rheinland-Pfalz</t>
        </is>
      </c>
      <c r="E289" s="5" t="inlineStr">
        <is>
          <t>Hochschule für Gesellschaftsgestaltung (HfGG)</t>
        </is>
      </c>
      <c r="F289" s="5" t="n">
        <v>32</v>
      </c>
      <c r="G289" s="5" t="n">
        <v>34</v>
      </c>
      <c r="H289" s="5" t="inlineStr">
        <is>
          <t>implementation_anchor</t>
        </is>
      </c>
      <c r="I289" t="inlineStr">
        <is>
          <t>chamber_association_anchor</t>
        </is>
      </c>
      <c r="J289" s="5" t="inlineStr">
        <is>
          <t>academic_support</t>
        </is>
      </c>
      <c r="K289" t="inlineStr">
        <is>
          <t>university_applied_sciences</t>
        </is>
      </c>
      <c r="L289" s="5" t="inlineStr">
        <is>
          <t>wissen</t>
        </is>
      </c>
      <c r="M289" s="5" t="inlineStr">
        <is>
          <t>weiterbildung_lebenslanges_lernen</t>
        </is>
      </c>
      <c r="N289" s="5" t="inlineStr">
        <is>
          <t>Weiterbildung und lebenslanges Lernen</t>
        </is>
      </c>
      <c r="O289" s="5" t="n">
        <v>5</v>
      </c>
      <c r="P289" s="5" t="n">
        <v>3</v>
      </c>
      <c r="Q289" s="5" t="n">
        <v>12</v>
      </c>
      <c r="R289" s="5" t="n">
        <v>4</v>
      </c>
      <c r="S289" s="5" t="n">
        <v>0</v>
      </c>
      <c r="T289" s="5" t="n">
        <v>0</v>
      </c>
      <c r="U289" s="5" t="n">
        <v>2</v>
      </c>
      <c r="V289" s="5" t="n">
        <v>7</v>
      </c>
      <c r="W289" s="5" t="n">
        <v>7</v>
      </c>
      <c r="X289" s="5" t="n">
        <v>0</v>
      </c>
      <c r="Y289" s="5" t="n">
        <v>0</v>
      </c>
      <c r="Z289" s="5" t="n">
        <v>0</v>
      </c>
      <c r="AA289" s="5" t="n">
        <v>0</v>
      </c>
      <c r="AB289" s="5" t="n">
        <v>47.438317</v>
      </c>
      <c r="AC289" s="5" t="inlineStr">
        <is>
          <t>Wie können Beschäftigte, Verwaltung und Unternehmen Weiterbildung in reale Transformationsprozesse integrieren?</t>
        </is>
      </c>
      <c r="AD289" s="5" t="inlineStr">
        <is>
          <t>Weiterbildung und lebenslanges Lernen: Handwerkskammern Rheinland-Pfalz (implementation_anchor, 5) + Hochschule für Gesellschaftsgestaltung (HfGG) (academic_support, 3).</t>
        </is>
      </c>
      <c r="AE289" s="5" t="inlineStr">
        <is>
          <t>Handwerkskammern Rheinland-Pfalz | Hochschule für Gesellschaftsgestaltung (HfGG)</t>
        </is>
      </c>
      <c r="AF289" s="5" t="inlineStr">
        <is>
          <t>weiterbildung-lebenslanges-lernen-handwerkskammern-rheinland-pfalz-hochschule-für-gesellschafts</t>
        </is>
      </c>
    </row>
    <row r="290">
      <c r="A290" s="5" t="inlineStr">
        <is>
          <t>C0289</t>
        </is>
      </c>
      <c r="B290" s="5" t="inlineStr">
        <is>
          <t>x_0289</t>
        </is>
      </c>
      <c r="C290" s="5" t="n">
        <v>0</v>
      </c>
      <c r="D290" s="5" t="inlineStr">
        <is>
          <t>Handwerkskammern Rheinland-Pfalz</t>
        </is>
      </c>
      <c r="E290" s="5" t="inlineStr">
        <is>
          <t>Hochschule für Musik Mainz</t>
        </is>
      </c>
      <c r="F290" s="5" t="n">
        <v>32</v>
      </c>
      <c r="G290" s="5" t="n">
        <v>35</v>
      </c>
      <c r="H290" s="5" t="inlineStr">
        <is>
          <t>implementation_anchor</t>
        </is>
      </c>
      <c r="I290" t="inlineStr">
        <is>
          <t>chamber_association_anchor</t>
        </is>
      </c>
      <c r="J290" s="5" t="inlineStr">
        <is>
          <t>academic_support</t>
        </is>
      </c>
      <c r="K290" t="inlineStr">
        <is>
          <t>university_applied_sciences</t>
        </is>
      </c>
      <c r="L290" s="5" t="inlineStr">
        <is>
          <t>wissen</t>
        </is>
      </c>
      <c r="M290" s="5" t="inlineStr">
        <is>
          <t>weiterbildung_lebenslanges_lernen</t>
        </is>
      </c>
      <c r="N290" s="5" t="inlineStr">
        <is>
          <t>Weiterbildung und lebenslanges Lernen</t>
        </is>
      </c>
      <c r="O290" s="5" t="n">
        <v>5</v>
      </c>
      <c r="P290" s="5" t="n">
        <v>3</v>
      </c>
      <c r="Q290" s="5" t="n">
        <v>12</v>
      </c>
      <c r="R290" s="5" t="n">
        <v>4</v>
      </c>
      <c r="S290" s="5" t="n">
        <v>0</v>
      </c>
      <c r="T290" s="5" t="n">
        <v>0</v>
      </c>
      <c r="U290" s="5" t="n">
        <v>2</v>
      </c>
      <c r="V290" s="5" t="n">
        <v>7</v>
      </c>
      <c r="W290" s="5" t="n">
        <v>7</v>
      </c>
      <c r="X290" s="5" t="n">
        <v>0</v>
      </c>
      <c r="Y290" s="5" t="n">
        <v>0</v>
      </c>
      <c r="Z290" s="5" t="n">
        <v>0</v>
      </c>
      <c r="AA290" s="5" t="n">
        <v>0</v>
      </c>
      <c r="AB290" s="5" t="n">
        <v>47.438317</v>
      </c>
      <c r="AC290" s="5" t="inlineStr">
        <is>
          <t>Wie können Beschäftigte, Verwaltung und Unternehmen Weiterbildung in reale Transformationsprozesse integrieren?</t>
        </is>
      </c>
      <c r="AD290" s="5" t="inlineStr">
        <is>
          <t>Weiterbildung und lebenslanges Lernen: Handwerkskammern Rheinland-Pfalz (implementation_anchor, 5) + Hochschule für Musik Mainz (academic_support, 3).</t>
        </is>
      </c>
      <c r="AE290" s="5" t="inlineStr">
        <is>
          <t>Handwerkskammern Rheinland-Pfalz | Hochschule für Musik Mainz</t>
        </is>
      </c>
      <c r="AF290" s="5" t="inlineStr">
        <is>
          <t>weiterbildung-lebenslanges-lernen-handwerkskammern-rheinland-pfalz-hochschule-für-musik-mainz</t>
        </is>
      </c>
    </row>
    <row r="291">
      <c r="A291" s="5" t="inlineStr">
        <is>
          <t>C0290</t>
        </is>
      </c>
      <c r="B291" s="5" t="inlineStr">
        <is>
          <t>x_0290</t>
        </is>
      </c>
      <c r="C291" s="5" t="n">
        <v>0</v>
      </c>
      <c r="D291" s="5" t="inlineStr">
        <is>
          <t>BRICKMAKERS AG</t>
        </is>
      </c>
      <c r="E291" s="5" t="inlineStr">
        <is>
          <t>Rheinland-Pfälzische Technische Universität Kaiserslautern-Landau (RPTU)</t>
        </is>
      </c>
      <c r="F291" s="5" t="n">
        <v>12</v>
      </c>
      <c r="G291" s="5" t="n">
        <v>74</v>
      </c>
      <c r="H291" s="5" t="inlineStr">
        <is>
          <t>profit_anchor</t>
        </is>
      </c>
      <c r="I291" t="inlineStr">
        <is>
          <t>technology_digital_anchor</t>
        </is>
      </c>
      <c r="J291" s="5" t="inlineStr">
        <is>
          <t>academic_support</t>
        </is>
      </c>
      <c r="K291" t="inlineStr">
        <is>
          <t>university_research</t>
        </is>
      </c>
      <c r="L291" s="5" t="inlineStr">
        <is>
          <t>technologie</t>
        </is>
      </c>
      <c r="M291" s="5" t="inlineStr">
        <is>
          <t>cyber_resilienz_kritische_infrastruktur</t>
        </is>
      </c>
      <c r="N291" s="5" t="inlineStr">
        <is>
          <t>Cyberresilienz und kritische Infrastruktur</t>
        </is>
      </c>
      <c r="O291" s="5" t="n">
        <v>4</v>
      </c>
      <c r="P291" s="5" t="n">
        <v>5</v>
      </c>
      <c r="Q291" s="5" t="n">
        <v>13</v>
      </c>
      <c r="R291" s="5" t="n">
        <v>4</v>
      </c>
      <c r="S291" s="5" t="n">
        <v>0</v>
      </c>
      <c r="T291" s="5" t="n">
        <v>0</v>
      </c>
      <c r="U291" s="5" t="n">
        <v>2</v>
      </c>
      <c r="V291" s="5" t="n">
        <v>6</v>
      </c>
      <c r="W291" s="5" t="n">
        <v>6</v>
      </c>
      <c r="X291" s="5" t="n">
        <v>0</v>
      </c>
      <c r="Y291" s="5" t="n">
        <v>0</v>
      </c>
      <c r="Z291" s="5" t="n">
        <v>0</v>
      </c>
      <c r="AA291" s="5" t="n">
        <v>0</v>
      </c>
      <c r="AB291" s="5" t="n">
        <v>27.71863</v>
      </c>
      <c r="AC291" s="5" t="inlineStr">
        <is>
          <t>Wie schützen Unternehmen, Kommunen und Versorger digitale Systeme, Daten und kritische Infrastruktur?</t>
        </is>
      </c>
      <c r="AD291" s="5" t="inlineStr">
        <is>
          <t>Cyberresilienz und kritische Infrastruktur: BRICKMAKERS AG (profit_anchor, 4) + Rheinland-Pfälzische Technische Universität Kaiserslautern-Landau (RPTU) (academic_support, 5).</t>
        </is>
      </c>
      <c r="AE291" s="5" t="inlineStr">
        <is>
          <t>BRICKMAKERS AG | Rheinland-Pfälzische Technische Universität Kaiserslautern-Landau (RPTU)</t>
        </is>
      </c>
      <c r="AF291" s="5" t="inlineStr">
        <is>
          <t>cyber-resilienz-kritische-infrastruktur-brickmakers-ag-rheinland-pfälzische-technische-universi</t>
        </is>
      </c>
    </row>
    <row r="292">
      <c r="A292" s="5" t="inlineStr">
        <is>
          <t>C0291</t>
        </is>
      </c>
      <c r="B292" s="5" t="inlineStr">
        <is>
          <t>x_0291</t>
        </is>
      </c>
      <c r="C292" s="5" t="n">
        <v>0</v>
      </c>
      <c r="D292" s="5" t="inlineStr">
        <is>
          <t>BRICKMAKERS AG</t>
        </is>
      </c>
      <c r="E292" s="5" t="inlineStr">
        <is>
          <t>Staatskanzlei des Landes Rheinland-Pfalz</t>
        </is>
      </c>
      <c r="F292" s="5" t="n">
        <v>12</v>
      </c>
      <c r="G292" s="5" t="n">
        <v>83</v>
      </c>
      <c r="H292" s="5" t="inlineStr">
        <is>
          <t>profit_anchor</t>
        </is>
      </c>
      <c r="I292" t="inlineStr">
        <is>
          <t>technology_digital_anchor</t>
        </is>
      </c>
      <c r="J292" s="5" t="inlineStr">
        <is>
          <t>context_actor</t>
        </is>
      </c>
      <c r="K292" t="inlineStr">
        <is>
          <t>public_policy_anchor</t>
        </is>
      </c>
      <c r="L292" s="5" t="inlineStr">
        <is>
          <t>technologie</t>
        </is>
      </c>
      <c r="M292" s="5" t="inlineStr">
        <is>
          <t>cyber_resilienz_kritische_infrastruktur</t>
        </is>
      </c>
      <c r="N292" s="5" t="inlineStr">
        <is>
          <t>Cyberresilienz und kritische Infrastruktur</t>
        </is>
      </c>
      <c r="O292" s="5" t="n">
        <v>4</v>
      </c>
      <c r="P292" s="5" t="n">
        <v>5</v>
      </c>
      <c r="Q292" s="5" t="n">
        <v>13</v>
      </c>
      <c r="R292" s="5" t="n">
        <v>4</v>
      </c>
      <c r="S292" s="5" t="n">
        <v>0</v>
      </c>
      <c r="T292" s="5" t="n">
        <v>0</v>
      </c>
      <c r="U292" s="5" t="n">
        <v>2</v>
      </c>
      <c r="V292" s="5" t="n">
        <v>6</v>
      </c>
      <c r="W292" s="5" t="n">
        <v>6</v>
      </c>
      <c r="X292" s="5" t="n">
        <v>0</v>
      </c>
      <c r="Y292" s="5" t="n">
        <v>0</v>
      </c>
      <c r="Z292" s="5" t="n">
        <v>0</v>
      </c>
      <c r="AA292" s="5" t="n">
        <v>0</v>
      </c>
      <c r="AB292" s="5" t="n">
        <v>25.519585</v>
      </c>
      <c r="AC292" s="5" t="inlineStr">
        <is>
          <t>Wie schützen Unternehmen, Kommunen und Versorger digitale Systeme, Daten und kritische Infrastruktur?</t>
        </is>
      </c>
      <c r="AD292" s="5" t="inlineStr">
        <is>
          <t>Cyberresilienz und kritische Infrastruktur: BRICKMAKERS AG (profit_anchor, 4) + Staatskanzlei des Landes Rheinland-Pfalz (context_actor, 5).</t>
        </is>
      </c>
      <c r="AE292" s="5" t="inlineStr">
        <is>
          <t>BRICKMAKERS AG | Staatskanzlei des Landes Rheinland-Pfalz</t>
        </is>
      </c>
      <c r="AF292" s="5" t="inlineStr">
        <is>
          <t>cyber-resilienz-kritische-infrastruktur-brickmakers-ag-staatskanzlei-des-landes-rheinland-pfalz</t>
        </is>
      </c>
    </row>
    <row r="293">
      <c r="A293" s="5" t="inlineStr">
        <is>
          <t>C0292</t>
        </is>
      </c>
      <c r="B293" s="5" t="inlineStr">
        <is>
          <t>x_0292</t>
        </is>
      </c>
      <c r="C293" s="5" t="n">
        <v>0</v>
      </c>
      <c r="D293" s="5" t="inlineStr">
        <is>
          <t>BRICKMAKERS AG</t>
        </is>
      </c>
      <c r="E293" s="5" t="inlineStr">
        <is>
          <t>TÜV Rheinland Berlin Brandenburg Pfalz e.V.</t>
        </is>
      </c>
      <c r="F293" s="5" t="n">
        <v>12</v>
      </c>
      <c r="G293" s="5" t="n">
        <v>91</v>
      </c>
      <c r="H293" s="5" t="inlineStr">
        <is>
          <t>profit_anchor</t>
        </is>
      </c>
      <c r="I293" t="inlineStr">
        <is>
          <t>technology_digital_anchor</t>
        </is>
      </c>
      <c r="J293" s="5" t="inlineStr">
        <is>
          <t>context_actor</t>
        </is>
      </c>
      <c r="K293" t="inlineStr">
        <is>
          <t>chamber_association_anchor</t>
        </is>
      </c>
      <c r="L293" s="5" t="inlineStr">
        <is>
          <t>technologie</t>
        </is>
      </c>
      <c r="M293" s="5" t="inlineStr">
        <is>
          <t>cyber_resilienz_kritische_infrastruktur</t>
        </is>
      </c>
      <c r="N293" s="5" t="inlineStr">
        <is>
          <t>Cyberresilienz und kritische Infrastruktur</t>
        </is>
      </c>
      <c r="O293" s="5" t="n">
        <v>4</v>
      </c>
      <c r="P293" s="5" t="n">
        <v>5</v>
      </c>
      <c r="Q293" s="5" t="n">
        <v>13</v>
      </c>
      <c r="R293" s="5" t="n">
        <v>4</v>
      </c>
      <c r="S293" s="5" t="n">
        <v>0</v>
      </c>
      <c r="T293" s="5" t="n">
        <v>0</v>
      </c>
      <c r="U293" s="5" t="n">
        <v>2</v>
      </c>
      <c r="V293" s="5" t="n">
        <v>6</v>
      </c>
      <c r="W293" s="5" t="n">
        <v>6</v>
      </c>
      <c r="X293" s="5" t="n">
        <v>0</v>
      </c>
      <c r="Y293" s="5" t="n">
        <v>0</v>
      </c>
      <c r="Z293" s="5" t="n">
        <v>0</v>
      </c>
      <c r="AA293" s="5" t="n">
        <v>0</v>
      </c>
      <c r="AB293" s="5" t="n">
        <v>29.096803</v>
      </c>
      <c r="AC293" s="5" t="inlineStr">
        <is>
          <t>Wie schützen Unternehmen, Kommunen und Versorger digitale Systeme, Daten und kritische Infrastruktur?</t>
        </is>
      </c>
      <c r="AD293" s="5" t="inlineStr">
        <is>
          <t>Cyberresilienz und kritische Infrastruktur: BRICKMAKERS AG (profit_anchor, 4) + TÜV Rheinland Berlin Brandenburg Pfalz e.V. (context_actor, 5).</t>
        </is>
      </c>
      <c r="AE293" s="5" t="inlineStr">
        <is>
          <t>BRICKMAKERS AG | TÜV Rheinland Berlin Brandenburg Pfalz e.V.</t>
        </is>
      </c>
      <c r="AF293" s="5" t="inlineStr">
        <is>
          <t>cyber-resilienz-kritische-infrastruktur-brickmakers-ag-tüv-rheinland-berlin-brandenburg-pfalz-e</t>
        </is>
      </c>
    </row>
    <row r="294">
      <c r="A294" s="5" t="inlineStr">
        <is>
          <t>C0293</t>
        </is>
      </c>
      <c r="B294" s="5" t="inlineStr">
        <is>
          <t>x_0293</t>
        </is>
      </c>
      <c r="C294" s="5" t="n">
        <v>0</v>
      </c>
      <c r="D294" s="5" t="inlineStr">
        <is>
          <t>Debeka Versicherungsgruppe</t>
        </is>
      </c>
      <c r="E294" s="5" t="inlineStr">
        <is>
          <t>Rheinland-Pfälzische Technische Universität Kaiserslautern-Landau (RPTU)</t>
        </is>
      </c>
      <c r="F294" s="5" t="n">
        <v>16</v>
      </c>
      <c r="G294" s="5" t="n">
        <v>74</v>
      </c>
      <c r="H294" s="5" t="inlineStr">
        <is>
          <t>profit_anchor</t>
        </is>
      </c>
      <c r="I294" t="inlineStr">
        <is>
          <t>bank_finance_anchor</t>
        </is>
      </c>
      <c r="J294" s="5" t="inlineStr">
        <is>
          <t>academic_support</t>
        </is>
      </c>
      <c r="K294" t="inlineStr">
        <is>
          <t>university_research</t>
        </is>
      </c>
      <c r="L294" s="5" t="inlineStr">
        <is>
          <t>technologie</t>
        </is>
      </c>
      <c r="M294" s="5" t="inlineStr">
        <is>
          <t>cyber_resilienz_kritische_infrastruktur</t>
        </is>
      </c>
      <c r="N294" s="5" t="inlineStr">
        <is>
          <t>Cyberresilienz und kritische Infrastruktur</t>
        </is>
      </c>
      <c r="O294" s="5" t="n">
        <v>4</v>
      </c>
      <c r="P294" s="5" t="n">
        <v>5</v>
      </c>
      <c r="Q294" s="5" t="n">
        <v>13</v>
      </c>
      <c r="R294" s="5" t="n">
        <v>4</v>
      </c>
      <c r="S294" s="5" t="n">
        <v>0</v>
      </c>
      <c r="T294" s="5" t="n">
        <v>0</v>
      </c>
      <c r="U294" s="5" t="n">
        <v>2</v>
      </c>
      <c r="V294" s="5" t="n">
        <v>6</v>
      </c>
      <c r="W294" s="5" t="n">
        <v>6</v>
      </c>
      <c r="X294" s="5" t="n">
        <v>0</v>
      </c>
      <c r="Y294" s="5" t="n">
        <v>0</v>
      </c>
      <c r="Z294" s="5" t="n">
        <v>0</v>
      </c>
      <c r="AA294" s="5" t="n">
        <v>0</v>
      </c>
      <c r="AB294" s="5" t="n">
        <v>29.400047</v>
      </c>
      <c r="AC294" s="5" t="inlineStr">
        <is>
          <t>Wie schützen Unternehmen, Kommunen und Versorger digitale Systeme, Daten und kritische Infrastruktur?</t>
        </is>
      </c>
      <c r="AD294" s="5" t="inlineStr">
        <is>
          <t>Cyberresilienz und kritische Infrastruktur: Debeka Versicherungsgruppe (profit_anchor, 4) + Rheinland-Pfälzische Technische Universität Kaiserslautern-Landau (RPTU) (academic_support, 5).</t>
        </is>
      </c>
      <c r="AE294" s="5" t="inlineStr">
        <is>
          <t>Debeka Versicherungsgruppe | Rheinland-Pfälzische Technische Universität Kaiserslautern-Landau (RPTU)</t>
        </is>
      </c>
      <c r="AF294" s="5" t="inlineStr">
        <is>
          <t>cyber-resilienz-kritische-infrastruktur-debeka-versicherungsgruppe-rheinland-pfälzische-technis</t>
        </is>
      </c>
    </row>
    <row r="295">
      <c r="A295" s="5" t="inlineStr">
        <is>
          <t>C0294</t>
        </is>
      </c>
      <c r="B295" s="5" t="inlineStr">
        <is>
          <t>x_0294</t>
        </is>
      </c>
      <c r="C295" s="5" t="n">
        <v>0</v>
      </c>
      <c r="D295" s="5" t="inlineStr">
        <is>
          <t>Debeka Versicherungsgruppe</t>
        </is>
      </c>
      <c r="E295" s="5" t="inlineStr">
        <is>
          <t>Staatskanzlei des Landes Rheinland-Pfalz</t>
        </is>
      </c>
      <c r="F295" s="5" t="n">
        <v>16</v>
      </c>
      <c r="G295" s="5" t="n">
        <v>83</v>
      </c>
      <c r="H295" s="5" t="inlineStr">
        <is>
          <t>profit_anchor</t>
        </is>
      </c>
      <c r="I295" t="inlineStr">
        <is>
          <t>bank_finance_anchor</t>
        </is>
      </c>
      <c r="J295" s="5" t="inlineStr">
        <is>
          <t>context_actor</t>
        </is>
      </c>
      <c r="K295" t="inlineStr">
        <is>
          <t>public_policy_anchor</t>
        </is>
      </c>
      <c r="L295" s="5" t="inlineStr">
        <is>
          <t>technologie</t>
        </is>
      </c>
      <c r="M295" s="5" t="inlineStr">
        <is>
          <t>cyber_resilienz_kritische_infrastruktur</t>
        </is>
      </c>
      <c r="N295" s="5" t="inlineStr">
        <is>
          <t>Cyberresilienz und kritische Infrastruktur</t>
        </is>
      </c>
      <c r="O295" s="5" t="n">
        <v>4</v>
      </c>
      <c r="P295" s="5" t="n">
        <v>5</v>
      </c>
      <c r="Q295" s="5" t="n">
        <v>13</v>
      </c>
      <c r="R295" s="5" t="n">
        <v>4</v>
      </c>
      <c r="S295" s="5" t="n">
        <v>0</v>
      </c>
      <c r="T295" s="5" t="n">
        <v>0</v>
      </c>
      <c r="U295" s="5" t="n">
        <v>2</v>
      </c>
      <c r="V295" s="5" t="n">
        <v>6</v>
      </c>
      <c r="W295" s="5" t="n">
        <v>6</v>
      </c>
      <c r="X295" s="5" t="n">
        <v>0</v>
      </c>
      <c r="Y295" s="5" t="n">
        <v>0</v>
      </c>
      <c r="Z295" s="5" t="n">
        <v>0</v>
      </c>
      <c r="AA295" s="5" t="n">
        <v>0</v>
      </c>
      <c r="AB295" s="5" t="n">
        <v>26.938405</v>
      </c>
      <c r="AC295" s="5" t="inlineStr">
        <is>
          <t>Wie schützen Unternehmen, Kommunen und Versorger digitale Systeme, Daten und kritische Infrastruktur?</t>
        </is>
      </c>
      <c r="AD295" s="5" t="inlineStr">
        <is>
          <t>Cyberresilienz und kritische Infrastruktur: Debeka Versicherungsgruppe (profit_anchor, 4) + Staatskanzlei des Landes Rheinland-Pfalz (context_actor, 5).</t>
        </is>
      </c>
      <c r="AE295" s="5" t="inlineStr">
        <is>
          <t>Debeka Versicherungsgruppe | Staatskanzlei des Landes Rheinland-Pfalz</t>
        </is>
      </c>
      <c r="AF295" s="5" t="inlineStr">
        <is>
          <t>cyber-resilienz-kritische-infrastruktur-debeka-versicherungsgruppe-staatskanzlei-des-landes-rhe</t>
        </is>
      </c>
    </row>
    <row r="296">
      <c r="A296" s="5" t="inlineStr">
        <is>
          <t>C0295</t>
        </is>
      </c>
      <c r="B296" s="5" t="inlineStr">
        <is>
          <t>x_0295</t>
        </is>
      </c>
      <c r="C296" s="5" t="n">
        <v>0</v>
      </c>
      <c r="D296" s="5" t="inlineStr">
        <is>
          <t>Debeka Versicherungsgruppe</t>
        </is>
      </c>
      <c r="E296" s="5" t="inlineStr">
        <is>
          <t>TÜV Rheinland Berlin Brandenburg Pfalz e.V.</t>
        </is>
      </c>
      <c r="F296" s="5" t="n">
        <v>16</v>
      </c>
      <c r="G296" s="5" t="n">
        <v>91</v>
      </c>
      <c r="H296" s="5" t="inlineStr">
        <is>
          <t>profit_anchor</t>
        </is>
      </c>
      <c r="I296" t="inlineStr">
        <is>
          <t>bank_finance_anchor</t>
        </is>
      </c>
      <c r="J296" s="5" t="inlineStr">
        <is>
          <t>context_actor</t>
        </is>
      </c>
      <c r="K296" t="inlineStr">
        <is>
          <t>chamber_association_anchor</t>
        </is>
      </c>
      <c r="L296" s="5" t="inlineStr">
        <is>
          <t>technologie</t>
        </is>
      </c>
      <c r="M296" s="5" t="inlineStr">
        <is>
          <t>cyber_resilienz_kritische_infrastruktur</t>
        </is>
      </c>
      <c r="N296" s="5" t="inlineStr">
        <is>
          <t>Cyberresilienz und kritische Infrastruktur</t>
        </is>
      </c>
      <c r="O296" s="5" t="n">
        <v>4</v>
      </c>
      <c r="P296" s="5" t="n">
        <v>5</v>
      </c>
      <c r="Q296" s="5" t="n">
        <v>13</v>
      </c>
      <c r="R296" s="5" t="n">
        <v>4</v>
      </c>
      <c r="S296" s="5" t="n">
        <v>0</v>
      </c>
      <c r="T296" s="5" t="n">
        <v>0</v>
      </c>
      <c r="U296" s="5" t="n">
        <v>2</v>
      </c>
      <c r="V296" s="5" t="n">
        <v>6</v>
      </c>
      <c r="W296" s="5" t="n">
        <v>6</v>
      </c>
      <c r="X296" s="5" t="n">
        <v>0</v>
      </c>
      <c r="Y296" s="5" t="n">
        <v>0</v>
      </c>
      <c r="Z296" s="5" t="n">
        <v>0</v>
      </c>
      <c r="AA296" s="5" t="n">
        <v>0</v>
      </c>
      <c r="AB296" s="5" t="n">
        <v>30.348846</v>
      </c>
      <c r="AC296" s="5" t="inlineStr">
        <is>
          <t>Wie schützen Unternehmen, Kommunen und Versorger digitale Systeme, Daten und kritische Infrastruktur?</t>
        </is>
      </c>
      <c r="AD296" s="5" t="inlineStr">
        <is>
          <t>Cyberresilienz und kritische Infrastruktur: Debeka Versicherungsgruppe (profit_anchor, 4) + TÜV Rheinland Berlin Brandenburg Pfalz e.V. (context_actor, 5).</t>
        </is>
      </c>
      <c r="AE296" s="5" t="inlineStr">
        <is>
          <t>Debeka Versicherungsgruppe | TÜV Rheinland Berlin Brandenburg Pfalz e.V.</t>
        </is>
      </c>
      <c r="AF296" s="5" t="inlineStr">
        <is>
          <t>cyber-resilienz-kritische-infrastruktur-debeka-versicherungsgruppe-tüv-rheinland-berlin-branden</t>
        </is>
      </c>
    </row>
    <row r="297">
      <c r="A297" s="5" t="inlineStr">
        <is>
          <t>C0296</t>
        </is>
      </c>
      <c r="B297" s="5" t="inlineStr">
        <is>
          <t>x_0296</t>
        </is>
      </c>
      <c r="C297" s="5" t="n">
        <v>0</v>
      </c>
      <c r="D297" s="5" t="inlineStr">
        <is>
          <t>Deutsche Bundesbank, Hauptverwaltung in Rheinland-Pfalz und dem Saarland</t>
        </is>
      </c>
      <c r="E297" s="5" t="inlineStr">
        <is>
          <t>Deutsche Telekom AG</t>
        </is>
      </c>
      <c r="F297" s="5" t="n">
        <v>17</v>
      </c>
      <c r="G297" s="5" t="n">
        <v>18</v>
      </c>
      <c r="H297" s="5" t="inlineStr">
        <is>
          <t>context_actor</t>
        </is>
      </c>
      <c r="I297" t="inlineStr">
        <is>
          <t>bank_finance_anchor</t>
        </is>
      </c>
      <c r="J297" s="5" t="inlineStr">
        <is>
          <t>profit_anchor</t>
        </is>
      </c>
      <c r="K297" t="inlineStr">
        <is>
          <t>technology_digital_anchor</t>
        </is>
      </c>
      <c r="L297" s="5" t="inlineStr">
        <is>
          <t>technologie</t>
        </is>
      </c>
      <c r="M297" s="5" t="inlineStr">
        <is>
          <t>cyber_resilienz_kritische_infrastruktur</t>
        </is>
      </c>
      <c r="N297" s="5" t="inlineStr">
        <is>
          <t>Cyberresilienz und kritische Infrastruktur</t>
        </is>
      </c>
      <c r="O297" s="5" t="n">
        <v>4</v>
      </c>
      <c r="P297" s="5" t="n">
        <v>5</v>
      </c>
      <c r="Q297" s="5" t="n">
        <v>13</v>
      </c>
      <c r="R297" s="5" t="n">
        <v>4</v>
      </c>
      <c r="S297" s="5" t="n">
        <v>0</v>
      </c>
      <c r="T297" s="5" t="n">
        <v>0</v>
      </c>
      <c r="U297" s="5" t="n">
        <v>2</v>
      </c>
      <c r="V297" s="5" t="n">
        <v>6</v>
      </c>
      <c r="W297" s="5" t="n">
        <v>6</v>
      </c>
      <c r="X297" s="5" t="n">
        <v>0</v>
      </c>
      <c r="Y297" s="5" t="n">
        <v>0</v>
      </c>
      <c r="Z297" s="5" t="n">
        <v>0</v>
      </c>
      <c r="AA297" s="5" t="n">
        <v>0</v>
      </c>
      <c r="AB297" s="5" t="n">
        <v>24.40139</v>
      </c>
      <c r="AC297" s="5" t="inlineStr">
        <is>
          <t>Wie schützen Unternehmen, Kommunen und Versorger digitale Systeme, Daten und kritische Infrastruktur?</t>
        </is>
      </c>
      <c r="AD297" s="5" t="inlineStr">
        <is>
          <t>Cyberresilienz und kritische Infrastruktur: Deutsche Bundesbank, Hauptverwaltung in Rheinland-Pfalz und dem Saarland (context_actor, 4) + Deutsche Telekom AG (profit_anchor, 5).</t>
        </is>
      </c>
      <c r="AE297" s="5" t="inlineStr">
        <is>
          <t>Deutsche Bundesbank, Hauptverwaltung in Rheinland-Pfalz und dem Saarland | Deutsche Telekom AG</t>
        </is>
      </c>
      <c r="AF297" s="5" t="inlineStr">
        <is>
          <t>cyber-resilienz-kritische-infrastruktur-deutsche-bundesbank-hauptverwaltung-in-rheinland-pfalz-</t>
        </is>
      </c>
    </row>
    <row r="298">
      <c r="A298" s="5" t="inlineStr">
        <is>
          <t>C0297</t>
        </is>
      </c>
      <c r="B298" s="5" t="inlineStr">
        <is>
          <t>x_0297</t>
        </is>
      </c>
      <c r="C298" s="5" t="n">
        <v>0</v>
      </c>
      <c r="D298" s="5" t="inlineStr">
        <is>
          <t>Deutsche Bundesbank, Hauptverwaltung in Rheinland-Pfalz und dem Saarland</t>
        </is>
      </c>
      <c r="E298" s="5" t="inlineStr">
        <is>
          <t>ENTEGA Plus GmbH</t>
        </is>
      </c>
      <c r="F298" s="5" t="n">
        <v>17</v>
      </c>
      <c r="G298" s="5" t="n">
        <v>24</v>
      </c>
      <c r="H298" s="5" t="inlineStr">
        <is>
          <t>context_actor</t>
        </is>
      </c>
      <c r="I298" t="inlineStr">
        <is>
          <t>bank_finance_anchor</t>
        </is>
      </c>
      <c r="J298" s="5" t="inlineStr">
        <is>
          <t>profit_anchor</t>
        </is>
      </c>
      <c r="K298" t="inlineStr">
        <is>
          <t>energy_infrastructure_anchor</t>
        </is>
      </c>
      <c r="L298" s="5" t="inlineStr">
        <is>
          <t>technologie</t>
        </is>
      </c>
      <c r="M298" s="5" t="inlineStr">
        <is>
          <t>cyber_resilienz_kritische_infrastruktur</t>
        </is>
      </c>
      <c r="N298" s="5" t="inlineStr">
        <is>
          <t>Cyberresilienz und kritische Infrastruktur</t>
        </is>
      </c>
      <c r="O298" s="5" t="n">
        <v>4</v>
      </c>
      <c r="P298" s="5" t="n">
        <v>5</v>
      </c>
      <c r="Q298" s="5" t="n">
        <v>13</v>
      </c>
      <c r="R298" s="5" t="n">
        <v>4</v>
      </c>
      <c r="S298" s="5" t="n">
        <v>0</v>
      </c>
      <c r="T298" s="5" t="n">
        <v>0</v>
      </c>
      <c r="U298" s="5" t="n">
        <v>2</v>
      </c>
      <c r="V298" s="5" t="n">
        <v>6</v>
      </c>
      <c r="W298" s="5" t="n">
        <v>6</v>
      </c>
      <c r="X298" s="5" t="n">
        <v>0</v>
      </c>
      <c r="Y298" s="5" t="n">
        <v>0</v>
      </c>
      <c r="Z298" s="5" t="n">
        <v>0</v>
      </c>
      <c r="AA298" s="5" t="n">
        <v>0</v>
      </c>
      <c r="AB298" s="5" t="n">
        <v>24.40139</v>
      </c>
      <c r="AC298" s="5" t="inlineStr">
        <is>
          <t>Wie schützen Unternehmen, Kommunen und Versorger digitale Systeme, Daten und kritische Infrastruktur?</t>
        </is>
      </c>
      <c r="AD298" s="5" t="inlineStr">
        <is>
          <t>Cyberresilienz und kritische Infrastruktur: Deutsche Bundesbank, Hauptverwaltung in Rheinland-Pfalz und dem Saarland (context_actor, 4) + ENTEGA Plus GmbH (profit_anchor, 5).</t>
        </is>
      </c>
      <c r="AE298" s="5" t="inlineStr">
        <is>
          <t>Deutsche Bundesbank, Hauptverwaltung in Rheinland-Pfalz und dem Saarland | ENTEGA Plus GmbH</t>
        </is>
      </c>
      <c r="AF298" s="5" t="inlineStr">
        <is>
          <t>cyber-resilienz-kritische-infrastruktur-deutsche-bundesbank-hauptverwaltung-in-rheinland-pfalz-</t>
        </is>
      </c>
    </row>
    <row r="299">
      <c r="A299" s="5" t="inlineStr">
        <is>
          <t>C0298</t>
        </is>
      </c>
      <c r="B299" s="5" t="inlineStr">
        <is>
          <t>x_0298</t>
        </is>
      </c>
      <c r="C299" s="5" t="n">
        <v>0</v>
      </c>
      <c r="D299" s="5" t="inlineStr">
        <is>
          <t>Deutsche Bundesbank, Hauptverwaltung in Rheinland-Pfalz und dem Saarland</t>
        </is>
      </c>
      <c r="E299" s="5" t="inlineStr">
        <is>
          <t>Mainzer Stadtwerke AG</t>
        </is>
      </c>
      <c r="F299" s="5" t="n">
        <v>17</v>
      </c>
      <c r="G299" s="5" t="n">
        <v>68</v>
      </c>
      <c r="H299" s="5" t="inlineStr">
        <is>
          <t>context_actor</t>
        </is>
      </c>
      <c r="I299" t="inlineStr">
        <is>
          <t>bank_finance_anchor</t>
        </is>
      </c>
      <c r="J299" s="5" t="inlineStr">
        <is>
          <t>profit_anchor</t>
        </is>
      </c>
      <c r="K299" t="inlineStr">
        <is>
          <t>energy_infrastructure_anchor</t>
        </is>
      </c>
      <c r="L299" s="5" t="inlineStr">
        <is>
          <t>technologie</t>
        </is>
      </c>
      <c r="M299" s="5" t="inlineStr">
        <is>
          <t>cyber_resilienz_kritische_infrastruktur</t>
        </is>
      </c>
      <c r="N299" s="5" t="inlineStr">
        <is>
          <t>Cyberresilienz und kritische Infrastruktur</t>
        </is>
      </c>
      <c r="O299" s="5" t="n">
        <v>4</v>
      </c>
      <c r="P299" s="5" t="n">
        <v>5</v>
      </c>
      <c r="Q299" s="5" t="n">
        <v>13</v>
      </c>
      <c r="R299" s="5" t="n">
        <v>4</v>
      </c>
      <c r="S299" s="5" t="n">
        <v>0</v>
      </c>
      <c r="T299" s="5" t="n">
        <v>0</v>
      </c>
      <c r="U299" s="5" t="n">
        <v>2</v>
      </c>
      <c r="V299" s="5" t="n">
        <v>6</v>
      </c>
      <c r="W299" s="5" t="n">
        <v>6</v>
      </c>
      <c r="X299" s="5" t="n">
        <v>0</v>
      </c>
      <c r="Y299" s="5" t="n">
        <v>0</v>
      </c>
      <c r="Z299" s="5" t="n">
        <v>0</v>
      </c>
      <c r="AA299" s="5" t="n">
        <v>0</v>
      </c>
      <c r="AB299" s="5" t="n">
        <v>24.40139</v>
      </c>
      <c r="AC299" s="5" t="inlineStr">
        <is>
          <t>Wie schützen Unternehmen, Kommunen und Versorger digitale Systeme, Daten und kritische Infrastruktur?</t>
        </is>
      </c>
      <c r="AD299" s="5" t="inlineStr">
        <is>
          <t>Cyberresilienz und kritische Infrastruktur: Deutsche Bundesbank, Hauptverwaltung in Rheinland-Pfalz und dem Saarland (context_actor, 4) + Mainzer Stadtwerke AG (profit_anchor, 5).</t>
        </is>
      </c>
      <c r="AE299" s="5" t="inlineStr">
        <is>
          <t>Deutsche Bundesbank, Hauptverwaltung in Rheinland-Pfalz und dem Saarland | Mainzer Stadtwerke AG</t>
        </is>
      </c>
      <c r="AF299" s="5" t="inlineStr">
        <is>
          <t>cyber-resilienz-kritische-infrastruktur-deutsche-bundesbank-hauptverwaltung-in-rheinland-pfalz-</t>
        </is>
      </c>
    </row>
    <row r="300">
      <c r="A300" s="5" t="inlineStr">
        <is>
          <t>C0299</t>
        </is>
      </c>
      <c r="B300" s="5" t="inlineStr">
        <is>
          <t>x_0299</t>
        </is>
      </c>
      <c r="C300" s="5" t="n">
        <v>0</v>
      </c>
      <c r="D300" s="5" t="inlineStr">
        <is>
          <t>Deutsche Bundesbank, Hauptverwaltung in Rheinland-Pfalz und dem Saarland</t>
        </is>
      </c>
      <c r="E300" s="5" t="inlineStr">
        <is>
          <t>Pfalzwerke AG</t>
        </is>
      </c>
      <c r="F300" s="5" t="n">
        <v>17</v>
      </c>
      <c r="G300" s="5" t="n">
        <v>72</v>
      </c>
      <c r="H300" s="5" t="inlineStr">
        <is>
          <t>context_actor</t>
        </is>
      </c>
      <c r="I300" t="inlineStr">
        <is>
          <t>bank_finance_anchor</t>
        </is>
      </c>
      <c r="J300" s="5" t="inlineStr">
        <is>
          <t>profit_anchor</t>
        </is>
      </c>
      <c r="K300" t="inlineStr">
        <is>
          <t>energy_infrastructure_anchor</t>
        </is>
      </c>
      <c r="L300" s="5" t="inlineStr">
        <is>
          <t>technologie</t>
        </is>
      </c>
      <c r="M300" s="5" t="inlineStr">
        <is>
          <t>cyber_resilienz_kritische_infrastruktur</t>
        </is>
      </c>
      <c r="N300" s="5" t="inlineStr">
        <is>
          <t>Cyberresilienz und kritische Infrastruktur</t>
        </is>
      </c>
      <c r="O300" s="5" t="n">
        <v>4</v>
      </c>
      <c r="P300" s="5" t="n">
        <v>5</v>
      </c>
      <c r="Q300" s="5" t="n">
        <v>13</v>
      </c>
      <c r="R300" s="5" t="n">
        <v>4</v>
      </c>
      <c r="S300" s="5" t="n">
        <v>0</v>
      </c>
      <c r="T300" s="5" t="n">
        <v>0</v>
      </c>
      <c r="U300" s="5" t="n">
        <v>2</v>
      </c>
      <c r="V300" s="5" t="n">
        <v>6</v>
      </c>
      <c r="W300" s="5" t="n">
        <v>6</v>
      </c>
      <c r="X300" s="5" t="n">
        <v>0</v>
      </c>
      <c r="Y300" s="5" t="n">
        <v>0</v>
      </c>
      <c r="Z300" s="5" t="n">
        <v>0</v>
      </c>
      <c r="AA300" s="5" t="n">
        <v>0</v>
      </c>
      <c r="AB300" s="5" t="n">
        <v>24.40139</v>
      </c>
      <c r="AC300" s="5" t="inlineStr">
        <is>
          <t>Wie schützen Unternehmen, Kommunen und Versorger digitale Systeme, Daten und kritische Infrastruktur?</t>
        </is>
      </c>
      <c r="AD300" s="5" t="inlineStr">
        <is>
          <t>Cyberresilienz und kritische Infrastruktur: Deutsche Bundesbank, Hauptverwaltung in Rheinland-Pfalz und dem Saarland (context_actor, 4) + Pfalzwerke AG (profit_anchor, 5).</t>
        </is>
      </c>
      <c r="AE300" s="5" t="inlineStr">
        <is>
          <t>Deutsche Bundesbank, Hauptverwaltung in Rheinland-Pfalz und dem Saarland | Pfalzwerke AG</t>
        </is>
      </c>
      <c r="AF300" s="5" t="inlineStr">
        <is>
          <t>cyber-resilienz-kritische-infrastruktur-deutsche-bundesbank-hauptverwaltung-in-rheinland-pfalz-</t>
        </is>
      </c>
    </row>
    <row r="301">
      <c r="A301" s="5" t="inlineStr">
        <is>
          <t>C0300</t>
        </is>
      </c>
      <c r="B301" s="5" t="inlineStr">
        <is>
          <t>x_0300</t>
        </is>
      </c>
      <c r="C301" s="5" t="n">
        <v>0</v>
      </c>
      <c r="D301" s="5" t="inlineStr">
        <is>
          <t>Deutsche Bundesbank, Hauptverwaltung in Rheinland-Pfalz und dem Saarland</t>
        </is>
      </c>
      <c r="E301" s="5" t="inlineStr">
        <is>
          <t>Westenergie AG</t>
        </is>
      </c>
      <c r="F301" s="5" t="n">
        <v>17</v>
      </c>
      <c r="G301" s="5" t="n">
        <v>98</v>
      </c>
      <c r="H301" s="5" t="inlineStr">
        <is>
          <t>context_actor</t>
        </is>
      </c>
      <c r="I301" t="inlineStr">
        <is>
          <t>bank_finance_anchor</t>
        </is>
      </c>
      <c r="J301" s="5" t="inlineStr">
        <is>
          <t>profit_anchor</t>
        </is>
      </c>
      <c r="K301" t="inlineStr">
        <is>
          <t>energy_infrastructure_anchor</t>
        </is>
      </c>
      <c r="L301" s="5" t="inlineStr">
        <is>
          <t>technologie</t>
        </is>
      </c>
      <c r="M301" s="5" t="inlineStr">
        <is>
          <t>cyber_resilienz_kritische_infrastruktur</t>
        </is>
      </c>
      <c r="N301" s="5" t="inlineStr">
        <is>
          <t>Cyberresilienz und kritische Infrastruktur</t>
        </is>
      </c>
      <c r="O301" s="5" t="n">
        <v>4</v>
      </c>
      <c r="P301" s="5" t="n">
        <v>5</v>
      </c>
      <c r="Q301" s="5" t="n">
        <v>13</v>
      </c>
      <c r="R301" s="5" t="n">
        <v>4</v>
      </c>
      <c r="S301" s="5" t="n">
        <v>0</v>
      </c>
      <c r="T301" s="5" t="n">
        <v>0</v>
      </c>
      <c r="U301" s="5" t="n">
        <v>2</v>
      </c>
      <c r="V301" s="5" t="n">
        <v>6</v>
      </c>
      <c r="W301" s="5" t="n">
        <v>6</v>
      </c>
      <c r="X301" s="5" t="n">
        <v>0</v>
      </c>
      <c r="Y301" s="5" t="n">
        <v>0</v>
      </c>
      <c r="Z301" s="5" t="n">
        <v>0</v>
      </c>
      <c r="AA301" s="5" t="n">
        <v>0</v>
      </c>
      <c r="AB301" s="5" t="n">
        <v>24.40139</v>
      </c>
      <c r="AC301" s="5" t="inlineStr">
        <is>
          <t>Wie schützen Unternehmen, Kommunen und Versorger digitale Systeme, Daten und kritische Infrastruktur?</t>
        </is>
      </c>
      <c r="AD301" s="5" t="inlineStr">
        <is>
          <t>Cyberresilienz und kritische Infrastruktur: Deutsche Bundesbank, Hauptverwaltung in Rheinland-Pfalz und dem Saarland (context_actor, 4) + Westenergie AG (profit_anchor, 5).</t>
        </is>
      </c>
      <c r="AE301" s="5" t="inlineStr">
        <is>
          <t>Deutsche Bundesbank, Hauptverwaltung in Rheinland-Pfalz und dem Saarland | Westenergie AG</t>
        </is>
      </c>
      <c r="AF301" s="5" t="inlineStr">
        <is>
          <t>cyber-resilienz-kritische-infrastruktur-deutsche-bundesbank-hauptverwaltung-in-rheinland-pfalz-</t>
        </is>
      </c>
    </row>
    <row r="302">
      <c r="A302" s="5" t="inlineStr">
        <is>
          <t>C0301</t>
        </is>
      </c>
      <c r="B302" s="5" t="inlineStr">
        <is>
          <t>x_0301</t>
        </is>
      </c>
      <c r="C302" s="5" t="n">
        <v>0</v>
      </c>
      <c r="D302" s="5" t="inlineStr">
        <is>
          <t>Deutsche Telekom AG</t>
        </is>
      </c>
      <c r="E302" s="5" t="inlineStr">
        <is>
          <t>Landkreistag Rheinland-Pfalz</t>
        </is>
      </c>
      <c r="F302" s="5" t="n">
        <v>18</v>
      </c>
      <c r="G302" s="5" t="n">
        <v>63</v>
      </c>
      <c r="H302" s="5" t="inlineStr">
        <is>
          <t>profit_anchor</t>
        </is>
      </c>
      <c r="I302" t="inlineStr">
        <is>
          <t>technology_digital_anchor</t>
        </is>
      </c>
      <c r="J302" s="5" t="inlineStr">
        <is>
          <t>context_actor</t>
        </is>
      </c>
      <c r="K302" t="inlineStr">
        <is>
          <t>public_policy_anchor</t>
        </is>
      </c>
      <c r="L302" s="5" t="inlineStr">
        <is>
          <t>technologie</t>
        </is>
      </c>
      <c r="M302" s="5" t="inlineStr">
        <is>
          <t>cyber_resilienz_kritische_infrastruktur</t>
        </is>
      </c>
      <c r="N302" s="5" t="inlineStr">
        <is>
          <t>Cyberresilienz und kritische Infrastruktur</t>
        </is>
      </c>
      <c r="O302" s="5" t="n">
        <v>5</v>
      </c>
      <c r="P302" s="5" t="n">
        <v>4</v>
      </c>
      <c r="Q302" s="5" t="n">
        <v>13</v>
      </c>
      <c r="R302" s="5" t="n">
        <v>4</v>
      </c>
      <c r="S302" s="5" t="n">
        <v>0</v>
      </c>
      <c r="T302" s="5" t="n">
        <v>0</v>
      </c>
      <c r="U302" s="5" t="n">
        <v>2</v>
      </c>
      <c r="V302" s="5" t="n">
        <v>6</v>
      </c>
      <c r="W302" s="5" t="n">
        <v>6</v>
      </c>
      <c r="X302" s="5" t="n">
        <v>0</v>
      </c>
      <c r="Y302" s="5" t="n">
        <v>0</v>
      </c>
      <c r="Z302" s="5" t="n">
        <v>0</v>
      </c>
      <c r="AA302" s="5" t="n">
        <v>0</v>
      </c>
      <c r="AB302" s="5" t="n">
        <v>25.519585</v>
      </c>
      <c r="AC302" s="5" t="inlineStr">
        <is>
          <t>Wie schützen Unternehmen, Kommunen und Versorger digitale Systeme, Daten und kritische Infrastruktur?</t>
        </is>
      </c>
      <c r="AD302" s="5" t="inlineStr">
        <is>
          <t>Cyberresilienz und kritische Infrastruktur: Deutsche Telekom AG (profit_anchor, 5) + Landkreistag Rheinland-Pfalz (context_actor, 4).</t>
        </is>
      </c>
      <c r="AE302" s="5" t="inlineStr">
        <is>
          <t>Deutsche Telekom AG | Landkreistag Rheinland-Pfalz</t>
        </is>
      </c>
      <c r="AF302" s="5" t="inlineStr">
        <is>
          <t>cyber-resilienz-kritische-infrastruktur-deutsche-telekom-ag-landkreistag-rheinland-pfalz</t>
        </is>
      </c>
    </row>
    <row r="303">
      <c r="A303" s="5" t="inlineStr">
        <is>
          <t>C0302</t>
        </is>
      </c>
      <c r="B303" s="5" t="inlineStr">
        <is>
          <t>x_0302</t>
        </is>
      </c>
      <c r="C303" s="5" t="n">
        <v>0</v>
      </c>
      <c r="D303" s="5" t="inlineStr">
        <is>
          <t>Deutsche Telekom AG</t>
        </is>
      </c>
      <c r="E303" s="5" t="inlineStr">
        <is>
          <t>Universität Trier</t>
        </is>
      </c>
      <c r="F303" s="5" t="n">
        <v>18</v>
      </c>
      <c r="G303" s="5" t="n">
        <v>93</v>
      </c>
      <c r="H303" s="5" t="inlineStr">
        <is>
          <t>profit_anchor</t>
        </is>
      </c>
      <c r="I303" t="inlineStr">
        <is>
          <t>technology_digital_anchor</t>
        </is>
      </c>
      <c r="J303" s="5" t="inlineStr">
        <is>
          <t>academic_support</t>
        </is>
      </c>
      <c r="K303" t="inlineStr">
        <is>
          <t>university_research</t>
        </is>
      </c>
      <c r="L303" s="5" t="inlineStr">
        <is>
          <t>technologie</t>
        </is>
      </c>
      <c r="M303" s="5" t="inlineStr">
        <is>
          <t>cyber_resilienz_kritische_infrastruktur</t>
        </is>
      </c>
      <c r="N303" s="5" t="inlineStr">
        <is>
          <t>Cyberresilienz und kritische Infrastruktur</t>
        </is>
      </c>
      <c r="O303" s="5" t="n">
        <v>5</v>
      </c>
      <c r="P303" s="5" t="n">
        <v>4</v>
      </c>
      <c r="Q303" s="5" t="n">
        <v>13</v>
      </c>
      <c r="R303" s="5" t="n">
        <v>4</v>
      </c>
      <c r="S303" s="5" t="n">
        <v>0</v>
      </c>
      <c r="T303" s="5" t="n">
        <v>0</v>
      </c>
      <c r="U303" s="5" t="n">
        <v>2</v>
      </c>
      <c r="V303" s="5" t="n">
        <v>6</v>
      </c>
      <c r="W303" s="5" t="n">
        <v>6</v>
      </c>
      <c r="X303" s="5" t="n">
        <v>0</v>
      </c>
      <c r="Y303" s="5" t="n">
        <v>0</v>
      </c>
      <c r="Z303" s="5" t="n">
        <v>0</v>
      </c>
      <c r="AA303" s="5" t="n">
        <v>0</v>
      </c>
      <c r="AB303" s="5" t="n">
        <v>27.71863</v>
      </c>
      <c r="AC303" s="5" t="inlineStr">
        <is>
          <t>Wie schützen Unternehmen, Kommunen und Versorger digitale Systeme, Daten und kritische Infrastruktur?</t>
        </is>
      </c>
      <c r="AD303" s="5" t="inlineStr">
        <is>
          <t>Cyberresilienz und kritische Infrastruktur: Deutsche Telekom AG (profit_anchor, 5) + Universität Trier (academic_support, 4).</t>
        </is>
      </c>
      <c r="AE303" s="5" t="inlineStr">
        <is>
          <t>Deutsche Telekom AG | Universität Trier</t>
        </is>
      </c>
      <c r="AF303" s="5" t="inlineStr">
        <is>
          <t>cyber-resilienz-kritische-infrastruktur-deutsche-telekom-ag-universität-trier</t>
        </is>
      </c>
    </row>
    <row r="304">
      <c r="A304" s="5" t="inlineStr">
        <is>
          <t>C0303</t>
        </is>
      </c>
      <c r="B304" s="5" t="inlineStr">
        <is>
          <t>x_0303</t>
        </is>
      </c>
      <c r="C304" s="5" t="n">
        <v>0</v>
      </c>
      <c r="D304" s="5" t="inlineStr">
        <is>
          <t>ENTEGA Plus GmbH</t>
        </is>
      </c>
      <c r="E304" s="5" t="inlineStr">
        <is>
          <t>Landkreistag Rheinland-Pfalz</t>
        </is>
      </c>
      <c r="F304" s="5" t="n">
        <v>24</v>
      </c>
      <c r="G304" s="5" t="n">
        <v>63</v>
      </c>
      <c r="H304" s="5" t="inlineStr">
        <is>
          <t>profit_anchor</t>
        </is>
      </c>
      <c r="I304" t="inlineStr">
        <is>
          <t>energy_infrastructure_anchor</t>
        </is>
      </c>
      <c r="J304" s="5" t="inlineStr">
        <is>
          <t>context_actor</t>
        </is>
      </c>
      <c r="K304" t="inlineStr">
        <is>
          <t>public_policy_anchor</t>
        </is>
      </c>
      <c r="L304" s="5" t="inlineStr">
        <is>
          <t>technologie</t>
        </is>
      </c>
      <c r="M304" s="5" t="inlineStr">
        <is>
          <t>cyber_resilienz_kritische_infrastruktur</t>
        </is>
      </c>
      <c r="N304" s="5" t="inlineStr">
        <is>
          <t>Cyberresilienz und kritische Infrastruktur</t>
        </is>
      </c>
      <c r="O304" s="5" t="n">
        <v>5</v>
      </c>
      <c r="P304" s="5" t="n">
        <v>4</v>
      </c>
      <c r="Q304" s="5" t="n">
        <v>13</v>
      </c>
      <c r="R304" s="5" t="n">
        <v>4</v>
      </c>
      <c r="S304" s="5" t="n">
        <v>0</v>
      </c>
      <c r="T304" s="5" t="n">
        <v>0</v>
      </c>
      <c r="U304" s="5" t="n">
        <v>2</v>
      </c>
      <c r="V304" s="5" t="n">
        <v>6</v>
      </c>
      <c r="W304" s="5" t="n">
        <v>6</v>
      </c>
      <c r="X304" s="5" t="n">
        <v>0</v>
      </c>
      <c r="Y304" s="5" t="n">
        <v>0</v>
      </c>
      <c r="Z304" s="5" t="n">
        <v>0</v>
      </c>
      <c r="AA304" s="5" t="n">
        <v>0</v>
      </c>
      <c r="AB304" s="5" t="n">
        <v>25.519585</v>
      </c>
      <c r="AC304" s="5" t="inlineStr">
        <is>
          <t>Wie schützen Unternehmen, Kommunen und Versorger digitale Systeme, Daten und kritische Infrastruktur?</t>
        </is>
      </c>
      <c r="AD304" s="5" t="inlineStr">
        <is>
          <t>Cyberresilienz und kritische Infrastruktur: ENTEGA Plus GmbH (profit_anchor, 5) + Landkreistag Rheinland-Pfalz (context_actor, 4).</t>
        </is>
      </c>
      <c r="AE304" s="5" t="inlineStr">
        <is>
          <t>ENTEGA Plus GmbH | Landkreistag Rheinland-Pfalz</t>
        </is>
      </c>
      <c r="AF304" s="5" t="inlineStr">
        <is>
          <t>cyber-resilienz-kritische-infrastruktur-entega-plus-gmbh-landkreistag-rheinland-pfalz</t>
        </is>
      </c>
    </row>
    <row r="305">
      <c r="A305" s="5" t="inlineStr">
        <is>
          <t>C0304</t>
        </is>
      </c>
      <c r="B305" s="5" t="inlineStr">
        <is>
          <t>x_0304</t>
        </is>
      </c>
      <c r="C305" s="5" t="n">
        <v>0</v>
      </c>
      <c r="D305" s="5" t="inlineStr">
        <is>
          <t>ENTEGA Plus GmbH</t>
        </is>
      </c>
      <c r="E305" s="5" t="inlineStr">
        <is>
          <t>Universität Trier</t>
        </is>
      </c>
      <c r="F305" s="5" t="n">
        <v>24</v>
      </c>
      <c r="G305" s="5" t="n">
        <v>93</v>
      </c>
      <c r="H305" s="5" t="inlineStr">
        <is>
          <t>profit_anchor</t>
        </is>
      </c>
      <c r="I305" t="inlineStr">
        <is>
          <t>energy_infrastructure_anchor</t>
        </is>
      </c>
      <c r="J305" s="5" t="inlineStr">
        <is>
          <t>academic_support</t>
        </is>
      </c>
      <c r="K305" t="inlineStr">
        <is>
          <t>university_research</t>
        </is>
      </c>
      <c r="L305" s="5" t="inlineStr">
        <is>
          <t>technologie</t>
        </is>
      </c>
      <c r="M305" s="5" t="inlineStr">
        <is>
          <t>cyber_resilienz_kritische_infrastruktur</t>
        </is>
      </c>
      <c r="N305" s="5" t="inlineStr">
        <is>
          <t>Cyberresilienz und kritische Infrastruktur</t>
        </is>
      </c>
      <c r="O305" s="5" t="n">
        <v>5</v>
      </c>
      <c r="P305" s="5" t="n">
        <v>4</v>
      </c>
      <c r="Q305" s="5" t="n">
        <v>13</v>
      </c>
      <c r="R305" s="5" t="n">
        <v>4</v>
      </c>
      <c r="S305" s="5" t="n">
        <v>0</v>
      </c>
      <c r="T305" s="5" t="n">
        <v>0</v>
      </c>
      <c r="U305" s="5" t="n">
        <v>2</v>
      </c>
      <c r="V305" s="5" t="n">
        <v>6</v>
      </c>
      <c r="W305" s="5" t="n">
        <v>6</v>
      </c>
      <c r="X305" s="5" t="n">
        <v>0</v>
      </c>
      <c r="Y305" s="5" t="n">
        <v>0</v>
      </c>
      <c r="Z305" s="5" t="n">
        <v>0</v>
      </c>
      <c r="AA305" s="5" t="n">
        <v>0</v>
      </c>
      <c r="AB305" s="5" t="n">
        <v>27.71863</v>
      </c>
      <c r="AC305" s="5" t="inlineStr">
        <is>
          <t>Wie schützen Unternehmen, Kommunen und Versorger digitale Systeme, Daten und kritische Infrastruktur?</t>
        </is>
      </c>
      <c r="AD305" s="5" t="inlineStr">
        <is>
          <t>Cyberresilienz und kritische Infrastruktur: ENTEGA Plus GmbH (profit_anchor, 5) + Universität Trier (academic_support, 4).</t>
        </is>
      </c>
      <c r="AE305" s="5" t="inlineStr">
        <is>
          <t>ENTEGA Plus GmbH | Universität Trier</t>
        </is>
      </c>
      <c r="AF305" s="5" t="inlineStr">
        <is>
          <t>cyber-resilienz-kritische-infrastruktur-entega-plus-gmbh-universität-trier</t>
        </is>
      </c>
    </row>
    <row r="306">
      <c r="A306" s="5" t="inlineStr">
        <is>
          <t>C0305</t>
        </is>
      </c>
      <c r="B306" s="5" t="inlineStr">
        <is>
          <t>x_0305</t>
        </is>
      </c>
      <c r="C306" s="5" t="n">
        <v>0</v>
      </c>
      <c r="D306" s="5" t="inlineStr">
        <is>
          <t>Caritasverband für die Diözese Speyer e.V.</t>
        </is>
      </c>
      <c r="E306" s="5" t="inlineStr">
        <is>
          <t>Evangelische Kirche der Pfalz</t>
        </is>
      </c>
      <c r="F306" s="5" t="n">
        <v>14</v>
      </c>
      <c r="G306" s="5" t="n">
        <v>28</v>
      </c>
      <c r="H306" s="5" t="inlineStr">
        <is>
          <t>implementation_anchor</t>
        </is>
      </c>
      <c r="I306" t="inlineStr">
        <is>
          <t>health_social_anchor</t>
        </is>
      </c>
      <c r="J306" s="5" t="inlineStr">
        <is>
          <t>context_actor</t>
        </is>
      </c>
      <c r="K306" t="inlineStr">
        <is>
          <t>culture_foundation_anchor</t>
        </is>
      </c>
      <c r="L306" s="5" t="inlineStr">
        <is>
          <t>gesellschaft</t>
        </is>
      </c>
      <c r="M306" s="5" t="inlineStr">
        <is>
          <t>demokratie_medien_zusammenhalt</t>
        </is>
      </c>
      <c r="N306" s="5" t="inlineStr">
        <is>
          <t>Demokratie, Medien und gesellschaftlicher Zusammenhalt</t>
        </is>
      </c>
      <c r="O306" s="5" t="n">
        <v>4</v>
      </c>
      <c r="P306" s="5" t="n">
        <v>5</v>
      </c>
      <c r="Q306" s="5" t="n">
        <v>13</v>
      </c>
      <c r="R306" s="5" t="n">
        <v>4</v>
      </c>
      <c r="S306" s="5" t="n">
        <v>0</v>
      </c>
      <c r="T306" s="5" t="n">
        <v>0</v>
      </c>
      <c r="U306" s="5" t="n">
        <v>2</v>
      </c>
      <c r="V306" s="5" t="n">
        <v>6</v>
      </c>
      <c r="W306" s="5" t="n">
        <v>6</v>
      </c>
      <c r="X306" s="5" t="n">
        <v>0</v>
      </c>
      <c r="Y306" s="5" t="n">
        <v>0</v>
      </c>
      <c r="Z306" s="5" t="n">
        <v>0</v>
      </c>
      <c r="AA306" s="5" t="n">
        <v>0</v>
      </c>
      <c r="AB306" s="5" t="n">
        <v>47.933362</v>
      </c>
      <c r="AC306" s="5" t="inlineStr">
        <is>
          <t>Wie stärken Medien, Bildung, Kirchen, Wissenschaft und Zivilgesellschaft Vertrauen und demokratische Orientierung?</t>
        </is>
      </c>
      <c r="AD306" s="5" t="inlineStr">
        <is>
          <t>Demokratie, Medien und gesellschaftlicher Zusammenhalt: Caritasverband für die Diözese Speyer e.V. (implementation_anchor, 4) + Evangelische Kirche der Pfalz (context_actor, 5).</t>
        </is>
      </c>
      <c r="AE306" s="5" t="inlineStr">
        <is>
          <t>Caritasverband für die Diözese Speyer e.V. | Evangelische Kirche der Pfalz</t>
        </is>
      </c>
      <c r="AF306" s="5" t="inlineStr">
        <is>
          <t>demokratie-medien-zusammenhalt-caritasverband-für-die-diözese-speyer-e-v-evangelische-kirche-de</t>
        </is>
      </c>
    </row>
    <row r="307">
      <c r="A307" s="5" t="inlineStr">
        <is>
          <t>C0306</t>
        </is>
      </c>
      <c r="B307" s="5" t="inlineStr">
        <is>
          <t>x_0306</t>
        </is>
      </c>
      <c r="C307" s="5" t="n">
        <v>0</v>
      </c>
      <c r="D307" s="5" t="inlineStr">
        <is>
          <t>Caritasverband für die Diözese Speyer e.V.</t>
        </is>
      </c>
      <c r="E307" s="5" t="inlineStr">
        <is>
          <t>RPR1.</t>
        </is>
      </c>
      <c r="F307" s="5" t="n">
        <v>14</v>
      </c>
      <c r="G307" s="5" t="n">
        <v>76</v>
      </c>
      <c r="H307" s="5" t="inlineStr">
        <is>
          <t>implementation_anchor</t>
        </is>
      </c>
      <c r="I307" t="inlineStr">
        <is>
          <t>health_social_anchor</t>
        </is>
      </c>
      <c r="J307" s="5" t="inlineStr">
        <is>
          <t>context_actor</t>
        </is>
      </c>
      <c r="K307" t="inlineStr">
        <is>
          <t>media_publicity_anchor</t>
        </is>
      </c>
      <c r="L307" s="5" t="inlineStr">
        <is>
          <t>gesellschaft</t>
        </is>
      </c>
      <c r="M307" s="5" t="inlineStr">
        <is>
          <t>demokratie_medien_zusammenhalt</t>
        </is>
      </c>
      <c r="N307" s="5" t="inlineStr">
        <is>
          <t>Demokratie, Medien und gesellschaftlicher Zusammenhalt</t>
        </is>
      </c>
      <c r="O307" s="5" t="n">
        <v>4</v>
      </c>
      <c r="P307" s="5" t="n">
        <v>5</v>
      </c>
      <c r="Q307" s="5" t="n">
        <v>13</v>
      </c>
      <c r="R307" s="5" t="n">
        <v>4</v>
      </c>
      <c r="S307" s="5" t="n">
        <v>0</v>
      </c>
      <c r="T307" s="5" t="n">
        <v>0</v>
      </c>
      <c r="U307" s="5" t="n">
        <v>2</v>
      </c>
      <c r="V307" s="5" t="n">
        <v>6</v>
      </c>
      <c r="W307" s="5" t="n">
        <v>6</v>
      </c>
      <c r="X307" s="5" t="n">
        <v>0</v>
      </c>
      <c r="Y307" s="5" t="n">
        <v>0</v>
      </c>
      <c r="Z307" s="5" t="n">
        <v>0</v>
      </c>
      <c r="AA307" s="5" t="n">
        <v>0</v>
      </c>
      <c r="AB307" s="5" t="n">
        <v>47.933362</v>
      </c>
      <c r="AC307" s="5" t="inlineStr">
        <is>
          <t>Wie stärken Medien, Bildung, Kirchen, Wissenschaft und Zivilgesellschaft Vertrauen und demokratische Orientierung?</t>
        </is>
      </c>
      <c r="AD307" s="5" t="inlineStr">
        <is>
          <t>Demokratie, Medien und gesellschaftlicher Zusammenhalt: Caritasverband für die Diözese Speyer e.V. (implementation_anchor, 4) + RPR1. (context_actor, 5).</t>
        </is>
      </c>
      <c r="AE307" s="5" t="inlineStr">
        <is>
          <t>Caritasverband für die Diözese Speyer e.V. | RPR1.</t>
        </is>
      </c>
      <c r="AF307" s="5" t="inlineStr">
        <is>
          <t>demokratie-medien-zusammenhalt-caritasverband-für-die-diözese-speyer-e-v-rpr1</t>
        </is>
      </c>
    </row>
    <row r="308">
      <c r="A308" s="5" t="inlineStr">
        <is>
          <t>C0307</t>
        </is>
      </c>
      <c r="B308" s="5" t="inlineStr">
        <is>
          <t>x_0307</t>
        </is>
      </c>
      <c r="C308" s="5" t="n">
        <v>0</v>
      </c>
      <c r="D308" s="5" t="inlineStr">
        <is>
          <t>Caritasverband für die Diözese Speyer e.V.</t>
        </is>
      </c>
      <c r="E308" s="5" t="inlineStr">
        <is>
          <t>SWR – Südwestrundfunk</t>
        </is>
      </c>
      <c r="F308" s="5" t="n">
        <v>14</v>
      </c>
      <c r="G308" s="5" t="n">
        <v>86</v>
      </c>
      <c r="H308" s="5" t="inlineStr">
        <is>
          <t>implementation_anchor</t>
        </is>
      </c>
      <c r="I308" t="inlineStr">
        <is>
          <t>health_social_anchor</t>
        </is>
      </c>
      <c r="J308" s="5" t="inlineStr">
        <is>
          <t>context_actor</t>
        </is>
      </c>
      <c r="K308" t="inlineStr">
        <is>
          <t>media_publicity_anchor</t>
        </is>
      </c>
      <c r="L308" s="5" t="inlineStr">
        <is>
          <t>gesellschaft</t>
        </is>
      </c>
      <c r="M308" s="5" t="inlineStr">
        <is>
          <t>demokratie_medien_zusammenhalt</t>
        </is>
      </c>
      <c r="N308" s="5" t="inlineStr">
        <is>
          <t>Demokratie, Medien und gesellschaftlicher Zusammenhalt</t>
        </is>
      </c>
      <c r="O308" s="5" t="n">
        <v>4</v>
      </c>
      <c r="P308" s="5" t="n">
        <v>5</v>
      </c>
      <c r="Q308" s="5" t="n">
        <v>13</v>
      </c>
      <c r="R308" s="5" t="n">
        <v>4</v>
      </c>
      <c r="S308" s="5" t="n">
        <v>0</v>
      </c>
      <c r="T308" s="5" t="n">
        <v>0</v>
      </c>
      <c r="U308" s="5" t="n">
        <v>2</v>
      </c>
      <c r="V308" s="5" t="n">
        <v>6</v>
      </c>
      <c r="W308" s="5" t="n">
        <v>6</v>
      </c>
      <c r="X308" s="5" t="n">
        <v>0</v>
      </c>
      <c r="Y308" s="5" t="n">
        <v>0</v>
      </c>
      <c r="Z308" s="5" t="n">
        <v>0</v>
      </c>
      <c r="AA308" s="5" t="n">
        <v>0</v>
      </c>
      <c r="AB308" s="5" t="n">
        <v>47.933362</v>
      </c>
      <c r="AC308" s="5" t="inlineStr">
        <is>
          <t>Wie stärken Medien, Bildung, Kirchen, Wissenschaft und Zivilgesellschaft Vertrauen und demokratische Orientierung?</t>
        </is>
      </c>
      <c r="AD308" s="5" t="inlineStr">
        <is>
          <t>Demokratie, Medien und gesellschaftlicher Zusammenhalt: Caritasverband für die Diözese Speyer e.V. (implementation_anchor, 4) + SWR – Südwestrundfunk (context_actor, 5).</t>
        </is>
      </c>
      <c r="AE308" s="5" t="inlineStr">
        <is>
          <t>Caritasverband für die Diözese Speyer e.V. | SWR – Südwestrundfunk</t>
        </is>
      </c>
      <c r="AF308" s="5" t="inlineStr">
        <is>
          <t>demokratie-medien-zusammenhalt-caritasverband-für-die-diözese-speyer-e-v-swr-südwestrundfunk</t>
        </is>
      </c>
    </row>
    <row r="309">
      <c r="A309" s="5" t="inlineStr">
        <is>
          <t>C0308</t>
        </is>
      </c>
      <c r="B309" s="5" t="inlineStr">
        <is>
          <t>x_0308</t>
        </is>
      </c>
      <c r="C309" s="5" t="n">
        <v>0</v>
      </c>
      <c r="D309" s="5" t="inlineStr">
        <is>
          <t>Caritasverband für die Diözese Speyer e.V.</t>
        </is>
      </c>
      <c r="E309" s="5" t="inlineStr">
        <is>
          <t>Staatskanzlei des Landes Rheinland-Pfalz</t>
        </is>
      </c>
      <c r="F309" s="5" t="n">
        <v>14</v>
      </c>
      <c r="G309" s="5" t="n">
        <v>83</v>
      </c>
      <c r="H309" s="5" t="inlineStr">
        <is>
          <t>implementation_anchor</t>
        </is>
      </c>
      <c r="I309" t="inlineStr">
        <is>
          <t>health_social_anchor</t>
        </is>
      </c>
      <c r="J309" s="5" t="inlineStr">
        <is>
          <t>context_actor</t>
        </is>
      </c>
      <c r="K309" t="inlineStr">
        <is>
          <t>public_policy_anchor</t>
        </is>
      </c>
      <c r="L309" s="5" t="inlineStr">
        <is>
          <t>gesellschaft</t>
        </is>
      </c>
      <c r="M309" s="5" t="inlineStr">
        <is>
          <t>demokratie_medien_zusammenhalt</t>
        </is>
      </c>
      <c r="N309" s="5" t="inlineStr">
        <is>
          <t>Demokratie, Medien und gesellschaftlicher Zusammenhalt</t>
        </is>
      </c>
      <c r="O309" s="5" t="n">
        <v>4</v>
      </c>
      <c r="P309" s="5" t="n">
        <v>5</v>
      </c>
      <c r="Q309" s="5" t="n">
        <v>13</v>
      </c>
      <c r="R309" s="5" t="n">
        <v>4</v>
      </c>
      <c r="S309" s="5" t="n">
        <v>0</v>
      </c>
      <c r="T309" s="5" t="n">
        <v>0</v>
      </c>
      <c r="U309" s="5" t="n">
        <v>2</v>
      </c>
      <c r="V309" s="5" t="n">
        <v>6</v>
      </c>
      <c r="W309" s="5" t="n">
        <v>6</v>
      </c>
      <c r="X309" s="5" t="n">
        <v>0</v>
      </c>
      <c r="Y309" s="5" t="n">
        <v>0</v>
      </c>
      <c r="Z309" s="5" t="n">
        <v>0</v>
      </c>
      <c r="AA309" s="5" t="n">
        <v>0</v>
      </c>
      <c r="AB309" s="5" t="n">
        <v>37.129023</v>
      </c>
      <c r="AC309" s="5" t="inlineStr">
        <is>
          <t>Wie stärken Medien, Bildung, Kirchen, Wissenschaft und Zivilgesellschaft Vertrauen und demokratische Orientierung?</t>
        </is>
      </c>
      <c r="AD309" s="5" t="inlineStr">
        <is>
          <t>Demokratie, Medien und gesellschaftlicher Zusammenhalt: Caritasverband für die Diözese Speyer e.V. (implementation_anchor, 4) + Staatskanzlei des Landes Rheinland-Pfalz (context_actor, 5).</t>
        </is>
      </c>
      <c r="AE309" s="5" t="inlineStr">
        <is>
          <t>Caritasverband für die Diözese Speyer e.V. | Staatskanzlei des Landes Rheinland-Pfalz</t>
        </is>
      </c>
      <c r="AF309" s="5" t="inlineStr">
        <is>
          <t>demokratie-medien-zusammenhalt-caritasverband-für-die-diözese-speyer-e-v-staatskanzlei-des-land</t>
        </is>
      </c>
    </row>
    <row r="310">
      <c r="A310" s="5" t="inlineStr">
        <is>
          <t>C0309</t>
        </is>
      </c>
      <c r="B310" s="5" t="inlineStr">
        <is>
          <t>x_0309</t>
        </is>
      </c>
      <c r="C310" s="5" t="n">
        <v>0</v>
      </c>
      <c r="D310" s="5" t="inlineStr">
        <is>
          <t>Caritasverband für die Diözese Speyer e.V.</t>
        </is>
      </c>
      <c r="E310" s="5" t="inlineStr">
        <is>
          <t>ZDF – Zweites Deutsches Fernsehen</t>
        </is>
      </c>
      <c r="F310" s="5" t="n">
        <v>14</v>
      </c>
      <c r="G310" s="5" t="n">
        <v>102</v>
      </c>
      <c r="H310" s="5" t="inlineStr">
        <is>
          <t>implementation_anchor</t>
        </is>
      </c>
      <c r="I310" t="inlineStr">
        <is>
          <t>health_social_anchor</t>
        </is>
      </c>
      <c r="J310" s="5" t="inlineStr">
        <is>
          <t>context_actor</t>
        </is>
      </c>
      <c r="K310" t="inlineStr">
        <is>
          <t>media_publicity_anchor</t>
        </is>
      </c>
      <c r="L310" s="5" t="inlineStr">
        <is>
          <t>gesellschaft</t>
        </is>
      </c>
      <c r="M310" s="5" t="inlineStr">
        <is>
          <t>demokratie_medien_zusammenhalt</t>
        </is>
      </c>
      <c r="N310" s="5" t="inlineStr">
        <is>
          <t>Demokratie, Medien und gesellschaftlicher Zusammenhalt</t>
        </is>
      </c>
      <c r="O310" s="5" t="n">
        <v>4</v>
      </c>
      <c r="P310" s="5" t="n">
        <v>5</v>
      </c>
      <c r="Q310" s="5" t="n">
        <v>13</v>
      </c>
      <c r="R310" s="5" t="n">
        <v>4</v>
      </c>
      <c r="S310" s="5" t="n">
        <v>0</v>
      </c>
      <c r="T310" s="5" t="n">
        <v>0</v>
      </c>
      <c r="U310" s="5" t="n">
        <v>2</v>
      </c>
      <c r="V310" s="5" t="n">
        <v>6</v>
      </c>
      <c r="W310" s="5" t="n">
        <v>6</v>
      </c>
      <c r="X310" s="5" t="n">
        <v>0</v>
      </c>
      <c r="Y310" s="5" t="n">
        <v>0</v>
      </c>
      <c r="Z310" s="5" t="n">
        <v>0</v>
      </c>
      <c r="AA310" s="5" t="n">
        <v>0</v>
      </c>
      <c r="AB310" s="5" t="n">
        <v>47.933362</v>
      </c>
      <c r="AC310" s="5" t="inlineStr">
        <is>
          <t>Wie stärken Medien, Bildung, Kirchen, Wissenschaft und Zivilgesellschaft Vertrauen und demokratische Orientierung?</t>
        </is>
      </c>
      <c r="AD310" s="5" t="inlineStr">
        <is>
          <t>Demokratie, Medien und gesellschaftlicher Zusammenhalt: Caritasverband für die Diözese Speyer e.V. (implementation_anchor, 4) + ZDF – Zweites Deutsches Fernsehen (context_actor, 5).</t>
        </is>
      </c>
      <c r="AE310" s="5" t="inlineStr">
        <is>
          <t>Caritasverband für die Diözese Speyer e.V. | ZDF – Zweites Deutsches Fernsehen</t>
        </is>
      </c>
      <c r="AF310" s="5" t="inlineStr">
        <is>
          <t>demokratie-medien-zusammenhalt-caritasverband-für-die-diözese-speyer-e-v-zdf-zweites-deutsches-</t>
        </is>
      </c>
    </row>
    <row r="311">
      <c r="A311" s="5" t="inlineStr">
        <is>
          <t>C0310</t>
        </is>
      </c>
      <c r="B311" s="5" t="inlineStr">
        <is>
          <t>x_0310</t>
        </is>
      </c>
      <c r="C311" s="5" t="n">
        <v>0</v>
      </c>
      <c r="D311" s="5" t="inlineStr">
        <is>
          <t>Entwicklungsagentur Rheinland-Pfalz e.V.</t>
        </is>
      </c>
      <c r="E311" s="5" t="inlineStr">
        <is>
          <t>Hochschule für Gesellschaftsgestaltung (HfGG)</t>
        </is>
      </c>
      <c r="F311" s="5" t="n">
        <v>25</v>
      </c>
      <c r="G311" s="5" t="n">
        <v>34</v>
      </c>
      <c r="H311" s="5" t="inlineStr">
        <is>
          <t>implementation_anchor</t>
        </is>
      </c>
      <c r="I311" t="inlineStr">
        <is>
          <t>public_policy_anchor</t>
        </is>
      </c>
      <c r="J311" s="5" t="inlineStr">
        <is>
          <t>academic_support</t>
        </is>
      </c>
      <c r="K311" t="inlineStr">
        <is>
          <t>university_applied_sciences</t>
        </is>
      </c>
      <c r="L311" s="5" t="inlineStr">
        <is>
          <t>gesellschaft</t>
        </is>
      </c>
      <c r="M311" s="5" t="inlineStr">
        <is>
          <t>demokratie_medien_zusammenhalt</t>
        </is>
      </c>
      <c r="N311" s="5" t="inlineStr">
        <is>
          <t>Demokratie, Medien und gesellschaftlicher Zusammenhalt</t>
        </is>
      </c>
      <c r="O311" s="5" t="n">
        <v>3</v>
      </c>
      <c r="P311" s="5" t="n">
        <v>4</v>
      </c>
      <c r="Q311" s="5" t="n">
        <v>11</v>
      </c>
      <c r="R311" s="5" t="n">
        <v>4</v>
      </c>
      <c r="S311" s="5" t="n">
        <v>0</v>
      </c>
      <c r="T311" s="5" t="n">
        <v>0</v>
      </c>
      <c r="U311" s="5" t="n">
        <v>2</v>
      </c>
      <c r="V311" s="5" t="n">
        <v>7</v>
      </c>
      <c r="W311" s="5" t="n">
        <v>7</v>
      </c>
      <c r="X311" s="5" t="n">
        <v>0</v>
      </c>
      <c r="Y311" s="5" t="n">
        <v>0</v>
      </c>
      <c r="Z311" s="5" t="n">
        <v>0</v>
      </c>
      <c r="AA311" s="5" t="n">
        <v>0</v>
      </c>
      <c r="AB311" s="5" t="n">
        <v>39.946082</v>
      </c>
      <c r="AC311" s="5" t="inlineStr">
        <is>
          <t>Wie stärken Medien, Bildung, Kirchen, Wissenschaft und Zivilgesellschaft Vertrauen und demokratische Orientierung?</t>
        </is>
      </c>
      <c r="AD311" s="5" t="inlineStr">
        <is>
          <t>Demokratie, Medien und gesellschaftlicher Zusammenhalt: Entwicklungsagentur Rheinland-Pfalz e.V. (implementation_anchor, 3) + Hochschule für Gesellschaftsgestaltung (HfGG) (academic_support, 4).</t>
        </is>
      </c>
      <c r="AE311" s="5" t="inlineStr">
        <is>
          <t>Entwicklungsagentur Rheinland-Pfalz e.V. | Hochschule für Gesellschaftsgestaltung (HfGG)</t>
        </is>
      </c>
      <c r="AF311" s="5" t="inlineStr">
        <is>
          <t>demokratie-medien-zusammenhalt-entwicklungsagentur-rheinland-pfalz-e-v-hochschule-für-gesellsch</t>
        </is>
      </c>
    </row>
    <row r="312">
      <c r="A312" s="5" t="inlineStr">
        <is>
          <t>C0311</t>
        </is>
      </c>
      <c r="B312" s="5" t="inlineStr">
        <is>
          <t>x_0311</t>
        </is>
      </c>
      <c r="C312" s="5" t="n">
        <v>0</v>
      </c>
      <c r="D312" s="5" t="inlineStr">
        <is>
          <t>Entwicklungsagentur Rheinland-Pfalz e.V.</t>
        </is>
      </c>
      <c r="E312" s="5" t="inlineStr">
        <is>
          <t>Johannes Gutenberg-Universität Mainz</t>
        </is>
      </c>
      <c r="F312" s="5" t="n">
        <v>25</v>
      </c>
      <c r="G312" s="5" t="n">
        <v>49</v>
      </c>
      <c r="H312" s="5" t="inlineStr">
        <is>
          <t>implementation_anchor</t>
        </is>
      </c>
      <c r="I312" t="inlineStr">
        <is>
          <t>public_policy_anchor</t>
        </is>
      </c>
      <c r="J312" s="5" t="inlineStr">
        <is>
          <t>academic_support</t>
        </is>
      </c>
      <c r="K312" t="inlineStr">
        <is>
          <t>university_research</t>
        </is>
      </c>
      <c r="L312" s="5" t="inlineStr">
        <is>
          <t>gesellschaft</t>
        </is>
      </c>
      <c r="M312" s="5" t="inlineStr">
        <is>
          <t>demokratie_medien_zusammenhalt</t>
        </is>
      </c>
      <c r="N312" s="5" t="inlineStr">
        <is>
          <t>Demokratie, Medien und gesellschaftlicher Zusammenhalt</t>
        </is>
      </c>
      <c r="O312" s="5" t="n">
        <v>3</v>
      </c>
      <c r="P312" s="5" t="n">
        <v>4</v>
      </c>
      <c r="Q312" s="5" t="n">
        <v>11</v>
      </c>
      <c r="R312" s="5" t="n">
        <v>4</v>
      </c>
      <c r="S312" s="5" t="n">
        <v>0</v>
      </c>
      <c r="T312" s="5" t="n">
        <v>0</v>
      </c>
      <c r="U312" s="5" t="n">
        <v>2</v>
      </c>
      <c r="V312" s="5" t="n">
        <v>7</v>
      </c>
      <c r="W312" s="5" t="n">
        <v>7</v>
      </c>
      <c r="X312" s="5" t="n">
        <v>0</v>
      </c>
      <c r="Y312" s="5" t="n">
        <v>0</v>
      </c>
      <c r="Z312" s="5" t="n">
        <v>0</v>
      </c>
      <c r="AA312" s="5" t="n">
        <v>0</v>
      </c>
      <c r="AB312" s="5" t="n">
        <v>43.789373</v>
      </c>
      <c r="AC312" s="5" t="inlineStr">
        <is>
          <t>Wie stärken Medien, Bildung, Kirchen, Wissenschaft und Zivilgesellschaft Vertrauen und demokratische Orientierung?</t>
        </is>
      </c>
      <c r="AD312" s="5" t="inlineStr">
        <is>
          <t>Demokratie, Medien und gesellschaftlicher Zusammenhalt: Entwicklungsagentur Rheinland-Pfalz e.V. (implementation_anchor, 3) + Johannes Gutenberg-Universität Mainz (academic_support, 4).</t>
        </is>
      </c>
      <c r="AE312" s="5" t="inlineStr">
        <is>
          <t>Entwicklungsagentur Rheinland-Pfalz e.V. | Johannes Gutenberg-Universität Mainz</t>
        </is>
      </c>
      <c r="AF312" s="5" t="inlineStr">
        <is>
          <t>demokratie-medien-zusammenhalt-entwicklungsagentur-rheinland-pfalz-e-v-johannes-gutenberg-unive</t>
        </is>
      </c>
    </row>
    <row r="313">
      <c r="A313" s="5" t="inlineStr">
        <is>
          <t>C0312</t>
        </is>
      </c>
      <c r="B313" s="5" t="inlineStr">
        <is>
          <t>x_0312</t>
        </is>
      </c>
      <c r="C313" s="5" t="n">
        <v>0</v>
      </c>
      <c r="D313" s="5" t="inlineStr">
        <is>
          <t>Entwicklungsagentur Rheinland-Pfalz e.V.</t>
        </is>
      </c>
      <c r="E313" s="5" t="inlineStr">
        <is>
          <t>Katholische Hochschule Mainz</t>
        </is>
      </c>
      <c r="F313" s="5" t="n">
        <v>25</v>
      </c>
      <c r="G313" s="5" t="n">
        <v>55</v>
      </c>
      <c r="H313" s="5" t="inlineStr">
        <is>
          <t>implementation_anchor</t>
        </is>
      </c>
      <c r="I313" t="inlineStr">
        <is>
          <t>public_policy_anchor</t>
        </is>
      </c>
      <c r="J313" s="5" t="inlineStr">
        <is>
          <t>academic_support</t>
        </is>
      </c>
      <c r="K313" t="inlineStr">
        <is>
          <t>university_applied_sciences</t>
        </is>
      </c>
      <c r="L313" s="5" t="inlineStr">
        <is>
          <t>gesellschaft</t>
        </is>
      </c>
      <c r="M313" s="5" t="inlineStr">
        <is>
          <t>demokratie_medien_zusammenhalt</t>
        </is>
      </c>
      <c r="N313" s="5" t="inlineStr">
        <is>
          <t>Demokratie, Medien und gesellschaftlicher Zusammenhalt</t>
        </is>
      </c>
      <c r="O313" s="5" t="n">
        <v>3</v>
      </c>
      <c r="P313" s="5" t="n">
        <v>4</v>
      </c>
      <c r="Q313" s="5" t="n">
        <v>11</v>
      </c>
      <c r="R313" s="5" t="n">
        <v>4</v>
      </c>
      <c r="S313" s="5" t="n">
        <v>0</v>
      </c>
      <c r="T313" s="5" t="n">
        <v>0</v>
      </c>
      <c r="U313" s="5" t="n">
        <v>2</v>
      </c>
      <c r="V313" s="5" t="n">
        <v>7</v>
      </c>
      <c r="W313" s="5" t="n">
        <v>7</v>
      </c>
      <c r="X313" s="5" t="n">
        <v>0</v>
      </c>
      <c r="Y313" s="5" t="n">
        <v>0</v>
      </c>
      <c r="Z313" s="5" t="n">
        <v>0</v>
      </c>
      <c r="AA313" s="5" t="n">
        <v>0</v>
      </c>
      <c r="AB313" s="5" t="n">
        <v>39.946082</v>
      </c>
      <c r="AC313" s="5" t="inlineStr">
        <is>
          <t>Wie stärken Medien, Bildung, Kirchen, Wissenschaft und Zivilgesellschaft Vertrauen und demokratische Orientierung?</t>
        </is>
      </c>
      <c r="AD313" s="5" t="inlineStr">
        <is>
          <t>Demokratie, Medien und gesellschaftlicher Zusammenhalt: Entwicklungsagentur Rheinland-Pfalz e.V. (implementation_anchor, 3) + Katholische Hochschule Mainz (academic_support, 4).</t>
        </is>
      </c>
      <c r="AE313" s="5" t="inlineStr">
        <is>
          <t>Entwicklungsagentur Rheinland-Pfalz e.V. | Katholische Hochschule Mainz</t>
        </is>
      </c>
      <c r="AF313" s="5" t="inlineStr">
        <is>
          <t>demokratie-medien-zusammenhalt-entwicklungsagentur-rheinland-pfalz-e-v-katholische-hochschule-m</t>
        </is>
      </c>
    </row>
    <row r="314">
      <c r="A314" s="5" t="inlineStr">
        <is>
          <t>C0313</t>
        </is>
      </c>
      <c r="B314" s="5" t="inlineStr">
        <is>
          <t>x_0313</t>
        </is>
      </c>
      <c r="C314" s="5" t="n">
        <v>0</v>
      </c>
      <c r="D314" s="5" t="inlineStr">
        <is>
          <t>Entwicklungsagentur Rheinland-Pfalz e.V.</t>
        </is>
      </c>
      <c r="E314" s="5" t="inlineStr">
        <is>
          <t>Universität Koblenz</t>
        </is>
      </c>
      <c r="F314" s="5" t="n">
        <v>25</v>
      </c>
      <c r="G314" s="5" t="n">
        <v>92</v>
      </c>
      <c r="H314" s="5" t="inlineStr">
        <is>
          <t>implementation_anchor</t>
        </is>
      </c>
      <c r="I314" t="inlineStr">
        <is>
          <t>public_policy_anchor</t>
        </is>
      </c>
      <c r="J314" s="5" t="inlineStr">
        <is>
          <t>academic_support</t>
        </is>
      </c>
      <c r="K314" t="inlineStr">
        <is>
          <t>university_research</t>
        </is>
      </c>
      <c r="L314" s="5" t="inlineStr">
        <is>
          <t>gesellschaft</t>
        </is>
      </c>
      <c r="M314" s="5" t="inlineStr">
        <is>
          <t>demokratie_medien_zusammenhalt</t>
        </is>
      </c>
      <c r="N314" s="5" t="inlineStr">
        <is>
          <t>Demokratie, Medien und gesellschaftlicher Zusammenhalt</t>
        </is>
      </c>
      <c r="O314" s="5" t="n">
        <v>3</v>
      </c>
      <c r="P314" s="5" t="n">
        <v>4</v>
      </c>
      <c r="Q314" s="5" t="n">
        <v>11</v>
      </c>
      <c r="R314" s="5" t="n">
        <v>4</v>
      </c>
      <c r="S314" s="5" t="n">
        <v>0</v>
      </c>
      <c r="T314" s="5" t="n">
        <v>0</v>
      </c>
      <c r="U314" s="5" t="n">
        <v>2</v>
      </c>
      <c r="V314" s="5" t="n">
        <v>7</v>
      </c>
      <c r="W314" s="5" t="n">
        <v>7</v>
      </c>
      <c r="X314" s="5" t="n">
        <v>0</v>
      </c>
      <c r="Y314" s="5" t="n">
        <v>0</v>
      </c>
      <c r="Z314" s="5" t="n">
        <v>0</v>
      </c>
      <c r="AA314" s="5" t="n">
        <v>0</v>
      </c>
      <c r="AB314" s="5" t="n">
        <v>43.789373</v>
      </c>
      <c r="AC314" s="5" t="inlineStr">
        <is>
          <t>Wie stärken Medien, Bildung, Kirchen, Wissenschaft und Zivilgesellschaft Vertrauen und demokratische Orientierung?</t>
        </is>
      </c>
      <c r="AD314" s="5" t="inlineStr">
        <is>
          <t>Demokratie, Medien und gesellschaftlicher Zusammenhalt: Entwicklungsagentur Rheinland-Pfalz e.V. (implementation_anchor, 3) + Universität Koblenz (academic_support, 4).</t>
        </is>
      </c>
      <c r="AE314" s="5" t="inlineStr">
        <is>
          <t>Entwicklungsagentur Rheinland-Pfalz e.V. | Universität Koblenz</t>
        </is>
      </c>
      <c r="AF314" s="5" t="inlineStr">
        <is>
          <t>demokratie-medien-zusammenhalt-entwicklungsagentur-rheinland-pfalz-e-v-universität-koblenz</t>
        </is>
      </c>
    </row>
    <row r="315">
      <c r="A315" s="5" t="inlineStr">
        <is>
          <t>C0314</t>
        </is>
      </c>
      <c r="B315" s="5" t="inlineStr">
        <is>
          <t>x_0314</t>
        </is>
      </c>
      <c r="C315" s="5" t="n">
        <v>0</v>
      </c>
      <c r="D315" s="5" t="inlineStr">
        <is>
          <t>Entwicklungsagentur Rheinland-Pfalz e.V.</t>
        </is>
      </c>
      <c r="E315" s="5" t="inlineStr">
        <is>
          <t>Universität Trier</t>
        </is>
      </c>
      <c r="F315" s="5" t="n">
        <v>25</v>
      </c>
      <c r="G315" s="5" t="n">
        <v>93</v>
      </c>
      <c r="H315" s="5" t="inlineStr">
        <is>
          <t>implementation_anchor</t>
        </is>
      </c>
      <c r="I315" t="inlineStr">
        <is>
          <t>public_policy_anchor</t>
        </is>
      </c>
      <c r="J315" s="5" t="inlineStr">
        <is>
          <t>academic_support</t>
        </is>
      </c>
      <c r="K315" t="inlineStr">
        <is>
          <t>university_research</t>
        </is>
      </c>
      <c r="L315" s="5" t="inlineStr">
        <is>
          <t>gesellschaft</t>
        </is>
      </c>
      <c r="M315" s="5" t="inlineStr">
        <is>
          <t>demokratie_medien_zusammenhalt</t>
        </is>
      </c>
      <c r="N315" s="5" t="inlineStr">
        <is>
          <t>Demokratie, Medien und gesellschaftlicher Zusammenhalt</t>
        </is>
      </c>
      <c r="O315" s="5" t="n">
        <v>3</v>
      </c>
      <c r="P315" s="5" t="n">
        <v>4</v>
      </c>
      <c r="Q315" s="5" t="n">
        <v>11</v>
      </c>
      <c r="R315" s="5" t="n">
        <v>4</v>
      </c>
      <c r="S315" s="5" t="n">
        <v>0</v>
      </c>
      <c r="T315" s="5" t="n">
        <v>0</v>
      </c>
      <c r="U315" s="5" t="n">
        <v>2</v>
      </c>
      <c r="V315" s="5" t="n">
        <v>7</v>
      </c>
      <c r="W315" s="5" t="n">
        <v>7</v>
      </c>
      <c r="X315" s="5" t="n">
        <v>0</v>
      </c>
      <c r="Y315" s="5" t="n">
        <v>0</v>
      </c>
      <c r="Z315" s="5" t="n">
        <v>0</v>
      </c>
      <c r="AA315" s="5" t="n">
        <v>0</v>
      </c>
      <c r="AB315" s="5" t="n">
        <v>43.789373</v>
      </c>
      <c r="AC315" s="5" t="inlineStr">
        <is>
          <t>Wie stärken Medien, Bildung, Kirchen, Wissenschaft und Zivilgesellschaft Vertrauen und demokratische Orientierung?</t>
        </is>
      </c>
      <c r="AD315" s="5" t="inlineStr">
        <is>
          <t>Demokratie, Medien und gesellschaftlicher Zusammenhalt: Entwicklungsagentur Rheinland-Pfalz e.V. (implementation_anchor, 3) + Universität Trier (academic_support, 4).</t>
        </is>
      </c>
      <c r="AE315" s="5" t="inlineStr">
        <is>
          <t>Entwicklungsagentur Rheinland-Pfalz e.V. | Universität Trier</t>
        </is>
      </c>
      <c r="AF315" s="5" t="inlineStr">
        <is>
          <t>demokratie-medien-zusammenhalt-entwicklungsagentur-rheinland-pfalz-e-v-universität-trier</t>
        </is>
      </c>
    </row>
    <row r="316">
      <c r="A316" s="5" t="inlineStr">
        <is>
          <t>C0315</t>
        </is>
      </c>
      <c r="B316" s="5" t="inlineStr">
        <is>
          <t>x_0315</t>
        </is>
      </c>
      <c r="C316" s="5" t="n">
        <v>0</v>
      </c>
      <c r="D316" s="5" t="inlineStr">
        <is>
          <t>Debeka Versicherungsgruppe</t>
        </is>
      </c>
      <c r="E316" s="5" t="inlineStr">
        <is>
          <t>Investitions- und Strukturbank Rheinland-Pfalz (ISB)</t>
        </is>
      </c>
      <c r="F316" s="5" t="n">
        <v>16</v>
      </c>
      <c r="G316" s="5" t="n">
        <v>45</v>
      </c>
      <c r="H316" s="5" t="inlineStr">
        <is>
          <t>profit_anchor</t>
        </is>
      </c>
      <c r="I316" t="inlineStr">
        <is>
          <t>bank_finance_anchor</t>
        </is>
      </c>
      <c r="J316" s="5" t="inlineStr">
        <is>
          <t>context_actor</t>
        </is>
      </c>
      <c r="K316" t="inlineStr">
        <is>
          <t>bank_finance_anchor</t>
        </is>
      </c>
      <c r="L316" s="5" t="inlineStr">
        <is>
          <t>wirtschaft</t>
        </is>
      </c>
      <c r="M316" s="5" t="inlineStr">
        <is>
          <t>finanzierung_foerderung_transformation</t>
        </is>
      </c>
      <c r="N316" s="5" t="inlineStr">
        <is>
          <t>Finanzierung und Förderung von Transformation</t>
        </is>
      </c>
      <c r="O316" s="5" t="n">
        <v>4</v>
      </c>
      <c r="P316" s="5" t="n">
        <v>5</v>
      </c>
      <c r="Q316" s="5" t="n">
        <v>13</v>
      </c>
      <c r="R316" s="5" t="n">
        <v>4</v>
      </c>
      <c r="S316" s="5" t="n">
        <v>0</v>
      </c>
      <c r="T316" s="5" t="n">
        <v>0</v>
      </c>
      <c r="U316" s="5" t="n">
        <v>2</v>
      </c>
      <c r="V316" s="5" t="n">
        <v>6</v>
      </c>
      <c r="W316" s="5" t="n">
        <v>6</v>
      </c>
      <c r="X316" s="5" t="n">
        <v>0</v>
      </c>
      <c r="Y316" s="5" t="n">
        <v>0</v>
      </c>
      <c r="Z316" s="5" t="n">
        <v>0</v>
      </c>
      <c r="AA316" s="5" t="n">
        <v>0</v>
      </c>
      <c r="AB316" s="5" t="n">
        <v>25.881583</v>
      </c>
      <c r="AC316" s="5" t="inlineStr">
        <is>
          <t>Wie kommen Investitionen, Fördermittel, Banken und Unternehmensstrategien schneller zusammen?</t>
        </is>
      </c>
      <c r="AD316" s="5" t="inlineStr">
        <is>
          <t>Finanzierung und Förderung von Transformation: Debeka Versicherungsgruppe (profit_anchor, 4) + Investitions- und Strukturbank Rheinland-Pfalz (ISB) (context_actor, 5).</t>
        </is>
      </c>
      <c r="AE316" s="5" t="inlineStr">
        <is>
          <t>Debeka Versicherungsgruppe | Investitions- und Strukturbank Rheinland-Pfalz (ISB)</t>
        </is>
      </c>
      <c r="AF316" s="5" t="inlineStr">
        <is>
          <t>finanzierung-foerderung-transformation-debeka-versicherungsgruppe-investitions-und-strukturbank</t>
        </is>
      </c>
    </row>
    <row r="317">
      <c r="A317" s="5" t="inlineStr">
        <is>
          <t>C0316</t>
        </is>
      </c>
      <c r="B317" s="5" t="inlineStr">
        <is>
          <t>x_0316</t>
        </is>
      </c>
      <c r="C317" s="5" t="n">
        <v>0</v>
      </c>
      <c r="D317" s="5" t="inlineStr">
        <is>
          <t>Ernst &amp; Young GmbH</t>
        </is>
      </c>
      <c r="E317" s="5" t="inlineStr">
        <is>
          <t>Investitions- und Strukturbank Rheinland-Pfalz (ISB)</t>
        </is>
      </c>
      <c r="F317" s="5" t="n">
        <v>26</v>
      </c>
      <c r="G317" s="5" t="n">
        <v>45</v>
      </c>
      <c r="H317" s="5" t="inlineStr">
        <is>
          <t>profit_anchor</t>
        </is>
      </c>
      <c r="I317" t="inlineStr">
        <is>
          <t>professional_services_anchor</t>
        </is>
      </c>
      <c r="J317" s="5" t="inlineStr">
        <is>
          <t>context_actor</t>
        </is>
      </c>
      <c r="K317" t="inlineStr">
        <is>
          <t>bank_finance_anchor</t>
        </is>
      </c>
      <c r="L317" s="5" t="inlineStr">
        <is>
          <t>wirtschaft</t>
        </is>
      </c>
      <c r="M317" s="5" t="inlineStr">
        <is>
          <t>finanzierung_foerderung_transformation</t>
        </is>
      </c>
      <c r="N317" s="5" t="inlineStr">
        <is>
          <t>Finanzierung und Förderung von Transformation</t>
        </is>
      </c>
      <c r="O317" s="5" t="n">
        <v>4</v>
      </c>
      <c r="P317" s="5" t="n">
        <v>5</v>
      </c>
      <c r="Q317" s="5" t="n">
        <v>13</v>
      </c>
      <c r="R317" s="5" t="n">
        <v>4</v>
      </c>
      <c r="S317" s="5" t="n">
        <v>0</v>
      </c>
      <c r="T317" s="5" t="n">
        <v>0</v>
      </c>
      <c r="U317" s="5" t="n">
        <v>2</v>
      </c>
      <c r="V317" s="5" t="n">
        <v>6</v>
      </c>
      <c r="W317" s="5" t="n">
        <v>6</v>
      </c>
      <c r="X317" s="5" t="n">
        <v>0</v>
      </c>
      <c r="Y317" s="5" t="n">
        <v>0</v>
      </c>
      <c r="Z317" s="5" t="n">
        <v>0</v>
      </c>
      <c r="AA317" s="5" t="n">
        <v>0</v>
      </c>
      <c r="AB317" s="5" t="n">
        <v>28.351853</v>
      </c>
      <c r="AC317" s="5" t="inlineStr">
        <is>
          <t>Wie kommen Investitionen, Fördermittel, Banken und Unternehmensstrategien schneller zusammen?</t>
        </is>
      </c>
      <c r="AD317" s="5" t="inlineStr">
        <is>
          <t>Finanzierung und Förderung von Transformation: Ernst &amp; Young GmbH (profit_anchor, 4) + Investitions- und Strukturbank Rheinland-Pfalz (ISB) (context_actor, 5).</t>
        </is>
      </c>
      <c r="AE317" s="5" t="inlineStr">
        <is>
          <t>Ernst &amp; Young GmbH | Investitions- und Strukturbank Rheinland-Pfalz (ISB)</t>
        </is>
      </c>
      <c r="AF317" s="5" t="inlineStr">
        <is>
          <t>finanzierung-foerderung-transformation-ernst-young-gmbh-investitions-und-strukturbank-rheinland</t>
        </is>
      </c>
    </row>
    <row r="318">
      <c r="A318" s="5" t="inlineStr">
        <is>
          <t>C0317</t>
        </is>
      </c>
      <c r="B318" s="5" t="inlineStr">
        <is>
          <t>x_0317</t>
        </is>
      </c>
      <c r="C318" s="5" t="n">
        <v>0</v>
      </c>
      <c r="D318" s="5" t="inlineStr">
        <is>
          <t>Handwerkskammern Rheinland-Pfalz</t>
        </is>
      </c>
      <c r="E318" s="5" t="inlineStr">
        <is>
          <t>WHU – Otto Beisheim School of Management</t>
        </is>
      </c>
      <c r="F318" s="5" t="n">
        <v>32</v>
      </c>
      <c r="G318" s="5" t="n">
        <v>99</v>
      </c>
      <c r="H318" s="5" t="inlineStr">
        <is>
          <t>implementation_anchor</t>
        </is>
      </c>
      <c r="I318" t="inlineStr">
        <is>
          <t>chamber_association_anchor</t>
        </is>
      </c>
      <c r="J318" s="5" t="inlineStr">
        <is>
          <t>academic_support</t>
        </is>
      </c>
      <c r="K318" t="inlineStr">
        <is>
          <t>university_research</t>
        </is>
      </c>
      <c r="L318" s="5" t="inlineStr">
        <is>
          <t>wirtschaft</t>
        </is>
      </c>
      <c r="M318" s="5" t="inlineStr">
        <is>
          <t>finanzierung_foerderung_transformation</t>
        </is>
      </c>
      <c r="N318" s="5" t="inlineStr">
        <is>
          <t>Finanzierung und Förderung von Transformation</t>
        </is>
      </c>
      <c r="O318" s="5" t="n">
        <v>3</v>
      </c>
      <c r="P318" s="5" t="n">
        <v>4</v>
      </c>
      <c r="Q318" s="5" t="n">
        <v>11</v>
      </c>
      <c r="R318" s="5" t="n">
        <v>4</v>
      </c>
      <c r="S318" s="5" t="n">
        <v>0</v>
      </c>
      <c r="T318" s="5" t="n">
        <v>0</v>
      </c>
      <c r="U318" s="5" t="n">
        <v>2</v>
      </c>
      <c r="V318" s="5" t="n">
        <v>7</v>
      </c>
      <c r="W318" s="5" t="n">
        <v>7</v>
      </c>
      <c r="X318" s="5" t="n">
        <v>0</v>
      </c>
      <c r="Y318" s="5" t="n">
        <v>0</v>
      </c>
      <c r="Z318" s="5" t="n">
        <v>0</v>
      </c>
      <c r="AA318" s="5" t="n">
        <v>0</v>
      </c>
      <c r="AB318" s="5" t="n">
        <v>49.33317</v>
      </c>
      <c r="AC318" s="5" t="inlineStr">
        <is>
          <t>Wie kommen Investitionen, Fördermittel, Banken und Unternehmensstrategien schneller zusammen?</t>
        </is>
      </c>
      <c r="AD318" s="5" t="inlineStr">
        <is>
          <t>Finanzierung und Förderung von Transformation: Handwerkskammern Rheinland-Pfalz (implementation_anchor, 3) + WHU – Otto Beisheim School of Management (academic_support, 4).</t>
        </is>
      </c>
      <c r="AE318" s="5" t="inlineStr">
        <is>
          <t>Handwerkskammern Rheinland-Pfalz | WHU – Otto Beisheim School of Management</t>
        </is>
      </c>
      <c r="AF318" s="5" t="inlineStr">
        <is>
          <t>finanzierung-foerderung-transformation-handwerkskammern-rheinland-pfalz-whu-otto-beisheim-schoo</t>
        </is>
      </c>
    </row>
    <row r="319">
      <c r="A319" s="5" t="inlineStr">
        <is>
          <t>C0318</t>
        </is>
      </c>
      <c r="B319" s="5" t="inlineStr">
        <is>
          <t>x_0318</t>
        </is>
      </c>
      <c r="C319" s="5" t="n">
        <v>0</v>
      </c>
      <c r="D319" s="5" t="inlineStr">
        <is>
          <t>Investitions- und Strukturbank Rheinland-Pfalz (ISB)</t>
        </is>
      </c>
      <c r="E319" s="5" t="inlineStr">
        <is>
          <t>KPMG AG Wirtschaftsprüfungsgesellschaft</t>
        </is>
      </c>
      <c r="F319" s="5" t="n">
        <v>45</v>
      </c>
      <c r="G319" s="5" t="n">
        <v>56</v>
      </c>
      <c r="H319" s="5" t="inlineStr">
        <is>
          <t>context_actor</t>
        </is>
      </c>
      <c r="I319" t="inlineStr">
        <is>
          <t>bank_finance_anchor</t>
        </is>
      </c>
      <c r="J319" s="5" t="inlineStr">
        <is>
          <t>profit_anchor</t>
        </is>
      </c>
      <c r="K319" t="inlineStr">
        <is>
          <t>professional_services_anchor</t>
        </is>
      </c>
      <c r="L319" s="5" t="inlineStr">
        <is>
          <t>wirtschaft</t>
        </is>
      </c>
      <c r="M319" s="5" t="inlineStr">
        <is>
          <t>finanzierung_foerderung_transformation</t>
        </is>
      </c>
      <c r="N319" s="5" t="inlineStr">
        <is>
          <t>Finanzierung und Förderung von Transformation</t>
        </is>
      </c>
      <c r="O319" s="5" t="n">
        <v>5</v>
      </c>
      <c r="P319" s="5" t="n">
        <v>4</v>
      </c>
      <c r="Q319" s="5" t="n">
        <v>13</v>
      </c>
      <c r="R319" s="5" t="n">
        <v>4</v>
      </c>
      <c r="S319" s="5" t="n">
        <v>0</v>
      </c>
      <c r="T319" s="5" t="n">
        <v>0</v>
      </c>
      <c r="U319" s="5" t="n">
        <v>2</v>
      </c>
      <c r="V319" s="5" t="n">
        <v>6</v>
      </c>
      <c r="W319" s="5" t="n">
        <v>6</v>
      </c>
      <c r="X319" s="5" t="n">
        <v>0</v>
      </c>
      <c r="Y319" s="5" t="n">
        <v>0</v>
      </c>
      <c r="Z319" s="5" t="n">
        <v>0</v>
      </c>
      <c r="AA319" s="5" t="n">
        <v>0</v>
      </c>
      <c r="AB319" s="5" t="n">
        <v>28.351853</v>
      </c>
      <c r="AC319" s="5" t="inlineStr">
        <is>
          <t>Wie kommen Investitionen, Fördermittel, Banken und Unternehmensstrategien schneller zusammen?</t>
        </is>
      </c>
      <c r="AD319" s="5" t="inlineStr">
        <is>
          <t>Finanzierung und Förderung von Transformation: Investitions- und Strukturbank Rheinland-Pfalz (ISB) (context_actor, 5) + KPMG AG Wirtschaftsprüfungsgesellschaft (profit_anchor, 4).</t>
        </is>
      </c>
      <c r="AE319" s="5" t="inlineStr">
        <is>
          <t>Investitions- und Strukturbank Rheinland-Pfalz (ISB) | KPMG AG Wirtschaftsprüfungsgesellschaft</t>
        </is>
      </c>
      <c r="AF319" s="5" t="inlineStr">
        <is>
          <t>finanzierung-foerderung-transformation-investitions-und-strukturbank-rheinland-pfalz-isb-kpmg-a</t>
        </is>
      </c>
    </row>
    <row r="320">
      <c r="A320" s="5" t="inlineStr">
        <is>
          <t>C0319</t>
        </is>
      </c>
      <c r="B320" s="5" t="inlineStr">
        <is>
          <t>x_0319</t>
        </is>
      </c>
      <c r="C320" s="5" t="n">
        <v>0</v>
      </c>
      <c r="D320" s="5" t="inlineStr">
        <is>
          <t>Investitions- und Strukturbank Rheinland-Pfalz (ISB)</t>
        </is>
      </c>
      <c r="E320" s="5" t="inlineStr">
        <is>
          <t>Provinzial Versicherung AG</t>
        </is>
      </c>
      <c r="F320" s="5" t="n">
        <v>45</v>
      </c>
      <c r="G320" s="5" t="n">
        <v>73</v>
      </c>
      <c r="H320" s="5" t="inlineStr">
        <is>
          <t>context_actor</t>
        </is>
      </c>
      <c r="I320" t="inlineStr">
        <is>
          <t>bank_finance_anchor</t>
        </is>
      </c>
      <c r="J320" s="5" t="inlineStr">
        <is>
          <t>profit_anchor</t>
        </is>
      </c>
      <c r="K320" t="inlineStr">
        <is>
          <t>bank_finance_anchor</t>
        </is>
      </c>
      <c r="L320" s="5" t="inlineStr">
        <is>
          <t>wirtschaft</t>
        </is>
      </c>
      <c r="M320" s="5" t="inlineStr">
        <is>
          <t>finanzierung_foerderung_transformation</t>
        </is>
      </c>
      <c r="N320" s="5" t="inlineStr">
        <is>
          <t>Finanzierung und Förderung von Transformation</t>
        </is>
      </c>
      <c r="O320" s="5" t="n">
        <v>5</v>
      </c>
      <c r="P320" s="5" t="n">
        <v>4</v>
      </c>
      <c r="Q320" s="5" t="n">
        <v>13</v>
      </c>
      <c r="R320" s="5" t="n">
        <v>4</v>
      </c>
      <c r="S320" s="5" t="n">
        <v>0</v>
      </c>
      <c r="T320" s="5" t="n">
        <v>0</v>
      </c>
      <c r="U320" s="5" t="n">
        <v>2</v>
      </c>
      <c r="V320" s="5" t="n">
        <v>6</v>
      </c>
      <c r="W320" s="5" t="n">
        <v>6</v>
      </c>
      <c r="X320" s="5" t="n">
        <v>0</v>
      </c>
      <c r="Y320" s="5" t="n">
        <v>0</v>
      </c>
      <c r="Z320" s="5" t="n">
        <v>0</v>
      </c>
      <c r="AA320" s="5" t="n">
        <v>0</v>
      </c>
      <c r="AB320" s="5" t="n">
        <v>25.881583</v>
      </c>
      <c r="AC320" s="5" t="inlineStr">
        <is>
          <t>Wie kommen Investitionen, Fördermittel, Banken und Unternehmensstrategien schneller zusammen?</t>
        </is>
      </c>
      <c r="AD320" s="5" t="inlineStr">
        <is>
          <t>Finanzierung und Förderung von Transformation: Investitions- und Strukturbank Rheinland-Pfalz (ISB) (context_actor, 5) + Provinzial Versicherung AG (profit_anchor, 4).</t>
        </is>
      </c>
      <c r="AE320" s="5" t="inlineStr">
        <is>
          <t>Investitions- und Strukturbank Rheinland-Pfalz (ISB) | Provinzial Versicherung AG</t>
        </is>
      </c>
      <c r="AF320" s="5" t="inlineStr">
        <is>
          <t>finanzierung-foerderung-transformation-investitions-und-strukturbank-rheinland-pfalz-isb-provin</t>
        </is>
      </c>
    </row>
    <row r="321">
      <c r="A321" s="5" t="inlineStr">
        <is>
          <t>C0320</t>
        </is>
      </c>
      <c r="B321" s="5" t="inlineStr">
        <is>
          <t>x_0320</t>
        </is>
      </c>
      <c r="C321" s="5" t="n">
        <v>0</v>
      </c>
      <c r="D321" s="5" t="inlineStr">
        <is>
          <t>Investitions- und Strukturbank Rheinland-Pfalz (ISB)</t>
        </is>
      </c>
      <c r="E321" s="5" t="inlineStr">
        <is>
          <t>Vereinigte VR Bank Kur- und Rheinpfalz eG</t>
        </is>
      </c>
      <c r="F321" s="5" t="n">
        <v>45</v>
      </c>
      <c r="G321" s="5" t="n">
        <v>94</v>
      </c>
      <c r="H321" s="5" t="inlineStr">
        <is>
          <t>context_actor</t>
        </is>
      </c>
      <c r="I321" t="inlineStr">
        <is>
          <t>bank_finance_anchor</t>
        </is>
      </c>
      <c r="J321" s="5" t="inlineStr">
        <is>
          <t>profit_anchor</t>
        </is>
      </c>
      <c r="K321" t="inlineStr">
        <is>
          <t>bank_finance_anchor</t>
        </is>
      </c>
      <c r="L321" s="5" t="inlineStr">
        <is>
          <t>wirtschaft</t>
        </is>
      </c>
      <c r="M321" s="5" t="inlineStr">
        <is>
          <t>finanzierung_foerderung_transformation</t>
        </is>
      </c>
      <c r="N321" s="5" t="inlineStr">
        <is>
          <t>Finanzierung und Förderung von Transformation</t>
        </is>
      </c>
      <c r="O321" s="5" t="n">
        <v>5</v>
      </c>
      <c r="P321" s="5" t="n">
        <v>4</v>
      </c>
      <c r="Q321" s="5" t="n">
        <v>13</v>
      </c>
      <c r="R321" s="5" t="n">
        <v>4</v>
      </c>
      <c r="S321" s="5" t="n">
        <v>0</v>
      </c>
      <c r="T321" s="5" t="n">
        <v>0</v>
      </c>
      <c r="U321" s="5" t="n">
        <v>2</v>
      </c>
      <c r="V321" s="5" t="n">
        <v>6</v>
      </c>
      <c r="W321" s="5" t="n">
        <v>6</v>
      </c>
      <c r="X321" s="5" t="n">
        <v>0</v>
      </c>
      <c r="Y321" s="5" t="n">
        <v>0</v>
      </c>
      <c r="Z321" s="5" t="n">
        <v>0</v>
      </c>
      <c r="AA321" s="5" t="n">
        <v>0</v>
      </c>
      <c r="AB321" s="5" t="n">
        <v>25.881583</v>
      </c>
      <c r="AC321" s="5" t="inlineStr">
        <is>
          <t>Wie kommen Investitionen, Fördermittel, Banken und Unternehmensstrategien schneller zusammen?</t>
        </is>
      </c>
      <c r="AD321" s="5" t="inlineStr">
        <is>
          <t>Finanzierung und Förderung von Transformation: Investitions- und Strukturbank Rheinland-Pfalz (ISB) (context_actor, 5) + Vereinigte VR Bank Kur- und Rheinpfalz eG (profit_anchor, 4).</t>
        </is>
      </c>
      <c r="AE321" s="5" t="inlineStr">
        <is>
          <t>Investitions- und Strukturbank Rheinland-Pfalz (ISB) | Vereinigte VR Bank Kur- und Rheinpfalz eG</t>
        </is>
      </c>
      <c r="AF321" s="5" t="inlineStr">
        <is>
          <t>finanzierung-foerderung-transformation-investitions-und-strukturbank-rheinland-pfalz-isb-verein</t>
        </is>
      </c>
    </row>
    <row r="322">
      <c r="A322" s="5" t="inlineStr">
        <is>
          <t>C0321</t>
        </is>
      </c>
      <c r="B322" s="5" t="inlineStr">
        <is>
          <t>x_0321</t>
        </is>
      </c>
      <c r="C322" s="5" t="n">
        <v>0</v>
      </c>
      <c r="D322" s="5" t="inlineStr">
        <is>
          <t>Landesbank Baden-Württemberg (LBBW)</t>
        </is>
      </c>
      <c r="E322" s="5" t="inlineStr">
        <is>
          <t>WHU – Otto Beisheim School of Management</t>
        </is>
      </c>
      <c r="F322" s="5" t="n">
        <v>60</v>
      </c>
      <c r="G322" s="5" t="n">
        <v>99</v>
      </c>
      <c r="H322" s="5" t="inlineStr">
        <is>
          <t>profit_anchor</t>
        </is>
      </c>
      <c r="I322" t="inlineStr">
        <is>
          <t>bank_finance_anchor</t>
        </is>
      </c>
      <c r="J322" s="5" t="inlineStr">
        <is>
          <t>academic_support</t>
        </is>
      </c>
      <c r="K322" t="inlineStr">
        <is>
          <t>university_research</t>
        </is>
      </c>
      <c r="L322" s="5" t="inlineStr">
        <is>
          <t>wirtschaft</t>
        </is>
      </c>
      <c r="M322" s="5" t="inlineStr">
        <is>
          <t>finanzierung_foerderung_transformation</t>
        </is>
      </c>
      <c r="N322" s="5" t="inlineStr">
        <is>
          <t>Finanzierung und Förderung von Transformation</t>
        </is>
      </c>
      <c r="O322" s="5" t="n">
        <v>5</v>
      </c>
      <c r="P322" s="5" t="n">
        <v>4</v>
      </c>
      <c r="Q322" s="5" t="n">
        <v>13</v>
      </c>
      <c r="R322" s="5" t="n">
        <v>4</v>
      </c>
      <c r="S322" s="5" t="n">
        <v>0</v>
      </c>
      <c r="T322" s="5" t="n">
        <v>0</v>
      </c>
      <c r="U322" s="5" t="n">
        <v>2</v>
      </c>
      <c r="V322" s="5" t="n">
        <v>6</v>
      </c>
      <c r="W322" s="5" t="n">
        <v>6</v>
      </c>
      <c r="X322" s="5" t="n">
        <v>0</v>
      </c>
      <c r="Y322" s="5" t="n">
        <v>0</v>
      </c>
      <c r="Z322" s="5" t="n">
        <v>0</v>
      </c>
      <c r="AA322" s="5" t="n">
        <v>0</v>
      </c>
      <c r="AB322" s="5" t="n">
        <v>29.400047</v>
      </c>
      <c r="AC322" s="5" t="inlineStr">
        <is>
          <t>Wie kommen Investitionen, Fördermittel, Banken und Unternehmensstrategien schneller zusammen?</t>
        </is>
      </c>
      <c r="AD322" s="5" t="inlineStr">
        <is>
          <t>Finanzierung und Förderung von Transformation: Landesbank Baden-Württemberg (LBBW) (profit_anchor, 5) + WHU – Otto Beisheim School of Management (academic_support, 4).</t>
        </is>
      </c>
      <c r="AE322" s="5" t="inlineStr">
        <is>
          <t>Landesbank Baden-Württemberg (LBBW) | WHU – Otto Beisheim School of Management</t>
        </is>
      </c>
      <c r="AF322" s="5" t="inlineStr">
        <is>
          <t>finanzierung-foerderung-transformation-landesbank-baden-württemberg-lbbw-whu-otto-beisheim-scho</t>
        </is>
      </c>
    </row>
    <row r="323">
      <c r="A323" s="5" t="inlineStr">
        <is>
          <t>C0322</t>
        </is>
      </c>
      <c r="B323" s="5" t="inlineStr">
        <is>
          <t>x_0322</t>
        </is>
      </c>
      <c r="C323" s="5" t="n">
        <v>0</v>
      </c>
      <c r="D323" s="5" t="inlineStr">
        <is>
          <t>Ministerium für Wirtschaft, Verkehr, Landwirtschaft und Weinbau</t>
        </is>
      </c>
      <c r="E323" s="5" t="inlineStr">
        <is>
          <t>WHU – Otto Beisheim School of Management</t>
        </is>
      </c>
      <c r="F323" s="5" t="n">
        <v>70</v>
      </c>
      <c r="G323" s="5" t="n">
        <v>99</v>
      </c>
      <c r="H323" s="5" t="inlineStr">
        <is>
          <t>profit_anchor</t>
        </is>
      </c>
      <c r="I323" t="inlineStr">
        <is>
          <t>public_policy_anchor</t>
        </is>
      </c>
      <c r="J323" s="5" t="inlineStr">
        <is>
          <t>academic_support</t>
        </is>
      </c>
      <c r="K323" t="inlineStr">
        <is>
          <t>university_research</t>
        </is>
      </c>
      <c r="L323" s="5" t="inlineStr">
        <is>
          <t>wirtschaft</t>
        </is>
      </c>
      <c r="M323" s="5" t="inlineStr">
        <is>
          <t>finanzierung_foerderung_transformation</t>
        </is>
      </c>
      <c r="N323" s="5" t="inlineStr">
        <is>
          <t>Finanzierung und Förderung von Transformation</t>
        </is>
      </c>
      <c r="O323" s="5" t="n">
        <v>5</v>
      </c>
      <c r="P323" s="5" t="n">
        <v>4</v>
      </c>
      <c r="Q323" s="5" t="n">
        <v>13</v>
      </c>
      <c r="R323" s="5" t="n">
        <v>4</v>
      </c>
      <c r="S323" s="5" t="n">
        <v>0</v>
      </c>
      <c r="T323" s="5" t="n">
        <v>0</v>
      </c>
      <c r="U323" s="5" t="n">
        <v>2</v>
      </c>
      <c r="V323" s="5" t="n">
        <v>6</v>
      </c>
      <c r="W323" s="5" t="n">
        <v>6</v>
      </c>
      <c r="X323" s="5" t="n">
        <v>0</v>
      </c>
      <c r="Y323" s="5" t="n">
        <v>0</v>
      </c>
      <c r="Z323" s="5" t="n">
        <v>0</v>
      </c>
      <c r="AA323" s="5" t="n">
        <v>0</v>
      </c>
      <c r="AB323" s="5" t="n">
        <v>30.600539</v>
      </c>
      <c r="AC323" s="5" t="inlineStr">
        <is>
          <t>Wie kommen Investitionen, Fördermittel, Banken und Unternehmensstrategien schneller zusammen?</t>
        </is>
      </c>
      <c r="AD323" s="5" t="inlineStr">
        <is>
          <t>Finanzierung und Förderung von Transformation: Ministerium für Wirtschaft, Verkehr, Landwirtschaft und Weinbau (profit_anchor, 5) + WHU – Otto Beisheim School of Management (academic_support, 4).</t>
        </is>
      </c>
      <c r="AE323" s="5" t="inlineStr">
        <is>
          <t>Ministerium für Wirtschaft, Verkehr, Landwirtschaft und Weinbau | WHU – Otto Beisheim School of Management</t>
        </is>
      </c>
      <c r="AF323" s="5" t="inlineStr">
        <is>
          <t>finanzierung-foerderung-transformation-ministerium-für-wirtschaft-verkehr-landwirtschaft-und-we</t>
        </is>
      </c>
    </row>
    <row r="324">
      <c r="A324" s="5" t="inlineStr">
        <is>
          <t>C0323</t>
        </is>
      </c>
      <c r="B324" s="5" t="inlineStr">
        <is>
          <t>x_0323</t>
        </is>
      </c>
      <c r="C324" s="5" t="n">
        <v>0</v>
      </c>
      <c r="D324" s="5" t="inlineStr">
        <is>
          <t>Sparkassenverband Rheinland-Pfalz</t>
        </is>
      </c>
      <c r="E324" s="5" t="inlineStr">
        <is>
          <t>WHU – Otto Beisheim School of Management</t>
        </is>
      </c>
      <c r="F324" s="5" t="n">
        <v>82</v>
      </c>
      <c r="G324" s="5" t="n">
        <v>99</v>
      </c>
      <c r="H324" s="5" t="inlineStr">
        <is>
          <t>profit_anchor</t>
        </is>
      </c>
      <c r="I324" t="inlineStr">
        <is>
          <t>bank_finance_anchor</t>
        </is>
      </c>
      <c r="J324" s="5" t="inlineStr">
        <is>
          <t>academic_support</t>
        </is>
      </c>
      <c r="K324" t="inlineStr">
        <is>
          <t>university_research</t>
        </is>
      </c>
      <c r="L324" s="5" t="inlineStr">
        <is>
          <t>wirtschaft</t>
        </is>
      </c>
      <c r="M324" s="5" t="inlineStr">
        <is>
          <t>finanzierung_foerderung_transformation</t>
        </is>
      </c>
      <c r="N324" s="5" t="inlineStr">
        <is>
          <t>Finanzierung und Förderung von Transformation</t>
        </is>
      </c>
      <c r="O324" s="5" t="n">
        <v>5</v>
      </c>
      <c r="P324" s="5" t="n">
        <v>4</v>
      </c>
      <c r="Q324" s="5" t="n">
        <v>13</v>
      </c>
      <c r="R324" s="5" t="n">
        <v>4</v>
      </c>
      <c r="S324" s="5" t="n">
        <v>0</v>
      </c>
      <c r="T324" s="5" t="n">
        <v>0</v>
      </c>
      <c r="U324" s="5" t="n">
        <v>2</v>
      </c>
      <c r="V324" s="5" t="n">
        <v>6</v>
      </c>
      <c r="W324" s="5" t="n">
        <v>6</v>
      </c>
      <c r="X324" s="5" t="n">
        <v>0</v>
      </c>
      <c r="Y324" s="5" t="n">
        <v>0</v>
      </c>
      <c r="Z324" s="5" t="n">
        <v>0</v>
      </c>
      <c r="AA324" s="5" t="n">
        <v>0</v>
      </c>
      <c r="AB324" s="5" t="n">
        <v>29.400047</v>
      </c>
      <c r="AC324" s="5" t="inlineStr">
        <is>
          <t>Wie kommen Investitionen, Fördermittel, Banken und Unternehmensstrategien schneller zusammen?</t>
        </is>
      </c>
      <c r="AD324" s="5" t="inlineStr">
        <is>
          <t>Finanzierung und Förderung von Transformation: Sparkassenverband Rheinland-Pfalz (profit_anchor, 5) + WHU – Otto Beisheim School of Management (academic_support, 4).</t>
        </is>
      </c>
      <c r="AE324" s="5" t="inlineStr">
        <is>
          <t>Sparkassenverband Rheinland-Pfalz | WHU – Otto Beisheim School of Management</t>
        </is>
      </c>
      <c r="AF324" s="5" t="inlineStr">
        <is>
          <t>finanzierung-foerderung-transformation-sparkassenverband-rheinland-pfalz-whu-otto-beisheim-scho</t>
        </is>
      </c>
    </row>
    <row r="325">
      <c r="A325" s="5" t="inlineStr">
        <is>
          <t>C0324</t>
        </is>
      </c>
      <c r="B325" s="5" t="inlineStr">
        <is>
          <t>x_0324</t>
        </is>
      </c>
      <c r="C325" s="5" t="n">
        <v>0</v>
      </c>
      <c r="D325" s="5" t="inlineStr">
        <is>
          <t>AOK Rheinland-Pfalz/Saarland</t>
        </is>
      </c>
      <c r="E325" s="5" t="inlineStr">
        <is>
          <t>Boehringer Ingelheim Pharma GmbH &amp; Co. KG</t>
        </is>
      </c>
      <c r="F325" s="5" t="n">
        <v>2</v>
      </c>
      <c r="G325" s="5" t="n">
        <v>11</v>
      </c>
      <c r="H325" s="5" t="inlineStr">
        <is>
          <t>context_actor</t>
        </is>
      </c>
      <c r="I325" t="inlineStr">
        <is>
          <t>health_social_anchor</t>
        </is>
      </c>
      <c r="J325" s="5" t="inlineStr">
        <is>
          <t>profit_anchor</t>
        </is>
      </c>
      <c r="K325" t="inlineStr">
        <is>
          <t>health_social_anchor</t>
        </is>
      </c>
      <c r="L325" s="5" t="inlineStr">
        <is>
          <t>gesellschaft</t>
        </is>
      </c>
      <c r="M325" s="5" t="inlineStr">
        <is>
          <t>gesundheit_versorgung_praevention</t>
        </is>
      </c>
      <c r="N325" s="5" t="inlineStr">
        <is>
          <t>Gesundheitsversorgung und Prävention</t>
        </is>
      </c>
      <c r="O325" s="5" t="n">
        <v>5</v>
      </c>
      <c r="P325" s="5" t="n">
        <v>4</v>
      </c>
      <c r="Q325" s="5" t="n">
        <v>13</v>
      </c>
      <c r="R325" s="5" t="n">
        <v>4</v>
      </c>
      <c r="S325" s="5" t="n">
        <v>0</v>
      </c>
      <c r="T325" s="5" t="n">
        <v>0</v>
      </c>
      <c r="U325" s="5" t="n">
        <v>2</v>
      </c>
      <c r="V325" s="5" t="n">
        <v>6</v>
      </c>
      <c r="W325" s="5" t="n">
        <v>6</v>
      </c>
      <c r="X325" s="5" t="n">
        <v>0</v>
      </c>
      <c r="Y325" s="5" t="n">
        <v>0</v>
      </c>
      <c r="Z325" s="5" t="n">
        <v>0</v>
      </c>
      <c r="AA325" s="5" t="n">
        <v>0</v>
      </c>
      <c r="AB325" s="5" t="n">
        <v>19.767385</v>
      </c>
      <c r="AC325" s="5" t="inlineStr">
        <is>
          <t>Wie kann Gesundheitsversorgung in Rheinland-Pfalz zugänglich, präventiv und digital unterstützt werden?</t>
        </is>
      </c>
      <c r="AD325" s="5" t="inlineStr">
        <is>
          <t>Gesundheitsversorgung und Prävention: AOK Rheinland-Pfalz/Saarland (context_actor, 5) + Boehringer Ingelheim Pharma GmbH &amp; Co. KG (profit_anchor, 4).</t>
        </is>
      </c>
      <c r="AE325" s="5" t="inlineStr">
        <is>
          <t>AOK Rheinland-Pfalz/Saarland | Boehringer Ingelheim Pharma GmbH &amp; Co. KG</t>
        </is>
      </c>
      <c r="AF325" s="5" t="inlineStr">
        <is>
          <t>gesundheit-versorgung-praevention-aok-rheinland-pfalz-saarland-boehringer-ingelheim-pharma-gmbh</t>
        </is>
      </c>
    </row>
    <row r="326">
      <c r="A326" s="5" t="inlineStr">
        <is>
          <t>C0325</t>
        </is>
      </c>
      <c r="B326" s="5" t="inlineStr">
        <is>
          <t>x_0325</t>
        </is>
      </c>
      <c r="C326" s="5" t="n">
        <v>0</v>
      </c>
      <c r="D326" s="5" t="inlineStr">
        <is>
          <t>AOK Rheinland-Pfalz/Saarland</t>
        </is>
      </c>
      <c r="E326" s="5" t="inlineStr">
        <is>
          <t>Caritasverband für die Diözese Speyer e.V.</t>
        </is>
      </c>
      <c r="F326" s="5" t="n">
        <v>2</v>
      </c>
      <c r="G326" s="5" t="n">
        <v>14</v>
      </c>
      <c r="H326" s="5" t="inlineStr">
        <is>
          <t>context_actor</t>
        </is>
      </c>
      <c r="I326" t="inlineStr">
        <is>
          <t>health_social_anchor</t>
        </is>
      </c>
      <c r="J326" s="5" t="inlineStr">
        <is>
          <t>implementation_anchor</t>
        </is>
      </c>
      <c r="K326" t="inlineStr">
        <is>
          <t>health_social_anchor</t>
        </is>
      </c>
      <c r="L326" s="5" t="inlineStr">
        <is>
          <t>gesellschaft</t>
        </is>
      </c>
      <c r="M326" s="5" t="inlineStr">
        <is>
          <t>gesundheit_versorgung_praevention</t>
        </is>
      </c>
      <c r="N326" s="5" t="inlineStr">
        <is>
          <t>Gesundheitsversorgung und Prävention</t>
        </is>
      </c>
      <c r="O326" s="5" t="n">
        <v>5</v>
      </c>
      <c r="P326" s="5" t="n">
        <v>4</v>
      </c>
      <c r="Q326" s="5" t="n">
        <v>13</v>
      </c>
      <c r="R326" s="5" t="n">
        <v>4</v>
      </c>
      <c r="S326" s="5" t="n">
        <v>0</v>
      </c>
      <c r="T326" s="5" t="n">
        <v>0</v>
      </c>
      <c r="U326" s="5" t="n">
        <v>2</v>
      </c>
      <c r="V326" s="5" t="n">
        <v>6</v>
      </c>
      <c r="W326" s="5" t="n">
        <v>6</v>
      </c>
      <c r="X326" s="5" t="n">
        <v>0</v>
      </c>
      <c r="Y326" s="5" t="n">
        <v>0</v>
      </c>
      <c r="Z326" s="5" t="n">
        <v>0</v>
      </c>
      <c r="AA326" s="5" t="n">
        <v>0</v>
      </c>
      <c r="AB326" s="5" t="n">
        <v>30.31572</v>
      </c>
      <c r="AC326" s="5" t="inlineStr">
        <is>
          <t>Wie kann Gesundheitsversorgung in Rheinland-Pfalz zugänglich, präventiv und digital unterstützt werden?</t>
        </is>
      </c>
      <c r="AD326" s="5" t="inlineStr">
        <is>
          <t>Gesundheitsversorgung und Prävention: AOK Rheinland-Pfalz/Saarland (context_actor, 5) + Caritasverband für die Diözese Speyer e.V. (implementation_anchor, 4).</t>
        </is>
      </c>
      <c r="AE326" s="5" t="inlineStr">
        <is>
          <t>AOK Rheinland-Pfalz/Saarland | Caritasverband für die Diözese Speyer e.V.</t>
        </is>
      </c>
      <c r="AF326" s="5" t="inlineStr">
        <is>
          <t>gesundheit-versorgung-praevention-aok-rheinland-pfalz-saarland-caritasverband-für-die-diözese-s</t>
        </is>
      </c>
    </row>
    <row r="327">
      <c r="A327" s="5" t="inlineStr">
        <is>
          <t>C0326</t>
        </is>
      </c>
      <c r="B327" s="5" t="inlineStr">
        <is>
          <t>x_0326</t>
        </is>
      </c>
      <c r="C327" s="5" t="n">
        <v>0</v>
      </c>
      <c r="D327" s="5" t="inlineStr">
        <is>
          <t>AOK Rheinland-Pfalz/Saarland</t>
        </is>
      </c>
      <c r="E327" s="5" t="inlineStr">
        <is>
          <t>LandesPsychotherapeutenKammer Rheinland-Pfalz</t>
        </is>
      </c>
      <c r="F327" s="5" t="n">
        <v>2</v>
      </c>
      <c r="G327" s="5" t="n">
        <v>61</v>
      </c>
      <c r="H327" s="5" t="inlineStr">
        <is>
          <t>context_actor</t>
        </is>
      </c>
      <c r="I327" t="inlineStr">
        <is>
          <t>health_social_anchor</t>
        </is>
      </c>
      <c r="J327" s="5" t="inlineStr">
        <is>
          <t>implementation_anchor</t>
        </is>
      </c>
      <c r="K327" t="inlineStr">
        <is>
          <t>health_social_anchor</t>
        </is>
      </c>
      <c r="L327" s="5" t="inlineStr">
        <is>
          <t>gesellschaft</t>
        </is>
      </c>
      <c r="M327" s="5" t="inlineStr">
        <is>
          <t>gesundheit_versorgung_praevention</t>
        </is>
      </c>
      <c r="N327" s="5" t="inlineStr">
        <is>
          <t>Gesundheitsversorgung und Prävention</t>
        </is>
      </c>
      <c r="O327" s="5" t="n">
        <v>5</v>
      </c>
      <c r="P327" s="5" t="n">
        <v>4</v>
      </c>
      <c r="Q327" s="5" t="n">
        <v>13</v>
      </c>
      <c r="R327" s="5" t="n">
        <v>4</v>
      </c>
      <c r="S327" s="5" t="n">
        <v>0</v>
      </c>
      <c r="T327" s="5" t="n">
        <v>0</v>
      </c>
      <c r="U327" s="5" t="n">
        <v>2</v>
      </c>
      <c r="V327" s="5" t="n">
        <v>6</v>
      </c>
      <c r="W327" s="5" t="n">
        <v>6</v>
      </c>
      <c r="X327" s="5" t="n">
        <v>0</v>
      </c>
      <c r="Y327" s="5" t="n">
        <v>0</v>
      </c>
      <c r="Z327" s="5" t="n">
        <v>0</v>
      </c>
      <c r="AA327" s="5" t="n">
        <v>0</v>
      </c>
      <c r="AB327" s="5" t="n">
        <v>30.31572</v>
      </c>
      <c r="AC327" s="5" t="inlineStr">
        <is>
          <t>Wie kann Gesundheitsversorgung in Rheinland-Pfalz zugänglich, präventiv und digital unterstützt werden?</t>
        </is>
      </c>
      <c r="AD327" s="5" t="inlineStr">
        <is>
          <t>Gesundheitsversorgung und Prävention: AOK Rheinland-Pfalz/Saarland (context_actor, 5) + LandesPsychotherapeutenKammer Rheinland-Pfalz (implementation_anchor, 4).</t>
        </is>
      </c>
      <c r="AE327" s="5" t="inlineStr">
        <is>
          <t>AOK Rheinland-Pfalz/Saarland | LandesPsychotherapeutenKammer Rheinland-Pfalz</t>
        </is>
      </c>
      <c r="AF327" s="5" t="inlineStr">
        <is>
          <t>gesundheit-versorgung-praevention-aok-rheinland-pfalz-saarland-landespsychotherapeutenkammer-rh</t>
        </is>
      </c>
    </row>
    <row r="328">
      <c r="A328" s="5" t="inlineStr">
        <is>
          <t>C0327</t>
        </is>
      </c>
      <c r="B328" s="5" t="inlineStr">
        <is>
          <t>x_0327</t>
        </is>
      </c>
      <c r="C328" s="5" t="n">
        <v>0</v>
      </c>
      <c r="D328" s="5" t="inlineStr">
        <is>
          <t>Barmherzige Brüder Trier gGmbH</t>
        </is>
      </c>
      <c r="E328" s="5" t="inlineStr">
        <is>
          <t>Landesärztekammer Rheinland-Pfalz</t>
        </is>
      </c>
      <c r="F328" s="5" t="n">
        <v>5</v>
      </c>
      <c r="G328" s="5" t="n">
        <v>62</v>
      </c>
      <c r="H328" s="5" t="inlineStr">
        <is>
          <t>context_actor</t>
        </is>
      </c>
      <c r="I328" t="inlineStr">
        <is>
          <t>health_social_anchor</t>
        </is>
      </c>
      <c r="J328" s="5" t="inlineStr">
        <is>
          <t>implementation_anchor</t>
        </is>
      </c>
      <c r="K328" t="inlineStr">
        <is>
          <t>health_social_anchor</t>
        </is>
      </c>
      <c r="L328" s="5" t="inlineStr">
        <is>
          <t>gesellschaft</t>
        </is>
      </c>
      <c r="M328" s="5" t="inlineStr">
        <is>
          <t>gesundheit_versorgung_praevention</t>
        </is>
      </c>
      <c r="N328" s="5" t="inlineStr">
        <is>
          <t>Gesundheitsversorgung und Prävention</t>
        </is>
      </c>
      <c r="O328" s="5" t="n">
        <v>4</v>
      </c>
      <c r="P328" s="5" t="n">
        <v>5</v>
      </c>
      <c r="Q328" s="5" t="n">
        <v>13</v>
      </c>
      <c r="R328" s="5" t="n">
        <v>4</v>
      </c>
      <c r="S328" s="5" t="n">
        <v>0</v>
      </c>
      <c r="T328" s="5" t="n">
        <v>0</v>
      </c>
      <c r="U328" s="5" t="n">
        <v>2</v>
      </c>
      <c r="V328" s="5" t="n">
        <v>6</v>
      </c>
      <c r="W328" s="5" t="n">
        <v>6</v>
      </c>
      <c r="X328" s="5" t="n">
        <v>0</v>
      </c>
      <c r="Y328" s="5" t="n">
        <v>0</v>
      </c>
      <c r="Z328" s="5" t="n">
        <v>0</v>
      </c>
      <c r="AA328" s="5" t="n">
        <v>0</v>
      </c>
      <c r="AB328" s="5" t="n">
        <v>30.31572</v>
      </c>
      <c r="AC328" s="5" t="inlineStr">
        <is>
          <t>Wie kann Gesundheitsversorgung in Rheinland-Pfalz zugänglich, präventiv und digital unterstützt werden?</t>
        </is>
      </c>
      <c r="AD328" s="5" t="inlineStr">
        <is>
          <t>Gesundheitsversorgung und Prävention: Barmherzige Brüder Trier gGmbH (context_actor, 4) + Landesärztekammer Rheinland-Pfalz (implementation_anchor, 5).</t>
        </is>
      </c>
      <c r="AE328" s="5" t="inlineStr">
        <is>
          <t>Barmherzige Brüder Trier gGmbH | Landesärztekammer Rheinland-Pfalz</t>
        </is>
      </c>
      <c r="AF328" s="5" t="inlineStr">
        <is>
          <t>gesundheit-versorgung-praevention-barmherzige-brüder-trier-ggmbh-landesärztekammer-rheinland-pf</t>
        </is>
      </c>
    </row>
    <row r="329">
      <c r="A329" s="5" t="inlineStr">
        <is>
          <t>C0328</t>
        </is>
      </c>
      <c r="B329" s="5" t="inlineStr">
        <is>
          <t>x_0328</t>
        </is>
      </c>
      <c r="C329" s="5" t="n">
        <v>0</v>
      </c>
      <c r="D329" s="5" t="inlineStr">
        <is>
          <t>Boehringer Ingelheim Pharma GmbH &amp; Co. KG</t>
        </is>
      </c>
      <c r="E329" s="5" t="inlineStr">
        <is>
          <t>IKK Südwest</t>
        </is>
      </c>
      <c r="F329" s="5" t="n">
        <v>11</v>
      </c>
      <c r="G329" s="5" t="n">
        <v>42</v>
      </c>
      <c r="H329" s="5" t="inlineStr">
        <is>
          <t>profit_anchor</t>
        </is>
      </c>
      <c r="I329" t="inlineStr">
        <is>
          <t>health_social_anchor</t>
        </is>
      </c>
      <c r="J329" s="5" t="inlineStr">
        <is>
          <t>context_actor</t>
        </is>
      </c>
      <c r="K329" t="inlineStr">
        <is>
          <t>health_social_anchor</t>
        </is>
      </c>
      <c r="L329" s="5" t="inlineStr">
        <is>
          <t>gesellschaft</t>
        </is>
      </c>
      <c r="M329" s="5" t="inlineStr">
        <is>
          <t>gesundheit_versorgung_praevention</t>
        </is>
      </c>
      <c r="N329" s="5" t="inlineStr">
        <is>
          <t>Gesundheitsversorgung und Prävention</t>
        </is>
      </c>
      <c r="O329" s="5" t="n">
        <v>4</v>
      </c>
      <c r="P329" s="5" t="n">
        <v>5</v>
      </c>
      <c r="Q329" s="5" t="n">
        <v>13</v>
      </c>
      <c r="R329" s="5" t="n">
        <v>4</v>
      </c>
      <c r="S329" s="5" t="n">
        <v>0</v>
      </c>
      <c r="T329" s="5" t="n">
        <v>0</v>
      </c>
      <c r="U329" s="5" t="n">
        <v>2</v>
      </c>
      <c r="V329" s="5" t="n">
        <v>6</v>
      </c>
      <c r="W329" s="5" t="n">
        <v>6</v>
      </c>
      <c r="X329" s="5" t="n">
        <v>0</v>
      </c>
      <c r="Y329" s="5" t="n">
        <v>0</v>
      </c>
      <c r="Z329" s="5" t="n">
        <v>0</v>
      </c>
      <c r="AA329" s="5" t="n">
        <v>0</v>
      </c>
      <c r="AB329" s="5" t="n">
        <v>19.767385</v>
      </c>
      <c r="AC329" s="5" t="inlineStr">
        <is>
          <t>Wie kann Gesundheitsversorgung in Rheinland-Pfalz zugänglich, präventiv und digital unterstützt werden?</t>
        </is>
      </c>
      <c r="AD329" s="5" t="inlineStr">
        <is>
          <t>Gesundheitsversorgung und Prävention: Boehringer Ingelheim Pharma GmbH &amp; Co. KG (profit_anchor, 4) + IKK Südwest (context_actor, 5).</t>
        </is>
      </c>
      <c r="AE329" s="5" t="inlineStr">
        <is>
          <t>Boehringer Ingelheim Pharma GmbH &amp; Co. KG | IKK Südwest</t>
        </is>
      </c>
      <c r="AF329" s="5" t="inlineStr">
        <is>
          <t>gesundheit-versorgung-praevention-boehringer-ingelheim-pharma-gmbh-co-kg-ikk-südwest</t>
        </is>
      </c>
    </row>
    <row r="330">
      <c r="A330" s="5" t="inlineStr">
        <is>
          <t>C0329</t>
        </is>
      </c>
      <c r="B330" s="5" t="inlineStr">
        <is>
          <t>x_0329</t>
        </is>
      </c>
      <c r="C330" s="5" t="n">
        <v>0</v>
      </c>
      <c r="D330" s="5" t="inlineStr">
        <is>
          <t>Boehringer Ingelheim Pharma GmbH &amp; Co. KG</t>
        </is>
      </c>
      <c r="E330" s="5" t="inlineStr">
        <is>
          <t>Kassenärztliche Vereinigung Rheinland-Pfalz</t>
        </is>
      </c>
      <c r="F330" s="5" t="n">
        <v>11</v>
      </c>
      <c r="G330" s="5" t="n">
        <v>54</v>
      </c>
      <c r="H330" s="5" t="inlineStr">
        <is>
          <t>profit_anchor</t>
        </is>
      </c>
      <c r="I330" t="inlineStr">
        <is>
          <t>health_social_anchor</t>
        </is>
      </c>
      <c r="J330" s="5" t="inlineStr">
        <is>
          <t>context_actor</t>
        </is>
      </c>
      <c r="K330" t="inlineStr">
        <is>
          <t>health_social_anchor</t>
        </is>
      </c>
      <c r="L330" s="5" t="inlineStr">
        <is>
          <t>gesellschaft</t>
        </is>
      </c>
      <c r="M330" s="5" t="inlineStr">
        <is>
          <t>gesundheit_versorgung_praevention</t>
        </is>
      </c>
      <c r="N330" s="5" t="inlineStr">
        <is>
          <t>Gesundheitsversorgung und Prävention</t>
        </is>
      </c>
      <c r="O330" s="5" t="n">
        <v>4</v>
      </c>
      <c r="P330" s="5" t="n">
        <v>5</v>
      </c>
      <c r="Q330" s="5" t="n">
        <v>13</v>
      </c>
      <c r="R330" s="5" t="n">
        <v>4</v>
      </c>
      <c r="S330" s="5" t="n">
        <v>0</v>
      </c>
      <c r="T330" s="5" t="n">
        <v>0</v>
      </c>
      <c r="U330" s="5" t="n">
        <v>2</v>
      </c>
      <c r="V330" s="5" t="n">
        <v>6</v>
      </c>
      <c r="W330" s="5" t="n">
        <v>6</v>
      </c>
      <c r="X330" s="5" t="n">
        <v>0</v>
      </c>
      <c r="Y330" s="5" t="n">
        <v>0</v>
      </c>
      <c r="Z330" s="5" t="n">
        <v>0</v>
      </c>
      <c r="AA330" s="5" t="n">
        <v>0</v>
      </c>
      <c r="AB330" s="5" t="n">
        <v>19.767385</v>
      </c>
      <c r="AC330" s="5" t="inlineStr">
        <is>
          <t>Wie kann Gesundheitsversorgung in Rheinland-Pfalz zugänglich, präventiv und digital unterstützt werden?</t>
        </is>
      </c>
      <c r="AD330" s="5" t="inlineStr">
        <is>
          <t>Gesundheitsversorgung und Prävention: Boehringer Ingelheim Pharma GmbH &amp; Co. KG (profit_anchor, 4) + Kassenärztliche Vereinigung Rheinland-Pfalz (context_actor, 5).</t>
        </is>
      </c>
      <c r="AE330" s="5" t="inlineStr">
        <is>
          <t>Boehringer Ingelheim Pharma GmbH &amp; Co. KG | Kassenärztliche Vereinigung Rheinland-Pfalz</t>
        </is>
      </c>
      <c r="AF330" s="5" t="inlineStr">
        <is>
          <t>gesundheit-versorgung-praevention-boehringer-ingelheim-pharma-gmbh-co-kg-kassenärztliche-verein</t>
        </is>
      </c>
    </row>
    <row r="331">
      <c r="A331" s="5" t="inlineStr">
        <is>
          <t>C0330</t>
        </is>
      </c>
      <c r="B331" s="5" t="inlineStr">
        <is>
          <t>x_0330</t>
        </is>
      </c>
      <c r="C331" s="5" t="n">
        <v>0</v>
      </c>
      <c r="D331" s="5" t="inlineStr">
        <is>
          <t>Boehringer Ingelheim Pharma GmbH &amp; Co. KG</t>
        </is>
      </c>
      <c r="E331" s="5" t="inlineStr">
        <is>
          <t>Techniker Krankenkasse</t>
        </is>
      </c>
      <c r="F331" s="5" t="n">
        <v>11</v>
      </c>
      <c r="G331" s="5" t="n">
        <v>87</v>
      </c>
      <c r="H331" s="5" t="inlineStr">
        <is>
          <t>profit_anchor</t>
        </is>
      </c>
      <c r="I331" t="inlineStr">
        <is>
          <t>health_social_anchor</t>
        </is>
      </c>
      <c r="J331" s="5" t="inlineStr">
        <is>
          <t>context_actor</t>
        </is>
      </c>
      <c r="K331" t="inlineStr">
        <is>
          <t>health_social_anchor</t>
        </is>
      </c>
      <c r="L331" s="5" t="inlineStr">
        <is>
          <t>gesellschaft</t>
        </is>
      </c>
      <c r="M331" s="5" t="inlineStr">
        <is>
          <t>gesundheit_versorgung_praevention</t>
        </is>
      </c>
      <c r="N331" s="5" t="inlineStr">
        <is>
          <t>Gesundheitsversorgung und Prävention</t>
        </is>
      </c>
      <c r="O331" s="5" t="n">
        <v>4</v>
      </c>
      <c r="P331" s="5" t="n">
        <v>5</v>
      </c>
      <c r="Q331" s="5" t="n">
        <v>13</v>
      </c>
      <c r="R331" s="5" t="n">
        <v>4</v>
      </c>
      <c r="S331" s="5" t="n">
        <v>0</v>
      </c>
      <c r="T331" s="5" t="n">
        <v>0</v>
      </c>
      <c r="U331" s="5" t="n">
        <v>2</v>
      </c>
      <c r="V331" s="5" t="n">
        <v>6</v>
      </c>
      <c r="W331" s="5" t="n">
        <v>6</v>
      </c>
      <c r="X331" s="5" t="n">
        <v>0</v>
      </c>
      <c r="Y331" s="5" t="n">
        <v>0</v>
      </c>
      <c r="Z331" s="5" t="n">
        <v>0</v>
      </c>
      <c r="AA331" s="5" t="n">
        <v>0</v>
      </c>
      <c r="AB331" s="5" t="n">
        <v>19.767385</v>
      </c>
      <c r="AC331" s="5" t="inlineStr">
        <is>
          <t>Wie kann Gesundheitsversorgung in Rheinland-Pfalz zugänglich, präventiv und digital unterstützt werden?</t>
        </is>
      </c>
      <c r="AD331" s="5" t="inlineStr">
        <is>
          <t>Gesundheitsversorgung und Prävention: Boehringer Ingelheim Pharma GmbH &amp; Co. KG (profit_anchor, 4) + Techniker Krankenkasse (context_actor, 5).</t>
        </is>
      </c>
      <c r="AE331" s="5" t="inlineStr">
        <is>
          <t>Boehringer Ingelheim Pharma GmbH &amp; Co. KG | Techniker Krankenkasse</t>
        </is>
      </c>
      <c r="AF331" s="5" t="inlineStr">
        <is>
          <t>gesundheit-versorgung-praevention-boehringer-ingelheim-pharma-gmbh-co-kg-techniker-krankenkasse</t>
        </is>
      </c>
    </row>
    <row r="332">
      <c r="A332" s="5" t="inlineStr">
        <is>
          <t>C0331</t>
        </is>
      </c>
      <c r="B332" s="5" t="inlineStr">
        <is>
          <t>x_0331</t>
        </is>
      </c>
      <c r="C332" s="5" t="n">
        <v>0</v>
      </c>
      <c r="D332" s="5" t="inlineStr">
        <is>
          <t>Caritasverband für die Diözese Speyer e.V.</t>
        </is>
      </c>
      <c r="E332" s="5" t="inlineStr">
        <is>
          <t>Hochschule für Wirtschaft und Gesellschaft Ludwigshafen</t>
        </is>
      </c>
      <c r="F332" s="5" t="n">
        <v>14</v>
      </c>
      <c r="G332" s="5" t="n">
        <v>36</v>
      </c>
      <c r="H332" s="5" t="inlineStr">
        <is>
          <t>implementation_anchor</t>
        </is>
      </c>
      <c r="I332" t="inlineStr">
        <is>
          <t>health_social_anchor</t>
        </is>
      </c>
      <c r="J332" s="5" t="inlineStr">
        <is>
          <t>academic_support</t>
        </is>
      </c>
      <c r="K332" t="inlineStr">
        <is>
          <t>university_applied_sciences</t>
        </is>
      </c>
      <c r="L332" s="5" t="inlineStr">
        <is>
          <t>gesellschaft</t>
        </is>
      </c>
      <c r="M332" s="5" t="inlineStr">
        <is>
          <t>gesundheit_versorgung_praevention</t>
        </is>
      </c>
      <c r="N332" s="5" t="inlineStr">
        <is>
          <t>Gesundheitsversorgung und Prävention</t>
        </is>
      </c>
      <c r="O332" s="5" t="n">
        <v>4</v>
      </c>
      <c r="P332" s="5" t="n">
        <v>3</v>
      </c>
      <c r="Q332" s="5" t="n">
        <v>11</v>
      </c>
      <c r="R332" s="5" t="n">
        <v>4</v>
      </c>
      <c r="S332" s="5" t="n">
        <v>0</v>
      </c>
      <c r="T332" s="5" t="n">
        <v>0</v>
      </c>
      <c r="U332" s="5" t="n">
        <v>2</v>
      </c>
      <c r="V332" s="5" t="n">
        <v>7</v>
      </c>
      <c r="W332" s="5" t="n">
        <v>7</v>
      </c>
      <c r="X332" s="5" t="n">
        <v>0</v>
      </c>
      <c r="Y332" s="5" t="n">
        <v>0</v>
      </c>
      <c r="Z332" s="5" t="n">
        <v>0</v>
      </c>
      <c r="AA332" s="5" t="n">
        <v>0</v>
      </c>
      <c r="AB332" s="5" t="n">
        <v>32.854787</v>
      </c>
      <c r="AC332" s="5" t="inlineStr">
        <is>
          <t>Wie kann Gesundheitsversorgung in Rheinland-Pfalz zugänglich, präventiv und digital unterstützt werden?</t>
        </is>
      </c>
      <c r="AD332" s="5" t="inlineStr">
        <is>
          <t>Gesundheitsversorgung und Prävention: Caritasverband für die Diözese Speyer e.V. (implementation_anchor, 4) + Hochschule für Wirtschaft und Gesellschaft Ludwigshafen (academic_support, 3).</t>
        </is>
      </c>
      <c r="AE332" s="5" t="inlineStr">
        <is>
          <t>Caritasverband für die Diözese Speyer e.V. | Hochschule für Wirtschaft und Gesellschaft Ludwigshafen</t>
        </is>
      </c>
      <c r="AF332" s="5" t="inlineStr">
        <is>
          <t>gesundheit-versorgung-praevention-caritasverband-für-die-diözese-speyer-e-v-hochschule-für-wirt</t>
        </is>
      </c>
    </row>
    <row r="333">
      <c r="A333" s="5" t="inlineStr">
        <is>
          <t>C0332</t>
        </is>
      </c>
      <c r="B333" s="5" t="inlineStr">
        <is>
          <t>x_0332</t>
        </is>
      </c>
      <c r="C333" s="5" t="n">
        <v>0</v>
      </c>
      <c r="D333" s="5" t="inlineStr">
        <is>
          <t>Caritasverband für die Diözese Speyer e.V.</t>
        </is>
      </c>
      <c r="E333" s="5" t="inlineStr">
        <is>
          <t>IKK Südwest</t>
        </is>
      </c>
      <c r="F333" s="5" t="n">
        <v>14</v>
      </c>
      <c r="G333" s="5" t="n">
        <v>42</v>
      </c>
      <c r="H333" s="5" t="inlineStr">
        <is>
          <t>implementation_anchor</t>
        </is>
      </c>
      <c r="I333" t="inlineStr">
        <is>
          <t>health_social_anchor</t>
        </is>
      </c>
      <c r="J333" s="5" t="inlineStr">
        <is>
          <t>context_actor</t>
        </is>
      </c>
      <c r="K333" t="inlineStr">
        <is>
          <t>health_social_anchor</t>
        </is>
      </c>
      <c r="L333" s="5" t="inlineStr">
        <is>
          <t>gesellschaft</t>
        </is>
      </c>
      <c r="M333" s="5" t="inlineStr">
        <is>
          <t>gesundheit_versorgung_praevention</t>
        </is>
      </c>
      <c r="N333" s="5" t="inlineStr">
        <is>
          <t>Gesundheitsversorgung und Prävention</t>
        </is>
      </c>
      <c r="O333" s="5" t="n">
        <v>4</v>
      </c>
      <c r="P333" s="5" t="n">
        <v>5</v>
      </c>
      <c r="Q333" s="5" t="n">
        <v>13</v>
      </c>
      <c r="R333" s="5" t="n">
        <v>4</v>
      </c>
      <c r="S333" s="5" t="n">
        <v>0</v>
      </c>
      <c r="T333" s="5" t="n">
        <v>0</v>
      </c>
      <c r="U333" s="5" t="n">
        <v>2</v>
      </c>
      <c r="V333" s="5" t="n">
        <v>6</v>
      </c>
      <c r="W333" s="5" t="n">
        <v>6</v>
      </c>
      <c r="X333" s="5" t="n">
        <v>0</v>
      </c>
      <c r="Y333" s="5" t="n">
        <v>0</v>
      </c>
      <c r="Z333" s="5" t="n">
        <v>0</v>
      </c>
      <c r="AA333" s="5" t="n">
        <v>0</v>
      </c>
      <c r="AB333" s="5" t="n">
        <v>30.31572</v>
      </c>
      <c r="AC333" s="5" t="inlineStr">
        <is>
          <t>Wie kann Gesundheitsversorgung in Rheinland-Pfalz zugänglich, präventiv und digital unterstützt werden?</t>
        </is>
      </c>
      <c r="AD333" s="5" t="inlineStr">
        <is>
          <t>Gesundheitsversorgung und Prävention: Caritasverband für die Diözese Speyer e.V. (implementation_anchor, 4) + IKK Südwest (context_actor, 5).</t>
        </is>
      </c>
      <c r="AE333" s="5" t="inlineStr">
        <is>
          <t>Caritasverband für die Diözese Speyer e.V. | IKK Südwest</t>
        </is>
      </c>
      <c r="AF333" s="5" t="inlineStr">
        <is>
          <t>gesundheit-versorgung-praevention-caritasverband-für-die-diözese-speyer-e-v-ikk-südwest</t>
        </is>
      </c>
    </row>
    <row r="334">
      <c r="A334" s="5" t="inlineStr">
        <is>
          <t>C0333</t>
        </is>
      </c>
      <c r="B334" s="5" t="inlineStr">
        <is>
          <t>x_0333</t>
        </is>
      </c>
      <c r="C334" s="5" t="n">
        <v>0</v>
      </c>
      <c r="D334" s="5" t="inlineStr">
        <is>
          <t>Caritasverband für die Diözese Speyer e.V.</t>
        </is>
      </c>
      <c r="E334" s="5" t="inlineStr">
        <is>
          <t>Kassenärztliche Vereinigung Rheinland-Pfalz</t>
        </is>
      </c>
      <c r="F334" s="5" t="n">
        <v>14</v>
      </c>
      <c r="G334" s="5" t="n">
        <v>54</v>
      </c>
      <c r="H334" s="5" t="inlineStr">
        <is>
          <t>implementation_anchor</t>
        </is>
      </c>
      <c r="I334" t="inlineStr">
        <is>
          <t>health_social_anchor</t>
        </is>
      </c>
      <c r="J334" s="5" t="inlineStr">
        <is>
          <t>context_actor</t>
        </is>
      </c>
      <c r="K334" t="inlineStr">
        <is>
          <t>health_social_anchor</t>
        </is>
      </c>
      <c r="L334" s="5" t="inlineStr">
        <is>
          <t>gesellschaft</t>
        </is>
      </c>
      <c r="M334" s="5" t="inlineStr">
        <is>
          <t>gesundheit_versorgung_praevention</t>
        </is>
      </c>
      <c r="N334" s="5" t="inlineStr">
        <is>
          <t>Gesundheitsversorgung und Prävention</t>
        </is>
      </c>
      <c r="O334" s="5" t="n">
        <v>4</v>
      </c>
      <c r="P334" s="5" t="n">
        <v>5</v>
      </c>
      <c r="Q334" s="5" t="n">
        <v>13</v>
      </c>
      <c r="R334" s="5" t="n">
        <v>4</v>
      </c>
      <c r="S334" s="5" t="n">
        <v>0</v>
      </c>
      <c r="T334" s="5" t="n">
        <v>0</v>
      </c>
      <c r="U334" s="5" t="n">
        <v>2</v>
      </c>
      <c r="V334" s="5" t="n">
        <v>6</v>
      </c>
      <c r="W334" s="5" t="n">
        <v>6</v>
      </c>
      <c r="X334" s="5" t="n">
        <v>0</v>
      </c>
      <c r="Y334" s="5" t="n">
        <v>0</v>
      </c>
      <c r="Z334" s="5" t="n">
        <v>0</v>
      </c>
      <c r="AA334" s="5" t="n">
        <v>0</v>
      </c>
      <c r="AB334" s="5" t="n">
        <v>30.31572</v>
      </c>
      <c r="AC334" s="5" t="inlineStr">
        <is>
          <t>Wie kann Gesundheitsversorgung in Rheinland-Pfalz zugänglich, präventiv und digital unterstützt werden?</t>
        </is>
      </c>
      <c r="AD334" s="5" t="inlineStr">
        <is>
          <t>Gesundheitsversorgung und Prävention: Caritasverband für die Diözese Speyer e.V. (implementation_anchor, 4) + Kassenärztliche Vereinigung Rheinland-Pfalz (context_actor, 5).</t>
        </is>
      </c>
      <c r="AE334" s="5" t="inlineStr">
        <is>
          <t>Caritasverband für die Diözese Speyer e.V. | Kassenärztliche Vereinigung Rheinland-Pfalz</t>
        </is>
      </c>
      <c r="AF334" s="5" t="inlineStr">
        <is>
          <t>gesundheit-versorgung-praevention-caritasverband-für-die-diözese-speyer-e-v-kassenärztliche-ver</t>
        </is>
      </c>
    </row>
    <row r="335">
      <c r="A335" s="5" t="inlineStr">
        <is>
          <t>C0334</t>
        </is>
      </c>
      <c r="B335" s="5" t="inlineStr">
        <is>
          <t>x_0334</t>
        </is>
      </c>
      <c r="C335" s="5" t="n">
        <v>0</v>
      </c>
      <c r="D335" s="5" t="inlineStr">
        <is>
          <t>Caritasverband für die Diözese Speyer e.V.</t>
        </is>
      </c>
      <c r="E335" s="5" t="inlineStr">
        <is>
          <t>Techniker Krankenkasse</t>
        </is>
      </c>
      <c r="F335" s="5" t="n">
        <v>14</v>
      </c>
      <c r="G335" s="5" t="n">
        <v>87</v>
      </c>
      <c r="H335" s="5" t="inlineStr">
        <is>
          <t>implementation_anchor</t>
        </is>
      </c>
      <c r="I335" t="inlineStr">
        <is>
          <t>health_social_anchor</t>
        </is>
      </c>
      <c r="J335" s="5" t="inlineStr">
        <is>
          <t>context_actor</t>
        </is>
      </c>
      <c r="K335" t="inlineStr">
        <is>
          <t>health_social_anchor</t>
        </is>
      </c>
      <c r="L335" s="5" t="inlineStr">
        <is>
          <t>gesellschaft</t>
        </is>
      </c>
      <c r="M335" s="5" t="inlineStr">
        <is>
          <t>gesundheit_versorgung_praevention</t>
        </is>
      </c>
      <c r="N335" s="5" t="inlineStr">
        <is>
          <t>Gesundheitsversorgung und Prävention</t>
        </is>
      </c>
      <c r="O335" s="5" t="n">
        <v>4</v>
      </c>
      <c r="P335" s="5" t="n">
        <v>5</v>
      </c>
      <c r="Q335" s="5" t="n">
        <v>13</v>
      </c>
      <c r="R335" s="5" t="n">
        <v>4</v>
      </c>
      <c r="S335" s="5" t="n">
        <v>0</v>
      </c>
      <c r="T335" s="5" t="n">
        <v>0</v>
      </c>
      <c r="U335" s="5" t="n">
        <v>2</v>
      </c>
      <c r="V335" s="5" t="n">
        <v>6</v>
      </c>
      <c r="W335" s="5" t="n">
        <v>6</v>
      </c>
      <c r="X335" s="5" t="n">
        <v>0</v>
      </c>
      <c r="Y335" s="5" t="n">
        <v>0</v>
      </c>
      <c r="Z335" s="5" t="n">
        <v>0</v>
      </c>
      <c r="AA335" s="5" t="n">
        <v>0</v>
      </c>
      <c r="AB335" s="5" t="n">
        <v>30.31572</v>
      </c>
      <c r="AC335" s="5" t="inlineStr">
        <is>
          <t>Wie kann Gesundheitsversorgung in Rheinland-Pfalz zugänglich, präventiv und digital unterstützt werden?</t>
        </is>
      </c>
      <c r="AD335" s="5" t="inlineStr">
        <is>
          <t>Gesundheitsversorgung und Prävention: Caritasverband für die Diözese Speyer e.V. (implementation_anchor, 4) + Techniker Krankenkasse (context_actor, 5).</t>
        </is>
      </c>
      <c r="AE335" s="5" t="inlineStr">
        <is>
          <t>Caritasverband für die Diözese Speyer e.V. | Techniker Krankenkasse</t>
        </is>
      </c>
      <c r="AF335" s="5" t="inlineStr">
        <is>
          <t>gesundheit-versorgung-praevention-caritasverband-für-die-diözese-speyer-e-v-techniker-krankenka</t>
        </is>
      </c>
    </row>
    <row r="336">
      <c r="A336" s="5" t="inlineStr">
        <is>
          <t>C0335</t>
        </is>
      </c>
      <c r="B336" s="5" t="inlineStr">
        <is>
          <t>x_0335</t>
        </is>
      </c>
      <c r="C336" s="5" t="n">
        <v>0</v>
      </c>
      <c r="D336" s="5" t="inlineStr">
        <is>
          <t>Hochschule für Wirtschaft und Gesellschaft Ludwigshafen</t>
        </is>
      </c>
      <c r="E336" s="5" t="inlineStr">
        <is>
          <t>LandesPsychotherapeutenKammer Rheinland-Pfalz</t>
        </is>
      </c>
      <c r="F336" s="5" t="n">
        <v>36</v>
      </c>
      <c r="G336" s="5" t="n">
        <v>61</v>
      </c>
      <c r="H336" s="5" t="inlineStr">
        <is>
          <t>academic_support</t>
        </is>
      </c>
      <c r="I336" t="inlineStr">
        <is>
          <t>university_applied_sciences</t>
        </is>
      </c>
      <c r="J336" s="5" t="inlineStr">
        <is>
          <t>implementation_anchor</t>
        </is>
      </c>
      <c r="K336" t="inlineStr">
        <is>
          <t>health_social_anchor</t>
        </is>
      </c>
      <c r="L336" s="5" t="inlineStr">
        <is>
          <t>gesellschaft</t>
        </is>
      </c>
      <c r="M336" s="5" t="inlineStr">
        <is>
          <t>gesundheit_versorgung_praevention</t>
        </is>
      </c>
      <c r="N336" s="5" t="inlineStr">
        <is>
          <t>Gesundheitsversorgung und Prävention</t>
        </is>
      </c>
      <c r="O336" s="5" t="n">
        <v>3</v>
      </c>
      <c r="P336" s="5" t="n">
        <v>4</v>
      </c>
      <c r="Q336" s="5" t="n">
        <v>11</v>
      </c>
      <c r="R336" s="5" t="n">
        <v>4</v>
      </c>
      <c r="S336" s="5" t="n">
        <v>0</v>
      </c>
      <c r="T336" s="5" t="n">
        <v>0</v>
      </c>
      <c r="U336" s="5" t="n">
        <v>2</v>
      </c>
      <c r="V336" s="5" t="n">
        <v>7</v>
      </c>
      <c r="W336" s="5" t="n">
        <v>7</v>
      </c>
      <c r="X336" s="5" t="n">
        <v>0</v>
      </c>
      <c r="Y336" s="5" t="n">
        <v>0</v>
      </c>
      <c r="Z336" s="5" t="n">
        <v>0</v>
      </c>
      <c r="AA336" s="5" t="n">
        <v>0</v>
      </c>
      <c r="AB336" s="5" t="n">
        <v>32.854787</v>
      </c>
      <c r="AC336" s="5" t="inlineStr">
        <is>
          <t>Wie kann Gesundheitsversorgung in Rheinland-Pfalz zugänglich, präventiv und digital unterstützt werden?</t>
        </is>
      </c>
      <c r="AD336" s="5" t="inlineStr">
        <is>
          <t>Gesundheitsversorgung und Prävention: Hochschule für Wirtschaft und Gesellschaft Ludwigshafen (academic_support, 3) + LandesPsychotherapeutenKammer Rheinland-Pfalz (implementation_anchor, 4).</t>
        </is>
      </c>
      <c r="AE336" s="5" t="inlineStr">
        <is>
          <t>Hochschule für Wirtschaft und Gesellschaft Ludwigshafen | LandesPsychotherapeutenKammer Rheinland-Pfalz</t>
        </is>
      </c>
      <c r="AF336" s="5" t="inlineStr">
        <is>
          <t>gesundheit-versorgung-praevention-hochschule-für-wirtschaft-und-gesellschaft-ludwigshafen-lande</t>
        </is>
      </c>
    </row>
    <row r="337">
      <c r="A337" s="5" t="inlineStr">
        <is>
          <t>C0336</t>
        </is>
      </c>
      <c r="B337" s="5" t="inlineStr">
        <is>
          <t>x_0336</t>
        </is>
      </c>
      <c r="C337" s="5" t="n">
        <v>0</v>
      </c>
      <c r="D337" s="5" t="inlineStr">
        <is>
          <t>IKK Südwest</t>
        </is>
      </c>
      <c r="E337" s="5" t="inlineStr">
        <is>
          <t>LandesPsychotherapeutenKammer Rheinland-Pfalz</t>
        </is>
      </c>
      <c r="F337" s="5" t="n">
        <v>42</v>
      </c>
      <c r="G337" s="5" t="n">
        <v>61</v>
      </c>
      <c r="H337" s="5" t="inlineStr">
        <is>
          <t>context_actor</t>
        </is>
      </c>
      <c r="I337" t="inlineStr">
        <is>
          <t>health_social_anchor</t>
        </is>
      </c>
      <c r="J337" s="5" t="inlineStr">
        <is>
          <t>implementation_anchor</t>
        </is>
      </c>
      <c r="K337" t="inlineStr">
        <is>
          <t>health_social_anchor</t>
        </is>
      </c>
      <c r="L337" s="5" t="inlineStr">
        <is>
          <t>gesellschaft</t>
        </is>
      </c>
      <c r="M337" s="5" t="inlineStr">
        <is>
          <t>gesundheit_versorgung_praevention</t>
        </is>
      </c>
      <c r="N337" s="5" t="inlineStr">
        <is>
          <t>Gesundheitsversorgung und Prävention</t>
        </is>
      </c>
      <c r="O337" s="5" t="n">
        <v>5</v>
      </c>
      <c r="P337" s="5" t="n">
        <v>4</v>
      </c>
      <c r="Q337" s="5" t="n">
        <v>13</v>
      </c>
      <c r="R337" s="5" t="n">
        <v>4</v>
      </c>
      <c r="S337" s="5" t="n">
        <v>0</v>
      </c>
      <c r="T337" s="5" t="n">
        <v>0</v>
      </c>
      <c r="U337" s="5" t="n">
        <v>2</v>
      </c>
      <c r="V337" s="5" t="n">
        <v>6</v>
      </c>
      <c r="W337" s="5" t="n">
        <v>6</v>
      </c>
      <c r="X337" s="5" t="n">
        <v>0</v>
      </c>
      <c r="Y337" s="5" t="n">
        <v>0</v>
      </c>
      <c r="Z337" s="5" t="n">
        <v>0</v>
      </c>
      <c r="AA337" s="5" t="n">
        <v>0</v>
      </c>
      <c r="AB337" s="5" t="n">
        <v>30.31572</v>
      </c>
      <c r="AC337" s="5" t="inlineStr">
        <is>
          <t>Wie kann Gesundheitsversorgung in Rheinland-Pfalz zugänglich, präventiv und digital unterstützt werden?</t>
        </is>
      </c>
      <c r="AD337" s="5" t="inlineStr">
        <is>
          <t>Gesundheitsversorgung und Prävention: IKK Südwest (context_actor, 5) + LandesPsychotherapeutenKammer Rheinland-Pfalz (implementation_anchor, 4).</t>
        </is>
      </c>
      <c r="AE337" s="5" t="inlineStr">
        <is>
          <t>IKK Südwest | LandesPsychotherapeutenKammer Rheinland-Pfalz</t>
        </is>
      </c>
      <c r="AF337" s="5" t="inlineStr">
        <is>
          <t>gesundheit-versorgung-praevention-ikk-südwest-landespsychotherapeutenkammer-rheinland-pfalz</t>
        </is>
      </c>
    </row>
    <row r="338">
      <c r="A338" s="5" t="inlineStr">
        <is>
          <t>C0337</t>
        </is>
      </c>
      <c r="B338" s="5" t="inlineStr">
        <is>
          <t>x_0337</t>
        </is>
      </c>
      <c r="C338" s="5" t="n">
        <v>0</v>
      </c>
      <c r="D338" s="5" t="inlineStr">
        <is>
          <t>Kassenzahnärztliche Vereinigung Rheinland-Pfalz</t>
        </is>
      </c>
      <c r="E338" s="5" t="inlineStr">
        <is>
          <t>Landesärztekammer Rheinland-Pfalz</t>
        </is>
      </c>
      <c r="F338" s="5" t="n">
        <v>53</v>
      </c>
      <c r="G338" s="5" t="n">
        <v>62</v>
      </c>
      <c r="H338" s="5" t="inlineStr">
        <is>
          <t>context_actor</t>
        </is>
      </c>
      <c r="I338" t="inlineStr">
        <is>
          <t>health_social_anchor</t>
        </is>
      </c>
      <c r="J338" s="5" t="inlineStr">
        <is>
          <t>implementation_anchor</t>
        </is>
      </c>
      <c r="K338" t="inlineStr">
        <is>
          <t>health_social_anchor</t>
        </is>
      </c>
      <c r="L338" s="5" t="inlineStr">
        <is>
          <t>gesellschaft</t>
        </is>
      </c>
      <c r="M338" s="5" t="inlineStr">
        <is>
          <t>gesundheit_versorgung_praevention</t>
        </is>
      </c>
      <c r="N338" s="5" t="inlineStr">
        <is>
          <t>Gesundheitsversorgung und Prävention</t>
        </is>
      </c>
      <c r="O338" s="5" t="n">
        <v>4</v>
      </c>
      <c r="P338" s="5" t="n">
        <v>5</v>
      </c>
      <c r="Q338" s="5" t="n">
        <v>13</v>
      </c>
      <c r="R338" s="5" t="n">
        <v>4</v>
      </c>
      <c r="S338" s="5" t="n">
        <v>0</v>
      </c>
      <c r="T338" s="5" t="n">
        <v>0</v>
      </c>
      <c r="U338" s="5" t="n">
        <v>2</v>
      </c>
      <c r="V338" s="5" t="n">
        <v>6</v>
      </c>
      <c r="W338" s="5" t="n">
        <v>6</v>
      </c>
      <c r="X338" s="5" t="n">
        <v>0</v>
      </c>
      <c r="Y338" s="5" t="n">
        <v>0</v>
      </c>
      <c r="Z338" s="5" t="n">
        <v>0</v>
      </c>
      <c r="AA338" s="5" t="n">
        <v>0</v>
      </c>
      <c r="AB338" s="5" t="n">
        <v>30.31572</v>
      </c>
      <c r="AC338" s="5" t="inlineStr">
        <is>
          <t>Wie kann Gesundheitsversorgung in Rheinland-Pfalz zugänglich, präventiv und digital unterstützt werden?</t>
        </is>
      </c>
      <c r="AD338" s="5" t="inlineStr">
        <is>
          <t>Gesundheitsversorgung und Prävention: Kassenzahnärztliche Vereinigung Rheinland-Pfalz (context_actor, 4) + Landesärztekammer Rheinland-Pfalz (implementation_anchor, 5).</t>
        </is>
      </c>
      <c r="AE338" s="5" t="inlineStr">
        <is>
          <t>Kassenzahnärztliche Vereinigung Rheinland-Pfalz | Landesärztekammer Rheinland-Pfalz</t>
        </is>
      </c>
      <c r="AF338" s="5" t="inlineStr">
        <is>
          <t>gesundheit-versorgung-praevention-kassenzahnärztliche-vereinigung-rheinland-pfalz-landesärzteka</t>
        </is>
      </c>
    </row>
    <row r="339">
      <c r="A339" s="5" t="inlineStr">
        <is>
          <t>C0338</t>
        </is>
      </c>
      <c r="B339" s="5" t="inlineStr">
        <is>
          <t>x_0338</t>
        </is>
      </c>
      <c r="C339" s="5" t="n">
        <v>0</v>
      </c>
      <c r="D339" s="5" t="inlineStr">
        <is>
          <t>Kassenärztliche Vereinigung Rheinland-Pfalz</t>
        </is>
      </c>
      <c r="E339" s="5" t="inlineStr">
        <is>
          <t>LandesPsychotherapeutenKammer Rheinland-Pfalz</t>
        </is>
      </c>
      <c r="F339" s="5" t="n">
        <v>54</v>
      </c>
      <c r="G339" s="5" t="n">
        <v>61</v>
      </c>
      <c r="H339" s="5" t="inlineStr">
        <is>
          <t>context_actor</t>
        </is>
      </c>
      <c r="I339" t="inlineStr">
        <is>
          <t>health_social_anchor</t>
        </is>
      </c>
      <c r="J339" s="5" t="inlineStr">
        <is>
          <t>implementation_anchor</t>
        </is>
      </c>
      <c r="K339" t="inlineStr">
        <is>
          <t>health_social_anchor</t>
        </is>
      </c>
      <c r="L339" s="5" t="inlineStr">
        <is>
          <t>gesellschaft</t>
        </is>
      </c>
      <c r="M339" s="5" t="inlineStr">
        <is>
          <t>gesundheit_versorgung_praevention</t>
        </is>
      </c>
      <c r="N339" s="5" t="inlineStr">
        <is>
          <t>Gesundheitsversorgung und Prävention</t>
        </is>
      </c>
      <c r="O339" s="5" t="n">
        <v>5</v>
      </c>
      <c r="P339" s="5" t="n">
        <v>4</v>
      </c>
      <c r="Q339" s="5" t="n">
        <v>13</v>
      </c>
      <c r="R339" s="5" t="n">
        <v>4</v>
      </c>
      <c r="S339" s="5" t="n">
        <v>0</v>
      </c>
      <c r="T339" s="5" t="n">
        <v>0</v>
      </c>
      <c r="U339" s="5" t="n">
        <v>2</v>
      </c>
      <c r="V339" s="5" t="n">
        <v>6</v>
      </c>
      <c r="W339" s="5" t="n">
        <v>6</v>
      </c>
      <c r="X339" s="5" t="n">
        <v>0</v>
      </c>
      <c r="Y339" s="5" t="n">
        <v>0</v>
      </c>
      <c r="Z339" s="5" t="n">
        <v>0</v>
      </c>
      <c r="AA339" s="5" t="n">
        <v>0</v>
      </c>
      <c r="AB339" s="5" t="n">
        <v>30.31572</v>
      </c>
      <c r="AC339" s="5" t="inlineStr">
        <is>
          <t>Wie kann Gesundheitsversorgung in Rheinland-Pfalz zugänglich, präventiv und digital unterstützt werden?</t>
        </is>
      </c>
      <c r="AD339" s="5" t="inlineStr">
        <is>
          <t>Gesundheitsversorgung und Prävention: Kassenärztliche Vereinigung Rheinland-Pfalz (context_actor, 5) + LandesPsychotherapeutenKammer Rheinland-Pfalz (implementation_anchor, 4).</t>
        </is>
      </c>
      <c r="AE339" s="5" t="inlineStr">
        <is>
          <t>Kassenärztliche Vereinigung Rheinland-Pfalz | LandesPsychotherapeutenKammer Rheinland-Pfalz</t>
        </is>
      </c>
      <c r="AF339" s="5" t="inlineStr">
        <is>
          <t>gesundheit-versorgung-praevention-kassenärztliche-vereinigung-rheinland-pfalz-landespsychothera</t>
        </is>
      </c>
    </row>
    <row r="340">
      <c r="A340" s="5" t="inlineStr">
        <is>
          <t>C0339</t>
        </is>
      </c>
      <c r="B340" s="5" t="inlineStr">
        <is>
          <t>x_0339</t>
        </is>
      </c>
      <c r="C340" s="5" t="n">
        <v>0</v>
      </c>
      <c r="D340" s="5" t="inlineStr">
        <is>
          <t>LandesPsychotherapeutenKammer Rheinland-Pfalz</t>
        </is>
      </c>
      <c r="E340" s="5" t="inlineStr">
        <is>
          <t>Techniker Krankenkasse</t>
        </is>
      </c>
      <c r="F340" s="5" t="n">
        <v>61</v>
      </c>
      <c r="G340" s="5" t="n">
        <v>87</v>
      </c>
      <c r="H340" s="5" t="inlineStr">
        <is>
          <t>implementation_anchor</t>
        </is>
      </c>
      <c r="I340" t="inlineStr">
        <is>
          <t>health_social_anchor</t>
        </is>
      </c>
      <c r="J340" s="5" t="inlineStr">
        <is>
          <t>context_actor</t>
        </is>
      </c>
      <c r="K340" t="inlineStr">
        <is>
          <t>health_social_anchor</t>
        </is>
      </c>
      <c r="L340" s="5" t="inlineStr">
        <is>
          <t>gesellschaft</t>
        </is>
      </c>
      <c r="M340" s="5" t="inlineStr">
        <is>
          <t>gesundheit_versorgung_praevention</t>
        </is>
      </c>
      <c r="N340" s="5" t="inlineStr">
        <is>
          <t>Gesundheitsversorgung und Prävention</t>
        </is>
      </c>
      <c r="O340" s="5" t="n">
        <v>4</v>
      </c>
      <c r="P340" s="5" t="n">
        <v>5</v>
      </c>
      <c r="Q340" s="5" t="n">
        <v>13</v>
      </c>
      <c r="R340" s="5" t="n">
        <v>4</v>
      </c>
      <c r="S340" s="5" t="n">
        <v>0</v>
      </c>
      <c r="T340" s="5" t="n">
        <v>0</v>
      </c>
      <c r="U340" s="5" t="n">
        <v>2</v>
      </c>
      <c r="V340" s="5" t="n">
        <v>6</v>
      </c>
      <c r="W340" s="5" t="n">
        <v>6</v>
      </c>
      <c r="X340" s="5" t="n">
        <v>0</v>
      </c>
      <c r="Y340" s="5" t="n">
        <v>0</v>
      </c>
      <c r="Z340" s="5" t="n">
        <v>0</v>
      </c>
      <c r="AA340" s="5" t="n">
        <v>0</v>
      </c>
      <c r="AB340" s="5" t="n">
        <v>30.31572</v>
      </c>
      <c r="AC340" s="5" t="inlineStr">
        <is>
          <t>Wie kann Gesundheitsversorgung in Rheinland-Pfalz zugänglich, präventiv und digital unterstützt werden?</t>
        </is>
      </c>
      <c r="AD340" s="5" t="inlineStr">
        <is>
          <t>Gesundheitsversorgung und Prävention: LandesPsychotherapeutenKammer Rheinland-Pfalz (implementation_anchor, 4) + Techniker Krankenkasse (context_actor, 5).</t>
        </is>
      </c>
      <c r="AE340" s="5" t="inlineStr">
        <is>
          <t>LandesPsychotherapeutenKammer Rheinland-Pfalz | Techniker Krankenkasse</t>
        </is>
      </c>
      <c r="AF340" s="5" t="inlineStr">
        <is>
          <t>gesundheit-versorgung-praevention-landespsychotherapeutenkammer-rheinland-pfalz-techniker-krank</t>
        </is>
      </c>
    </row>
    <row r="341">
      <c r="A341" s="5" t="inlineStr">
        <is>
          <t>C0340</t>
        </is>
      </c>
      <c r="B341" s="5" t="inlineStr">
        <is>
          <t>x_0340</t>
        </is>
      </c>
      <c r="C341" s="5" t="n">
        <v>0</v>
      </c>
      <c r="D341" s="5" t="inlineStr">
        <is>
          <t>BASF SE</t>
        </is>
      </c>
      <c r="E341" s="5" t="inlineStr">
        <is>
          <t>Johannes Gutenberg-Universität Mainz</t>
        </is>
      </c>
      <c r="F341" s="5" t="n">
        <v>6</v>
      </c>
      <c r="G341" s="5" t="n">
        <v>49</v>
      </c>
      <c r="H341" s="5" t="inlineStr">
        <is>
          <t>profit_anchor</t>
        </is>
      </c>
      <c r="I341" t="inlineStr">
        <is>
          <t>industry_anchor</t>
        </is>
      </c>
      <c r="J341" s="5" t="inlineStr">
        <is>
          <t>academic_support</t>
        </is>
      </c>
      <c r="K341" t="inlineStr">
        <is>
          <t>university_research</t>
        </is>
      </c>
      <c r="L341" s="5" t="inlineStr">
        <is>
          <t>wissen</t>
        </is>
      </c>
      <c r="M341" s="5" t="inlineStr">
        <is>
          <t>hochschule_wirtschaft_transfer</t>
        </is>
      </c>
      <c r="N341" s="5" t="inlineStr">
        <is>
          <t>Hochschule-Wirtschaft-Transfer</t>
        </is>
      </c>
      <c r="O341" s="5" t="n">
        <v>4</v>
      </c>
      <c r="P341" s="5" t="n">
        <v>5</v>
      </c>
      <c r="Q341" s="5" t="n">
        <v>13</v>
      </c>
      <c r="R341" s="5" t="n">
        <v>4</v>
      </c>
      <c r="S341" s="5" t="n">
        <v>0</v>
      </c>
      <c r="T341" s="5" t="n">
        <v>0</v>
      </c>
      <c r="U341" s="5" t="n">
        <v>2</v>
      </c>
      <c r="V341" s="5" t="n">
        <v>6</v>
      </c>
      <c r="W341" s="5" t="n">
        <v>6</v>
      </c>
      <c r="X341" s="5" t="n">
        <v>0</v>
      </c>
      <c r="Y341" s="5" t="n">
        <v>0</v>
      </c>
      <c r="Z341" s="5" t="n">
        <v>0</v>
      </c>
      <c r="AA341" s="5" t="n">
        <v>0</v>
      </c>
      <c r="AB341" s="5" t="n">
        <v>26.593343</v>
      </c>
      <c r="AC341" s="5" t="inlineStr">
        <is>
          <t>Wie kommen Forschung, Unternehmen und öffentliche Akteure schneller in gemeinsame Umsetzungsprojekte?</t>
        </is>
      </c>
      <c r="AD341" s="5" t="inlineStr">
        <is>
          <t>Hochschule-Wirtschaft-Transfer: BASF SE (profit_anchor, 4) + Johannes Gutenberg-Universität Mainz (academic_support, 5).</t>
        </is>
      </c>
      <c r="AE341" s="5" t="inlineStr">
        <is>
          <t>BASF SE | Johannes Gutenberg-Universität Mainz</t>
        </is>
      </c>
      <c r="AF341" s="5" t="inlineStr">
        <is>
          <t>hochschule-wirtschaft-transfer-basf-se-johannes-gutenberg-universität-mainz</t>
        </is>
      </c>
    </row>
    <row r="342">
      <c r="A342" s="5" t="inlineStr">
        <is>
          <t>C0341</t>
        </is>
      </c>
      <c r="B342" s="5" t="inlineStr">
        <is>
          <t>x_0341</t>
        </is>
      </c>
      <c r="C342" s="5" t="n">
        <v>0</v>
      </c>
      <c r="D342" s="5" t="inlineStr">
        <is>
          <t>BASF SE</t>
        </is>
      </c>
      <c r="E342" s="5" t="inlineStr">
        <is>
          <t>Rheinland-Pfälzische Technische Universität Kaiserslautern-Landau (RPTU)</t>
        </is>
      </c>
      <c r="F342" s="5" t="n">
        <v>6</v>
      </c>
      <c r="G342" s="5" t="n">
        <v>74</v>
      </c>
      <c r="H342" s="5" t="inlineStr">
        <is>
          <t>profit_anchor</t>
        </is>
      </c>
      <c r="I342" t="inlineStr">
        <is>
          <t>industry_anchor</t>
        </is>
      </c>
      <c r="J342" s="5" t="inlineStr">
        <is>
          <t>academic_support</t>
        </is>
      </c>
      <c r="K342" t="inlineStr">
        <is>
          <t>university_research</t>
        </is>
      </c>
      <c r="L342" s="5" t="inlineStr">
        <is>
          <t>wissen</t>
        </is>
      </c>
      <c r="M342" s="5" t="inlineStr">
        <is>
          <t>hochschule_wirtschaft_transfer</t>
        </is>
      </c>
      <c r="N342" s="5" t="inlineStr">
        <is>
          <t>Hochschule-Wirtschaft-Transfer</t>
        </is>
      </c>
      <c r="O342" s="5" t="n">
        <v>4</v>
      </c>
      <c r="P342" s="5" t="n">
        <v>5</v>
      </c>
      <c r="Q342" s="5" t="n">
        <v>13</v>
      </c>
      <c r="R342" s="5" t="n">
        <v>4</v>
      </c>
      <c r="S342" s="5" t="n">
        <v>0</v>
      </c>
      <c r="T342" s="5" t="n">
        <v>0</v>
      </c>
      <c r="U342" s="5" t="n">
        <v>2</v>
      </c>
      <c r="V342" s="5" t="n">
        <v>6</v>
      </c>
      <c r="W342" s="5" t="n">
        <v>6</v>
      </c>
      <c r="X342" s="5" t="n">
        <v>0</v>
      </c>
      <c r="Y342" s="5" t="n">
        <v>0</v>
      </c>
      <c r="Z342" s="5" t="n">
        <v>0</v>
      </c>
      <c r="AA342" s="5" t="n">
        <v>0</v>
      </c>
      <c r="AB342" s="5" t="n">
        <v>26.593343</v>
      </c>
      <c r="AC342" s="5" t="inlineStr">
        <is>
          <t>Wie kommen Forschung, Unternehmen und öffentliche Akteure schneller in gemeinsame Umsetzungsprojekte?</t>
        </is>
      </c>
      <c r="AD342" s="5" t="inlineStr">
        <is>
          <t>Hochschule-Wirtschaft-Transfer: BASF SE (profit_anchor, 4) + Rheinland-Pfälzische Technische Universität Kaiserslautern-Landau (RPTU) (academic_support, 5).</t>
        </is>
      </c>
      <c r="AE342" s="5" t="inlineStr">
        <is>
          <t>BASF SE | Rheinland-Pfälzische Technische Universität Kaiserslautern-Landau (RPTU)</t>
        </is>
      </c>
      <c r="AF342" s="5" t="inlineStr">
        <is>
          <t>hochschule-wirtschaft-transfer-basf-se-rheinland-pfälzische-technische-universität-kaiserslaute</t>
        </is>
      </c>
    </row>
    <row r="343">
      <c r="A343" s="5" t="inlineStr">
        <is>
          <t>C0342</t>
        </is>
      </c>
      <c r="B343" s="5" t="inlineStr">
        <is>
          <t>x_0342</t>
        </is>
      </c>
      <c r="C343" s="5" t="n">
        <v>0</v>
      </c>
      <c r="D343" s="5" t="inlineStr">
        <is>
          <t>BASF SE</t>
        </is>
      </c>
      <c r="E343" s="5" t="inlineStr">
        <is>
          <t>SmartFactory KL e.V.</t>
        </is>
      </c>
      <c r="F343" s="5" t="n">
        <v>6</v>
      </c>
      <c r="G343" s="5" t="n">
        <v>81</v>
      </c>
      <c r="H343" s="5" t="inlineStr">
        <is>
          <t>profit_anchor</t>
        </is>
      </c>
      <c r="I343" t="inlineStr">
        <is>
          <t>industry_anchor</t>
        </is>
      </c>
      <c r="J343" s="5" t="inlineStr">
        <is>
          <t>context_actor</t>
        </is>
      </c>
      <c r="K343" t="inlineStr">
        <is>
          <t>technology_digital_anchor</t>
        </is>
      </c>
      <c r="L343" s="5" t="inlineStr">
        <is>
          <t>wissen</t>
        </is>
      </c>
      <c r="M343" s="5" t="inlineStr">
        <is>
          <t>hochschule_wirtschaft_transfer</t>
        </is>
      </c>
      <c r="N343" s="5" t="inlineStr">
        <is>
          <t>Hochschule-Wirtschaft-Transfer</t>
        </is>
      </c>
      <c r="O343" s="5" t="n">
        <v>4</v>
      </c>
      <c r="P343" s="5" t="n">
        <v>5</v>
      </c>
      <c r="Q343" s="5" t="n">
        <v>13</v>
      </c>
      <c r="R343" s="5" t="n">
        <v>4</v>
      </c>
      <c r="S343" s="5" t="n">
        <v>0</v>
      </c>
      <c r="T343" s="5" t="n">
        <v>0</v>
      </c>
      <c r="U343" s="5" t="n">
        <v>2</v>
      </c>
      <c r="V343" s="5" t="n">
        <v>6</v>
      </c>
      <c r="W343" s="5" t="n">
        <v>6</v>
      </c>
      <c r="X343" s="5" t="n">
        <v>0</v>
      </c>
      <c r="Y343" s="5" t="n">
        <v>0</v>
      </c>
      <c r="Z343" s="5" t="n">
        <v>0</v>
      </c>
      <c r="AA343" s="5" t="n">
        <v>0</v>
      </c>
      <c r="AB343" s="5" t="n">
        <v>21.763175</v>
      </c>
      <c r="AC343" s="5" t="inlineStr">
        <is>
          <t>Wie kommen Forschung, Unternehmen und öffentliche Akteure schneller in gemeinsame Umsetzungsprojekte?</t>
        </is>
      </c>
      <c r="AD343" s="5" t="inlineStr">
        <is>
          <t>Hochschule-Wirtschaft-Transfer: BASF SE (profit_anchor, 4) + SmartFactory KL e.V. (context_actor, 5).</t>
        </is>
      </c>
      <c r="AE343" s="5" t="inlineStr">
        <is>
          <t>BASF SE | SmartFactory KL e.V.</t>
        </is>
      </c>
      <c r="AF343" s="5" t="inlineStr">
        <is>
          <t>hochschule-wirtschaft-transfer-basf-se-smartfactory-kl-e-v</t>
        </is>
      </c>
    </row>
    <row r="344">
      <c r="A344" s="5" t="inlineStr">
        <is>
          <t>C0343</t>
        </is>
      </c>
      <c r="B344" s="5" t="inlineStr">
        <is>
          <t>x_0343</t>
        </is>
      </c>
      <c r="C344" s="5" t="n">
        <v>0</v>
      </c>
      <c r="D344" s="5" t="inlineStr">
        <is>
          <t>BASF SE</t>
        </is>
      </c>
      <c r="E344" s="5" t="inlineStr">
        <is>
          <t>WHU – Otto Beisheim School of Management</t>
        </is>
      </c>
      <c r="F344" s="5" t="n">
        <v>6</v>
      </c>
      <c r="G344" s="5" t="n">
        <v>99</v>
      </c>
      <c r="H344" s="5" t="inlineStr">
        <is>
          <t>profit_anchor</t>
        </is>
      </c>
      <c r="I344" t="inlineStr">
        <is>
          <t>industry_anchor</t>
        </is>
      </c>
      <c r="J344" s="5" t="inlineStr">
        <is>
          <t>academic_support</t>
        </is>
      </c>
      <c r="K344" t="inlineStr">
        <is>
          <t>university_research</t>
        </is>
      </c>
      <c r="L344" s="5" t="inlineStr">
        <is>
          <t>wissen</t>
        </is>
      </c>
      <c r="M344" s="5" t="inlineStr">
        <is>
          <t>hochschule_wirtschaft_transfer</t>
        </is>
      </c>
      <c r="N344" s="5" t="inlineStr">
        <is>
          <t>Hochschule-Wirtschaft-Transfer</t>
        </is>
      </c>
      <c r="O344" s="5" t="n">
        <v>4</v>
      </c>
      <c r="P344" s="5" t="n">
        <v>5</v>
      </c>
      <c r="Q344" s="5" t="n">
        <v>13</v>
      </c>
      <c r="R344" s="5" t="n">
        <v>4</v>
      </c>
      <c r="S344" s="5" t="n">
        <v>0</v>
      </c>
      <c r="T344" s="5" t="n">
        <v>0</v>
      </c>
      <c r="U344" s="5" t="n">
        <v>2</v>
      </c>
      <c r="V344" s="5" t="n">
        <v>6</v>
      </c>
      <c r="W344" s="5" t="n">
        <v>6</v>
      </c>
      <c r="X344" s="5" t="n">
        <v>0</v>
      </c>
      <c r="Y344" s="5" t="n">
        <v>0</v>
      </c>
      <c r="Z344" s="5" t="n">
        <v>0</v>
      </c>
      <c r="AA344" s="5" t="n">
        <v>0</v>
      </c>
      <c r="AB344" s="5" t="n">
        <v>26.593343</v>
      </c>
      <c r="AC344" s="5" t="inlineStr">
        <is>
          <t>Wie kommen Forschung, Unternehmen und öffentliche Akteure schneller in gemeinsame Umsetzungsprojekte?</t>
        </is>
      </c>
      <c r="AD344" s="5" t="inlineStr">
        <is>
          <t>Hochschule-Wirtschaft-Transfer: BASF SE (profit_anchor, 4) + WHU – Otto Beisheim School of Management (academic_support, 5).</t>
        </is>
      </c>
      <c r="AE344" s="5" t="inlineStr">
        <is>
          <t>BASF SE | WHU – Otto Beisheim School of Management</t>
        </is>
      </c>
      <c r="AF344" s="5" t="inlineStr">
        <is>
          <t>hochschule-wirtschaft-transfer-basf-se-whu-otto-beisheim-school-of-management</t>
        </is>
      </c>
    </row>
    <row r="345">
      <c r="A345" s="5" t="inlineStr">
        <is>
          <t>C0344</t>
        </is>
      </c>
      <c r="B345" s="5" t="inlineStr">
        <is>
          <t>x_0344</t>
        </is>
      </c>
      <c r="C345" s="5" t="n">
        <v>0</v>
      </c>
      <c r="D345" s="5" t="inlineStr">
        <is>
          <t>BRICKMAKERS AG</t>
        </is>
      </c>
      <c r="E345" s="5" t="inlineStr">
        <is>
          <t>Johannes Gutenberg-Universität Mainz</t>
        </is>
      </c>
      <c r="F345" s="5" t="n">
        <v>12</v>
      </c>
      <c r="G345" s="5" t="n">
        <v>49</v>
      </c>
      <c r="H345" s="5" t="inlineStr">
        <is>
          <t>profit_anchor</t>
        </is>
      </c>
      <c r="I345" t="inlineStr">
        <is>
          <t>technology_digital_anchor</t>
        </is>
      </c>
      <c r="J345" s="5" t="inlineStr">
        <is>
          <t>academic_support</t>
        </is>
      </c>
      <c r="K345" t="inlineStr">
        <is>
          <t>university_research</t>
        </is>
      </c>
      <c r="L345" s="5" t="inlineStr">
        <is>
          <t>wissen</t>
        </is>
      </c>
      <c r="M345" s="5" t="inlineStr">
        <is>
          <t>hochschule_wirtschaft_transfer</t>
        </is>
      </c>
      <c r="N345" s="5" t="inlineStr">
        <is>
          <t>Hochschule-Wirtschaft-Transfer</t>
        </is>
      </c>
      <c r="O345" s="5" t="n">
        <v>4</v>
      </c>
      <c r="P345" s="5" t="n">
        <v>5</v>
      </c>
      <c r="Q345" s="5" t="n">
        <v>13</v>
      </c>
      <c r="R345" s="5" t="n">
        <v>4</v>
      </c>
      <c r="S345" s="5" t="n">
        <v>0</v>
      </c>
      <c r="T345" s="5" t="n">
        <v>0</v>
      </c>
      <c r="U345" s="5" t="n">
        <v>2</v>
      </c>
      <c r="V345" s="5" t="n">
        <v>6</v>
      </c>
      <c r="W345" s="5" t="n">
        <v>6</v>
      </c>
      <c r="X345" s="5" t="n">
        <v>0</v>
      </c>
      <c r="Y345" s="5" t="n">
        <v>0</v>
      </c>
      <c r="Z345" s="5" t="n">
        <v>0</v>
      </c>
      <c r="AA345" s="5" t="n">
        <v>0</v>
      </c>
      <c r="AB345" s="5" t="n">
        <v>27.71863</v>
      </c>
      <c r="AC345" s="5" t="inlineStr">
        <is>
          <t>Wie kommen Forschung, Unternehmen und öffentliche Akteure schneller in gemeinsame Umsetzungsprojekte?</t>
        </is>
      </c>
      <c r="AD345" s="5" t="inlineStr">
        <is>
          <t>Hochschule-Wirtschaft-Transfer: BRICKMAKERS AG (profit_anchor, 4) + Johannes Gutenberg-Universität Mainz (academic_support, 5).</t>
        </is>
      </c>
      <c r="AE345" s="5" t="inlineStr">
        <is>
          <t>BRICKMAKERS AG | Johannes Gutenberg-Universität Mainz</t>
        </is>
      </c>
      <c r="AF345" s="5" t="inlineStr">
        <is>
          <t>hochschule-wirtschaft-transfer-brickmakers-ag-johannes-gutenberg-universität-mainz</t>
        </is>
      </c>
    </row>
    <row r="346">
      <c r="A346" s="5" t="inlineStr">
        <is>
          <t>C0345</t>
        </is>
      </c>
      <c r="B346" s="5" t="inlineStr">
        <is>
          <t>x_0345</t>
        </is>
      </c>
      <c r="C346" s="5" t="n">
        <v>0</v>
      </c>
      <c r="D346" s="5" t="inlineStr">
        <is>
          <t>BRICKMAKERS AG</t>
        </is>
      </c>
      <c r="E346" s="5" t="inlineStr">
        <is>
          <t>Rheinland-Pfälzische Technische Universität Kaiserslautern-Landau (RPTU)</t>
        </is>
      </c>
      <c r="F346" s="5" t="n">
        <v>12</v>
      </c>
      <c r="G346" s="5" t="n">
        <v>74</v>
      </c>
      <c r="H346" s="5" t="inlineStr">
        <is>
          <t>profit_anchor</t>
        </is>
      </c>
      <c r="I346" t="inlineStr">
        <is>
          <t>technology_digital_anchor</t>
        </is>
      </c>
      <c r="J346" s="5" t="inlineStr">
        <is>
          <t>academic_support</t>
        </is>
      </c>
      <c r="K346" t="inlineStr">
        <is>
          <t>university_research</t>
        </is>
      </c>
      <c r="L346" s="5" t="inlineStr">
        <is>
          <t>wissen</t>
        </is>
      </c>
      <c r="M346" s="5" t="inlineStr">
        <is>
          <t>hochschule_wirtschaft_transfer</t>
        </is>
      </c>
      <c r="N346" s="5" t="inlineStr">
        <is>
          <t>Hochschule-Wirtschaft-Transfer</t>
        </is>
      </c>
      <c r="O346" s="5" t="n">
        <v>4</v>
      </c>
      <c r="P346" s="5" t="n">
        <v>5</v>
      </c>
      <c r="Q346" s="5" t="n">
        <v>13</v>
      </c>
      <c r="R346" s="5" t="n">
        <v>4</v>
      </c>
      <c r="S346" s="5" t="n">
        <v>0</v>
      </c>
      <c r="T346" s="5" t="n">
        <v>0</v>
      </c>
      <c r="U346" s="5" t="n">
        <v>2</v>
      </c>
      <c r="V346" s="5" t="n">
        <v>6</v>
      </c>
      <c r="W346" s="5" t="n">
        <v>6</v>
      </c>
      <c r="X346" s="5" t="n">
        <v>0</v>
      </c>
      <c r="Y346" s="5" t="n">
        <v>0</v>
      </c>
      <c r="Z346" s="5" t="n">
        <v>0</v>
      </c>
      <c r="AA346" s="5" t="n">
        <v>0</v>
      </c>
      <c r="AB346" s="5" t="n">
        <v>27.71863</v>
      </c>
      <c r="AC346" s="5" t="inlineStr">
        <is>
          <t>Wie kommen Forschung, Unternehmen und öffentliche Akteure schneller in gemeinsame Umsetzungsprojekte?</t>
        </is>
      </c>
      <c r="AD346" s="5" t="inlineStr">
        <is>
          <t>Hochschule-Wirtschaft-Transfer: BRICKMAKERS AG (profit_anchor, 4) + Rheinland-Pfälzische Technische Universität Kaiserslautern-Landau (RPTU) (academic_support, 5).</t>
        </is>
      </c>
      <c r="AE346" s="5" t="inlineStr">
        <is>
          <t>BRICKMAKERS AG | Rheinland-Pfälzische Technische Universität Kaiserslautern-Landau (RPTU)</t>
        </is>
      </c>
      <c r="AF346" s="5" t="inlineStr">
        <is>
          <t>hochschule-wirtschaft-transfer-brickmakers-ag-rheinland-pfälzische-technische-universität-kaise</t>
        </is>
      </c>
    </row>
    <row r="347">
      <c r="A347" s="5" t="inlineStr">
        <is>
          <t>C0346</t>
        </is>
      </c>
      <c r="B347" s="5" t="inlineStr">
        <is>
          <t>x_0346</t>
        </is>
      </c>
      <c r="C347" s="5" t="n">
        <v>0</v>
      </c>
      <c r="D347" s="5" t="inlineStr">
        <is>
          <t>BRICKMAKERS AG</t>
        </is>
      </c>
      <c r="E347" s="5" t="inlineStr">
        <is>
          <t>SmartFactory KL e.V.</t>
        </is>
      </c>
      <c r="F347" s="5" t="n">
        <v>12</v>
      </c>
      <c r="G347" s="5" t="n">
        <v>81</v>
      </c>
      <c r="H347" s="5" t="inlineStr">
        <is>
          <t>profit_anchor</t>
        </is>
      </c>
      <c r="I347" t="inlineStr">
        <is>
          <t>technology_digital_anchor</t>
        </is>
      </c>
      <c r="J347" s="5" t="inlineStr">
        <is>
          <t>context_actor</t>
        </is>
      </c>
      <c r="K347" t="inlineStr">
        <is>
          <t>technology_digital_anchor</t>
        </is>
      </c>
      <c r="L347" s="5" t="inlineStr">
        <is>
          <t>wissen</t>
        </is>
      </c>
      <c r="M347" s="5" t="inlineStr">
        <is>
          <t>hochschule_wirtschaft_transfer</t>
        </is>
      </c>
      <c r="N347" s="5" t="inlineStr">
        <is>
          <t>Hochschule-Wirtschaft-Transfer</t>
        </is>
      </c>
      <c r="O347" s="5" t="n">
        <v>4</v>
      </c>
      <c r="P347" s="5" t="n">
        <v>5</v>
      </c>
      <c r="Q347" s="5" t="n">
        <v>13</v>
      </c>
      <c r="R347" s="5" t="n">
        <v>4</v>
      </c>
      <c r="S347" s="5" t="n">
        <v>0</v>
      </c>
      <c r="T347" s="5" t="n">
        <v>0</v>
      </c>
      <c r="U347" s="5" t="n">
        <v>2</v>
      </c>
      <c r="V347" s="5" t="n">
        <v>6</v>
      </c>
      <c r="W347" s="5" t="n">
        <v>6</v>
      </c>
      <c r="X347" s="5" t="n">
        <v>0</v>
      </c>
      <c r="Y347" s="5" t="n">
        <v>0</v>
      </c>
      <c r="Z347" s="5" t="n">
        <v>0</v>
      </c>
      <c r="AA347" s="5" t="n">
        <v>0</v>
      </c>
      <c r="AB347" s="5" t="n">
        <v>22.82541</v>
      </c>
      <c r="AC347" s="5" t="inlineStr">
        <is>
          <t>Wie kommen Forschung, Unternehmen und öffentliche Akteure schneller in gemeinsame Umsetzungsprojekte?</t>
        </is>
      </c>
      <c r="AD347" s="5" t="inlineStr">
        <is>
          <t>Hochschule-Wirtschaft-Transfer: BRICKMAKERS AG (profit_anchor, 4) + SmartFactory KL e.V. (context_actor, 5).</t>
        </is>
      </c>
      <c r="AE347" s="5" t="inlineStr">
        <is>
          <t>BRICKMAKERS AG | SmartFactory KL e.V.</t>
        </is>
      </c>
      <c r="AF347" s="5" t="inlineStr">
        <is>
          <t>hochschule-wirtschaft-transfer-brickmakers-ag-smartfactory-kl-e-v</t>
        </is>
      </c>
    </row>
    <row r="348">
      <c r="A348" s="5" t="inlineStr">
        <is>
          <t>C0347</t>
        </is>
      </c>
      <c r="B348" s="5" t="inlineStr">
        <is>
          <t>x_0347</t>
        </is>
      </c>
      <c r="C348" s="5" t="n">
        <v>0</v>
      </c>
      <c r="D348" s="5" t="inlineStr">
        <is>
          <t>BRICKMAKERS AG</t>
        </is>
      </c>
      <c r="E348" s="5" t="inlineStr">
        <is>
          <t>WHU – Otto Beisheim School of Management</t>
        </is>
      </c>
      <c r="F348" s="5" t="n">
        <v>12</v>
      </c>
      <c r="G348" s="5" t="n">
        <v>99</v>
      </c>
      <c r="H348" s="5" t="inlineStr">
        <is>
          <t>profit_anchor</t>
        </is>
      </c>
      <c r="I348" t="inlineStr">
        <is>
          <t>technology_digital_anchor</t>
        </is>
      </c>
      <c r="J348" s="5" t="inlineStr">
        <is>
          <t>academic_support</t>
        </is>
      </c>
      <c r="K348" t="inlineStr">
        <is>
          <t>university_research</t>
        </is>
      </c>
      <c r="L348" s="5" t="inlineStr">
        <is>
          <t>wissen</t>
        </is>
      </c>
      <c r="M348" s="5" t="inlineStr">
        <is>
          <t>hochschule_wirtschaft_transfer</t>
        </is>
      </c>
      <c r="N348" s="5" t="inlineStr">
        <is>
          <t>Hochschule-Wirtschaft-Transfer</t>
        </is>
      </c>
      <c r="O348" s="5" t="n">
        <v>4</v>
      </c>
      <c r="P348" s="5" t="n">
        <v>5</v>
      </c>
      <c r="Q348" s="5" t="n">
        <v>13</v>
      </c>
      <c r="R348" s="5" t="n">
        <v>4</v>
      </c>
      <c r="S348" s="5" t="n">
        <v>0</v>
      </c>
      <c r="T348" s="5" t="n">
        <v>0</v>
      </c>
      <c r="U348" s="5" t="n">
        <v>2</v>
      </c>
      <c r="V348" s="5" t="n">
        <v>6</v>
      </c>
      <c r="W348" s="5" t="n">
        <v>6</v>
      </c>
      <c r="X348" s="5" t="n">
        <v>0</v>
      </c>
      <c r="Y348" s="5" t="n">
        <v>0</v>
      </c>
      <c r="Z348" s="5" t="n">
        <v>0</v>
      </c>
      <c r="AA348" s="5" t="n">
        <v>0</v>
      </c>
      <c r="AB348" s="5" t="n">
        <v>27.71863</v>
      </c>
      <c r="AC348" s="5" t="inlineStr">
        <is>
          <t>Wie kommen Forschung, Unternehmen und öffentliche Akteure schneller in gemeinsame Umsetzungsprojekte?</t>
        </is>
      </c>
      <c r="AD348" s="5" t="inlineStr">
        <is>
          <t>Hochschule-Wirtschaft-Transfer: BRICKMAKERS AG (profit_anchor, 4) + WHU – Otto Beisheim School of Management (academic_support, 5).</t>
        </is>
      </c>
      <c r="AE348" s="5" t="inlineStr">
        <is>
          <t>BRICKMAKERS AG | WHU – Otto Beisheim School of Management</t>
        </is>
      </c>
      <c r="AF348" s="5" t="inlineStr">
        <is>
          <t>hochschule-wirtschaft-transfer-brickmakers-ag-whu-otto-beisheim-school-of-management</t>
        </is>
      </c>
    </row>
    <row r="349">
      <c r="A349" s="5" t="inlineStr">
        <is>
          <t>C0348</t>
        </is>
      </c>
      <c r="B349" s="5" t="inlineStr">
        <is>
          <t>x_0348</t>
        </is>
      </c>
      <c r="C349" s="5" t="n">
        <v>0</v>
      </c>
      <c r="D349" s="5" t="inlineStr">
        <is>
          <t>Boehringer Ingelheim Pharma GmbH &amp; Co. KG</t>
        </is>
      </c>
      <c r="E349" s="5" t="inlineStr">
        <is>
          <t>Johannes Gutenberg-Universität Mainz</t>
        </is>
      </c>
      <c r="F349" s="5" t="n">
        <v>11</v>
      </c>
      <c r="G349" s="5" t="n">
        <v>49</v>
      </c>
      <c r="H349" s="5" t="inlineStr">
        <is>
          <t>profit_anchor</t>
        </is>
      </c>
      <c r="I349" t="inlineStr">
        <is>
          <t>health_social_anchor</t>
        </is>
      </c>
      <c r="J349" s="5" t="inlineStr">
        <is>
          <t>academic_support</t>
        </is>
      </c>
      <c r="K349" t="inlineStr">
        <is>
          <t>university_research</t>
        </is>
      </c>
      <c r="L349" s="5" t="inlineStr">
        <is>
          <t>wissen</t>
        </is>
      </c>
      <c r="M349" s="5" t="inlineStr">
        <is>
          <t>hochschule_wirtschaft_transfer</t>
        </is>
      </c>
      <c r="N349" s="5" t="inlineStr">
        <is>
          <t>Hochschule-Wirtschaft-Transfer</t>
        </is>
      </c>
      <c r="O349" s="5" t="n">
        <v>4</v>
      </c>
      <c r="P349" s="5" t="n">
        <v>5</v>
      </c>
      <c r="Q349" s="5" t="n">
        <v>13</v>
      </c>
      <c r="R349" s="5" t="n">
        <v>4</v>
      </c>
      <c r="S349" s="5" t="n">
        <v>0</v>
      </c>
      <c r="T349" s="5" t="n">
        <v>0</v>
      </c>
      <c r="U349" s="5" t="n">
        <v>2</v>
      </c>
      <c r="V349" s="5" t="n">
        <v>6</v>
      </c>
      <c r="W349" s="5" t="n">
        <v>6</v>
      </c>
      <c r="X349" s="5" t="n">
        <v>0</v>
      </c>
      <c r="Y349" s="5" t="n">
        <v>0</v>
      </c>
      <c r="Z349" s="5" t="n">
        <v>0</v>
      </c>
      <c r="AA349" s="5" t="n">
        <v>0</v>
      </c>
      <c r="AB349" s="5" t="n">
        <v>26.158883</v>
      </c>
      <c r="AC349" s="5" t="inlineStr">
        <is>
          <t>Wie kommen Forschung, Unternehmen und öffentliche Akteure schneller in gemeinsame Umsetzungsprojekte?</t>
        </is>
      </c>
      <c r="AD349" s="5" t="inlineStr">
        <is>
          <t>Hochschule-Wirtschaft-Transfer: Boehringer Ingelheim Pharma GmbH &amp; Co. KG (profit_anchor, 4) + Johannes Gutenberg-Universität Mainz (academic_support, 5).</t>
        </is>
      </c>
      <c r="AE349" s="5" t="inlineStr">
        <is>
          <t>Boehringer Ingelheim Pharma GmbH &amp; Co. KG | Johannes Gutenberg-Universität Mainz</t>
        </is>
      </c>
      <c r="AF349" s="5" t="inlineStr">
        <is>
          <t>hochschule-wirtschaft-transfer-boehringer-ingelheim-pharma-gmbh-co-kg-johannes-gutenberg-univer</t>
        </is>
      </c>
    </row>
    <row r="350">
      <c r="A350" s="5" t="inlineStr">
        <is>
          <t>C0349</t>
        </is>
      </c>
      <c r="B350" s="5" t="inlineStr">
        <is>
          <t>x_0349</t>
        </is>
      </c>
      <c r="C350" s="5" t="n">
        <v>0</v>
      </c>
      <c r="D350" s="5" t="inlineStr">
        <is>
          <t>Boehringer Ingelheim Pharma GmbH &amp; Co. KG</t>
        </is>
      </c>
      <c r="E350" s="5" t="inlineStr">
        <is>
          <t>Rheinland-Pfälzische Technische Universität Kaiserslautern-Landau (RPTU)</t>
        </is>
      </c>
      <c r="F350" s="5" t="n">
        <v>11</v>
      </c>
      <c r="G350" s="5" t="n">
        <v>74</v>
      </c>
      <c r="H350" s="5" t="inlineStr">
        <is>
          <t>profit_anchor</t>
        </is>
      </c>
      <c r="I350" t="inlineStr">
        <is>
          <t>health_social_anchor</t>
        </is>
      </c>
      <c r="J350" s="5" t="inlineStr">
        <is>
          <t>academic_support</t>
        </is>
      </c>
      <c r="K350" t="inlineStr">
        <is>
          <t>university_research</t>
        </is>
      </c>
      <c r="L350" s="5" t="inlineStr">
        <is>
          <t>wissen</t>
        </is>
      </c>
      <c r="M350" s="5" t="inlineStr">
        <is>
          <t>hochschule_wirtschaft_transfer</t>
        </is>
      </c>
      <c r="N350" s="5" t="inlineStr">
        <is>
          <t>Hochschule-Wirtschaft-Transfer</t>
        </is>
      </c>
      <c r="O350" s="5" t="n">
        <v>4</v>
      </c>
      <c r="P350" s="5" t="n">
        <v>5</v>
      </c>
      <c r="Q350" s="5" t="n">
        <v>13</v>
      </c>
      <c r="R350" s="5" t="n">
        <v>4</v>
      </c>
      <c r="S350" s="5" t="n">
        <v>0</v>
      </c>
      <c r="T350" s="5" t="n">
        <v>0</v>
      </c>
      <c r="U350" s="5" t="n">
        <v>2</v>
      </c>
      <c r="V350" s="5" t="n">
        <v>6</v>
      </c>
      <c r="W350" s="5" t="n">
        <v>6</v>
      </c>
      <c r="X350" s="5" t="n">
        <v>0</v>
      </c>
      <c r="Y350" s="5" t="n">
        <v>0</v>
      </c>
      <c r="Z350" s="5" t="n">
        <v>0</v>
      </c>
      <c r="AA350" s="5" t="n">
        <v>0</v>
      </c>
      <c r="AB350" s="5" t="n">
        <v>26.158883</v>
      </c>
      <c r="AC350" s="5" t="inlineStr">
        <is>
          <t>Wie kommen Forschung, Unternehmen und öffentliche Akteure schneller in gemeinsame Umsetzungsprojekte?</t>
        </is>
      </c>
      <c r="AD350" s="5" t="inlineStr">
        <is>
          <t>Hochschule-Wirtschaft-Transfer: Boehringer Ingelheim Pharma GmbH &amp; Co. KG (profit_anchor, 4) + Rheinland-Pfälzische Technische Universität Kaiserslautern-Landau (RPTU) (academic_support, 5).</t>
        </is>
      </c>
      <c r="AE350" s="5" t="inlineStr">
        <is>
          <t>Boehringer Ingelheim Pharma GmbH &amp; Co. KG | Rheinland-Pfälzische Technische Universität Kaiserslautern-Landau (RPTU)</t>
        </is>
      </c>
      <c r="AF350" s="5" t="inlineStr">
        <is>
          <t>hochschule-wirtschaft-transfer-boehringer-ingelheim-pharma-gmbh-co-kg-rheinland-pfälzische-tech</t>
        </is>
      </c>
    </row>
    <row r="351">
      <c r="A351" s="5" t="inlineStr">
        <is>
          <t>C0350</t>
        </is>
      </c>
      <c r="B351" s="5" t="inlineStr">
        <is>
          <t>x_0350</t>
        </is>
      </c>
      <c r="C351" s="5" t="n">
        <v>0</v>
      </c>
      <c r="D351" s="5" t="inlineStr">
        <is>
          <t>Boehringer Ingelheim Pharma GmbH &amp; Co. KG</t>
        </is>
      </c>
      <c r="E351" s="5" t="inlineStr">
        <is>
          <t>SmartFactory KL e.V.</t>
        </is>
      </c>
      <c r="F351" s="5" t="n">
        <v>11</v>
      </c>
      <c r="G351" s="5" t="n">
        <v>81</v>
      </c>
      <c r="H351" s="5" t="inlineStr">
        <is>
          <t>profit_anchor</t>
        </is>
      </c>
      <c r="I351" t="inlineStr">
        <is>
          <t>health_social_anchor</t>
        </is>
      </c>
      <c r="J351" s="5" t="inlineStr">
        <is>
          <t>context_actor</t>
        </is>
      </c>
      <c r="K351" t="inlineStr">
        <is>
          <t>technology_digital_anchor</t>
        </is>
      </c>
      <c r="L351" s="5" t="inlineStr">
        <is>
          <t>wissen</t>
        </is>
      </c>
      <c r="M351" s="5" t="inlineStr">
        <is>
          <t>hochschule_wirtschaft_transfer</t>
        </is>
      </c>
      <c r="N351" s="5" t="inlineStr">
        <is>
          <t>Hochschule-Wirtschaft-Transfer</t>
        </is>
      </c>
      <c r="O351" s="5" t="n">
        <v>4</v>
      </c>
      <c r="P351" s="5" t="n">
        <v>5</v>
      </c>
      <c r="Q351" s="5" t="n">
        <v>13</v>
      </c>
      <c r="R351" s="5" t="n">
        <v>4</v>
      </c>
      <c r="S351" s="5" t="n">
        <v>0</v>
      </c>
      <c r="T351" s="5" t="n">
        <v>0</v>
      </c>
      <c r="U351" s="5" t="n">
        <v>2</v>
      </c>
      <c r="V351" s="5" t="n">
        <v>6</v>
      </c>
      <c r="W351" s="5" t="n">
        <v>6</v>
      </c>
      <c r="X351" s="5" t="n">
        <v>0</v>
      </c>
      <c r="Y351" s="5" t="n">
        <v>0</v>
      </c>
      <c r="Z351" s="5" t="n">
        <v>0</v>
      </c>
      <c r="AA351" s="5" t="n">
        <v>0</v>
      </c>
      <c r="AB351" s="5" t="n">
        <v>21.351216</v>
      </c>
      <c r="AC351" s="5" t="inlineStr">
        <is>
          <t>Wie kommen Forschung, Unternehmen und öffentliche Akteure schneller in gemeinsame Umsetzungsprojekte?</t>
        </is>
      </c>
      <c r="AD351" s="5" t="inlineStr">
        <is>
          <t>Hochschule-Wirtschaft-Transfer: Boehringer Ingelheim Pharma GmbH &amp; Co. KG (profit_anchor, 4) + SmartFactory KL e.V. (context_actor, 5).</t>
        </is>
      </c>
      <c r="AE351" s="5" t="inlineStr">
        <is>
          <t>Boehringer Ingelheim Pharma GmbH &amp; Co. KG | SmartFactory KL e.V.</t>
        </is>
      </c>
      <c r="AF351" s="5" t="inlineStr">
        <is>
          <t>hochschule-wirtschaft-transfer-boehringer-ingelheim-pharma-gmbh-co-kg-smartfactory-kl-e-v</t>
        </is>
      </c>
    </row>
    <row r="352">
      <c r="A352" s="5" t="inlineStr">
        <is>
          <t>C0351</t>
        </is>
      </c>
      <c r="B352" s="5" t="inlineStr">
        <is>
          <t>x_0351</t>
        </is>
      </c>
      <c r="C352" s="5" t="n">
        <v>0</v>
      </c>
      <c r="D352" s="5" t="inlineStr">
        <is>
          <t>Handwerkskammern Rheinland-Pfalz</t>
        </is>
      </c>
      <c r="E352" s="5" t="inlineStr">
        <is>
          <t>Hochschule für Gesellschaftsgestaltung (HfGG)</t>
        </is>
      </c>
      <c r="F352" s="5" t="n">
        <v>32</v>
      </c>
      <c r="G352" s="5" t="n">
        <v>34</v>
      </c>
      <c r="H352" s="5" t="inlineStr">
        <is>
          <t>implementation_anchor</t>
        </is>
      </c>
      <c r="I352" t="inlineStr">
        <is>
          <t>chamber_association_anchor</t>
        </is>
      </c>
      <c r="J352" s="5" t="inlineStr">
        <is>
          <t>academic_support</t>
        </is>
      </c>
      <c r="K352" t="inlineStr">
        <is>
          <t>university_applied_sciences</t>
        </is>
      </c>
      <c r="L352" s="5" t="inlineStr">
        <is>
          <t>wissen</t>
        </is>
      </c>
      <c r="M352" s="5" t="inlineStr">
        <is>
          <t>hochschule_wirtschaft_transfer</t>
        </is>
      </c>
      <c r="N352" s="5" t="inlineStr">
        <is>
          <t>Hochschule-Wirtschaft-Transfer</t>
        </is>
      </c>
      <c r="O352" s="5" t="n">
        <v>4</v>
      </c>
      <c r="P352" s="5" t="n">
        <v>3</v>
      </c>
      <c r="Q352" s="5" t="n">
        <v>11</v>
      </c>
      <c r="R352" s="5" t="n">
        <v>4</v>
      </c>
      <c r="S352" s="5" t="n">
        <v>0</v>
      </c>
      <c r="T352" s="5" t="n">
        <v>0</v>
      </c>
      <c r="U352" s="5" t="n">
        <v>2</v>
      </c>
      <c r="V352" s="5" t="n">
        <v>7</v>
      </c>
      <c r="W352" s="5" t="n">
        <v>7</v>
      </c>
      <c r="X352" s="5" t="n">
        <v>0</v>
      </c>
      <c r="Y352" s="5" t="n">
        <v>0</v>
      </c>
      <c r="Z352" s="5" t="n">
        <v>0</v>
      </c>
      <c r="AA352" s="5" t="n">
        <v>0</v>
      </c>
      <c r="AB352" s="5" t="n">
        <v>45.95587</v>
      </c>
      <c r="AC352" s="5" t="inlineStr">
        <is>
          <t>Wie kommen Forschung, Unternehmen und öffentliche Akteure schneller in gemeinsame Umsetzungsprojekte?</t>
        </is>
      </c>
      <c r="AD352" s="5" t="inlineStr">
        <is>
          <t>Hochschule-Wirtschaft-Transfer: Handwerkskammern Rheinland-Pfalz (implementation_anchor, 4) + Hochschule für Gesellschaftsgestaltung (HfGG) (academic_support, 3).</t>
        </is>
      </c>
      <c r="AE352" s="5" t="inlineStr">
        <is>
          <t>Handwerkskammern Rheinland-Pfalz | Hochschule für Gesellschaftsgestaltung (HfGG)</t>
        </is>
      </c>
      <c r="AF352" s="5" t="inlineStr">
        <is>
          <t>hochschule-wirtschaft-transfer-handwerkskammern-rheinland-pfalz-hochschule-für-gesellschaftsges</t>
        </is>
      </c>
    </row>
    <row r="353">
      <c r="A353" s="5" t="inlineStr">
        <is>
          <t>C0352</t>
        </is>
      </c>
      <c r="B353" s="5" t="inlineStr">
        <is>
          <t>x_0352</t>
        </is>
      </c>
      <c r="C353" s="5" t="n">
        <v>0</v>
      </c>
      <c r="D353" s="5" t="inlineStr">
        <is>
          <t>BASF SE</t>
        </is>
      </c>
      <c r="E353" s="5" t="inlineStr">
        <is>
          <t>Rheinland-Pfälzische Technische Universität Kaiserslautern-Landau (RPTU)</t>
        </is>
      </c>
      <c r="F353" s="5" t="n">
        <v>6</v>
      </c>
      <c r="G353" s="5" t="n">
        <v>74</v>
      </c>
      <c r="H353" s="5" t="inlineStr">
        <is>
          <t>profit_anchor</t>
        </is>
      </c>
      <c r="I353" t="inlineStr">
        <is>
          <t>industry_anchor</t>
        </is>
      </c>
      <c r="J353" s="5" t="inlineStr">
        <is>
          <t>academic_support</t>
        </is>
      </c>
      <c r="K353" t="inlineStr">
        <is>
          <t>university_research</t>
        </is>
      </c>
      <c r="L353" s="5" t="inlineStr">
        <is>
          <t>technologie</t>
        </is>
      </c>
      <c r="M353" s="5" t="inlineStr">
        <is>
          <t>industrie_40_automation</t>
        </is>
      </c>
      <c r="N353" s="5" t="inlineStr">
        <is>
          <t>Industrie 4.0, Automatisierung und Produktion</t>
        </is>
      </c>
      <c r="O353" s="5" t="n">
        <v>4</v>
      </c>
      <c r="P353" s="5" t="n">
        <v>5</v>
      </c>
      <c r="Q353" s="5" t="n">
        <v>13</v>
      </c>
      <c r="R353" s="5" t="n">
        <v>4</v>
      </c>
      <c r="S353" s="5" t="n">
        <v>0</v>
      </c>
      <c r="T353" s="5" t="n">
        <v>0</v>
      </c>
      <c r="U353" s="5" t="n">
        <v>2</v>
      </c>
      <c r="V353" s="5" t="n">
        <v>6</v>
      </c>
      <c r="W353" s="5" t="n">
        <v>6</v>
      </c>
      <c r="X353" s="5" t="n">
        <v>0</v>
      </c>
      <c r="Y353" s="5" t="n">
        <v>0</v>
      </c>
      <c r="Z353" s="5" t="n">
        <v>0</v>
      </c>
      <c r="AA353" s="5" t="n">
        <v>0</v>
      </c>
      <c r="AB353" s="5" t="n">
        <v>26.593343</v>
      </c>
      <c r="AC353" s="5" t="inlineStr">
        <is>
          <t>Wie wird industrielle Produktion in Rheinland-Pfalz digitaler, robuster und wettbewerbsfähiger?</t>
        </is>
      </c>
      <c r="AD353" s="5" t="inlineStr">
        <is>
          <t>Industrie 4.0, Automatisierung und Produktion: BASF SE (profit_anchor, 4) + Rheinland-Pfälzische Technische Universität Kaiserslautern-Landau (RPTU) (academic_support, 5).</t>
        </is>
      </c>
      <c r="AE353" s="5" t="inlineStr">
        <is>
          <t>BASF SE | Rheinland-Pfälzische Technische Universität Kaiserslautern-Landau (RPTU)</t>
        </is>
      </c>
      <c r="AF353" s="5" t="inlineStr">
        <is>
          <t>industrie-40-automation-basf-se-rheinland-pfälzische-technische-universität-kaiserslautern-land</t>
        </is>
      </c>
    </row>
    <row r="354">
      <c r="A354" s="5" t="inlineStr">
        <is>
          <t>C0353</t>
        </is>
      </c>
      <c r="B354" s="5" t="inlineStr">
        <is>
          <t>x_0353</t>
        </is>
      </c>
      <c r="C354" s="5" t="n">
        <v>0</v>
      </c>
      <c r="D354" s="5" t="inlineStr">
        <is>
          <t>BASF SE</t>
        </is>
      </c>
      <c r="E354" s="5" t="inlineStr">
        <is>
          <t>SmartFactory KL e.V.</t>
        </is>
      </c>
      <c r="F354" s="5" t="n">
        <v>6</v>
      </c>
      <c r="G354" s="5" t="n">
        <v>81</v>
      </c>
      <c r="H354" s="5" t="inlineStr">
        <is>
          <t>profit_anchor</t>
        </is>
      </c>
      <c r="I354" t="inlineStr">
        <is>
          <t>industry_anchor</t>
        </is>
      </c>
      <c r="J354" s="5" t="inlineStr">
        <is>
          <t>context_actor</t>
        </is>
      </c>
      <c r="K354" t="inlineStr">
        <is>
          <t>technology_digital_anchor</t>
        </is>
      </c>
      <c r="L354" s="5" t="inlineStr">
        <is>
          <t>technologie</t>
        </is>
      </c>
      <c r="M354" s="5" t="inlineStr">
        <is>
          <t>industrie_40_automation</t>
        </is>
      </c>
      <c r="N354" s="5" t="inlineStr">
        <is>
          <t>Industrie 4.0, Automatisierung und Produktion</t>
        </is>
      </c>
      <c r="O354" s="5" t="n">
        <v>4</v>
      </c>
      <c r="P354" s="5" t="n">
        <v>5</v>
      </c>
      <c r="Q354" s="5" t="n">
        <v>13</v>
      </c>
      <c r="R354" s="5" t="n">
        <v>4</v>
      </c>
      <c r="S354" s="5" t="n">
        <v>0</v>
      </c>
      <c r="T354" s="5" t="n">
        <v>0</v>
      </c>
      <c r="U354" s="5" t="n">
        <v>2</v>
      </c>
      <c r="V354" s="5" t="n">
        <v>6</v>
      </c>
      <c r="W354" s="5" t="n">
        <v>6</v>
      </c>
      <c r="X354" s="5" t="n">
        <v>0</v>
      </c>
      <c r="Y354" s="5" t="n">
        <v>0</v>
      </c>
      <c r="Z354" s="5" t="n">
        <v>0</v>
      </c>
      <c r="AA354" s="5" t="n">
        <v>0</v>
      </c>
      <c r="AB354" s="5" t="n">
        <v>21.763175</v>
      </c>
      <c r="AC354" s="5" t="inlineStr">
        <is>
          <t>Wie wird industrielle Produktion in Rheinland-Pfalz digitaler, robuster und wettbewerbsfähiger?</t>
        </is>
      </c>
      <c r="AD354" s="5" t="inlineStr">
        <is>
          <t>Industrie 4.0, Automatisierung und Produktion: BASF SE (profit_anchor, 4) + SmartFactory KL e.V. (context_actor, 5).</t>
        </is>
      </c>
      <c r="AE354" s="5" t="inlineStr">
        <is>
          <t>BASF SE | SmartFactory KL e.V.</t>
        </is>
      </c>
      <c r="AF354" s="5" t="inlineStr">
        <is>
          <t>industrie-40-automation-basf-se-smartfactory-kl-e-v</t>
        </is>
      </c>
    </row>
    <row r="355">
      <c r="A355" s="5" t="inlineStr">
        <is>
          <t>C0354</t>
        </is>
      </c>
      <c r="B355" s="5" t="inlineStr">
        <is>
          <t>x_0354</t>
        </is>
      </c>
      <c r="C355" s="5" t="n">
        <v>0</v>
      </c>
      <c r="D355" s="5" t="inlineStr">
        <is>
          <t>Continental Automotive Technologies GmbH, Safety and Motion (SAM), Standort Rheinböllen</t>
        </is>
      </c>
      <c r="E355" s="5" t="inlineStr">
        <is>
          <t>Hochschule Kaiserslautern</t>
        </is>
      </c>
      <c r="F355" s="5" t="n">
        <v>15</v>
      </c>
      <c r="G355" s="5" t="n">
        <v>37</v>
      </c>
      <c r="H355" s="5" t="inlineStr">
        <is>
          <t>profit_anchor</t>
        </is>
      </c>
      <c r="I355" t="inlineStr">
        <is>
          <t>industry_anchor</t>
        </is>
      </c>
      <c r="J355" s="5" t="inlineStr">
        <is>
          <t>academic_support</t>
        </is>
      </c>
      <c r="K355" t="inlineStr">
        <is>
          <t>university_applied_sciences</t>
        </is>
      </c>
      <c r="L355" s="5" t="inlineStr">
        <is>
          <t>technologie</t>
        </is>
      </c>
      <c r="M355" s="5" t="inlineStr">
        <is>
          <t>industrie_40_automation</t>
        </is>
      </c>
      <c r="N355" s="5" t="inlineStr">
        <is>
          <t>Industrie 4.0, Automatisierung und Produktion</t>
        </is>
      </c>
      <c r="O355" s="5" t="n">
        <v>5</v>
      </c>
      <c r="P355" s="5" t="n">
        <v>4</v>
      </c>
      <c r="Q355" s="5" t="n">
        <v>13</v>
      </c>
      <c r="R355" s="5" t="n">
        <v>4</v>
      </c>
      <c r="S355" s="5" t="n">
        <v>0</v>
      </c>
      <c r="T355" s="5" t="n">
        <v>0</v>
      </c>
      <c r="U355" s="5" t="n">
        <v>2</v>
      </c>
      <c r="V355" s="5" t="n">
        <v>6</v>
      </c>
      <c r="W355" s="5" t="n">
        <v>6</v>
      </c>
      <c r="X355" s="5" t="n">
        <v>0</v>
      </c>
      <c r="Y355" s="5" t="n">
        <v>0</v>
      </c>
      <c r="Z355" s="5" t="n">
        <v>0</v>
      </c>
      <c r="AA355" s="5" t="n">
        <v>0</v>
      </c>
      <c r="AB355" s="5" t="n">
        <v>23.453124</v>
      </c>
      <c r="AC355" s="5" t="inlineStr">
        <is>
          <t>Wie wird industrielle Produktion in Rheinland-Pfalz digitaler, robuster und wettbewerbsfähiger?</t>
        </is>
      </c>
      <c r="AD355" s="5" t="inlineStr">
        <is>
          <t>Industrie 4.0, Automatisierung und Produktion: Continental Automotive Technologies GmbH, Safety and Motion (SAM), Standort Rheinböllen (profit_anchor, 5) + Hochschule Kaiserslautern (academic_support, 4).</t>
        </is>
      </c>
      <c r="AE355" s="5" t="inlineStr">
        <is>
          <t>Continental Automotive Technologies GmbH, Safety and Motion (SAM), Standort Rheinböllen | Hochschule Kaiserslautern</t>
        </is>
      </c>
      <c r="AF355" s="5" t="inlineStr">
        <is>
          <t>industrie-40-automation-continental-automotive-technologies-gmbh-safety-and-motion-sam-standort</t>
        </is>
      </c>
    </row>
    <row r="356">
      <c r="A356" s="5" t="inlineStr">
        <is>
          <t>C0355</t>
        </is>
      </c>
      <c r="B356" s="5" t="inlineStr">
        <is>
          <t>x_0355</t>
        </is>
      </c>
      <c r="C356" s="5" t="n">
        <v>0</v>
      </c>
      <c r="D356" s="5" t="inlineStr">
        <is>
          <t>Continental Automotive Technologies GmbH, Safety and Motion (SAM), Standort Rheinböllen</t>
        </is>
      </c>
      <c r="E356" s="5" t="inlineStr">
        <is>
          <t>Technische Hochschule Bingen</t>
        </is>
      </c>
      <c r="F356" s="5" t="n">
        <v>15</v>
      </c>
      <c r="G356" s="5" t="n">
        <v>88</v>
      </c>
      <c r="H356" s="5" t="inlineStr">
        <is>
          <t>profit_anchor</t>
        </is>
      </c>
      <c r="I356" t="inlineStr">
        <is>
          <t>industry_anchor</t>
        </is>
      </c>
      <c r="J356" s="5" t="inlineStr">
        <is>
          <t>academic_support</t>
        </is>
      </c>
      <c r="K356" t="inlineStr">
        <is>
          <t>university_applied_sciences</t>
        </is>
      </c>
      <c r="L356" s="5" t="inlineStr">
        <is>
          <t>technologie</t>
        </is>
      </c>
      <c r="M356" s="5" t="inlineStr">
        <is>
          <t>industrie_40_automation</t>
        </is>
      </c>
      <c r="N356" s="5" t="inlineStr">
        <is>
          <t>Industrie 4.0, Automatisierung und Produktion</t>
        </is>
      </c>
      <c r="O356" s="5" t="n">
        <v>5</v>
      </c>
      <c r="P356" s="5" t="n">
        <v>4</v>
      </c>
      <c r="Q356" s="5" t="n">
        <v>13</v>
      </c>
      <c r="R356" s="5" t="n">
        <v>4</v>
      </c>
      <c r="S356" s="5" t="n">
        <v>0</v>
      </c>
      <c r="T356" s="5" t="n">
        <v>0</v>
      </c>
      <c r="U356" s="5" t="n">
        <v>2</v>
      </c>
      <c r="V356" s="5" t="n">
        <v>6</v>
      </c>
      <c r="W356" s="5" t="n">
        <v>6</v>
      </c>
      <c r="X356" s="5" t="n">
        <v>0</v>
      </c>
      <c r="Y356" s="5" t="n">
        <v>0</v>
      </c>
      <c r="Z356" s="5" t="n">
        <v>0</v>
      </c>
      <c r="AA356" s="5" t="n">
        <v>0</v>
      </c>
      <c r="AB356" s="5" t="n">
        <v>23.453124</v>
      </c>
      <c r="AC356" s="5" t="inlineStr">
        <is>
          <t>Wie wird industrielle Produktion in Rheinland-Pfalz digitaler, robuster und wettbewerbsfähiger?</t>
        </is>
      </c>
      <c r="AD356" s="5" t="inlineStr">
        <is>
          <t>Industrie 4.0, Automatisierung und Produktion: Continental Automotive Technologies GmbH, Safety and Motion (SAM), Standort Rheinböllen (profit_anchor, 5) + Technische Hochschule Bingen (academic_support, 4).</t>
        </is>
      </c>
      <c r="AE356" s="5" t="inlineStr">
        <is>
          <t>Continental Automotive Technologies GmbH, Safety and Motion (SAM), Standort Rheinböllen | Technische Hochschule Bingen</t>
        </is>
      </c>
      <c r="AF356" s="5" t="inlineStr">
        <is>
          <t>industrie-40-automation-continental-automotive-technologies-gmbh-safety-and-motion-sam-standort</t>
        </is>
      </c>
    </row>
    <row r="357">
      <c r="A357" s="5" t="inlineStr">
        <is>
          <t>C0356</t>
        </is>
      </c>
      <c r="B357" s="5" t="inlineStr">
        <is>
          <t>x_0356</t>
        </is>
      </c>
      <c r="C357" s="5" t="n">
        <v>0</v>
      </c>
      <c r="D357" s="5" t="inlineStr">
        <is>
          <t>Continental Automotive Technologies GmbH, Safety and Motion (SAM), Standort Rheinböllen</t>
        </is>
      </c>
      <c r="E357" s="5" t="inlineStr">
        <is>
          <t>TÜV Rheinland Berlin Brandenburg Pfalz e.V.</t>
        </is>
      </c>
      <c r="F357" s="5" t="n">
        <v>15</v>
      </c>
      <c r="G357" s="5" t="n">
        <v>91</v>
      </c>
      <c r="H357" s="5" t="inlineStr">
        <is>
          <t>profit_anchor</t>
        </is>
      </c>
      <c r="I357" t="inlineStr">
        <is>
          <t>industry_anchor</t>
        </is>
      </c>
      <c r="J357" s="5" t="inlineStr">
        <is>
          <t>context_actor</t>
        </is>
      </c>
      <c r="K357" t="inlineStr">
        <is>
          <t>chamber_association_anchor</t>
        </is>
      </c>
      <c r="L357" s="5" t="inlineStr">
        <is>
          <t>technologie</t>
        </is>
      </c>
      <c r="M357" s="5" t="inlineStr">
        <is>
          <t>industrie_40_automation</t>
        </is>
      </c>
      <c r="N357" s="5" t="inlineStr">
        <is>
          <t>Industrie 4.0, Automatisierung und Produktion</t>
        </is>
      </c>
      <c r="O357" s="5" t="n">
        <v>5</v>
      </c>
      <c r="P357" s="5" t="n">
        <v>4</v>
      </c>
      <c r="Q357" s="5" t="n">
        <v>13</v>
      </c>
      <c r="R357" s="5" t="n">
        <v>4</v>
      </c>
      <c r="S357" s="5" t="n">
        <v>0</v>
      </c>
      <c r="T357" s="5" t="n">
        <v>0</v>
      </c>
      <c r="U357" s="5" t="n">
        <v>2</v>
      </c>
      <c r="V357" s="5" t="n">
        <v>6</v>
      </c>
      <c r="W357" s="5" t="n">
        <v>6</v>
      </c>
      <c r="X357" s="5" t="n">
        <v>0</v>
      </c>
      <c r="Y357" s="5" t="n">
        <v>0</v>
      </c>
      <c r="Z357" s="5" t="n">
        <v>0</v>
      </c>
      <c r="AA357" s="5" t="n">
        <v>0</v>
      </c>
      <c r="AB357" s="5" t="n">
        <v>28.271194</v>
      </c>
      <c r="AC357" s="5" t="inlineStr">
        <is>
          <t>Wie wird industrielle Produktion in Rheinland-Pfalz digitaler, robuster und wettbewerbsfähiger?</t>
        </is>
      </c>
      <c r="AD357" s="5" t="inlineStr">
        <is>
          <t>Industrie 4.0, Automatisierung und Produktion: Continental Automotive Technologies GmbH, Safety and Motion (SAM), Standort Rheinböllen (profit_anchor, 5) + TÜV Rheinland Berlin Brandenburg Pfalz e.V. (context_actor, 4).</t>
        </is>
      </c>
      <c r="AE357" s="5" t="inlineStr">
        <is>
          <t>Continental Automotive Technologies GmbH, Safety and Motion (SAM), Standort Rheinböllen | TÜV Rheinland Berlin Brandenburg Pfalz e.V.</t>
        </is>
      </c>
      <c r="AF357" s="5" t="inlineStr">
        <is>
          <t>industrie-40-automation-continental-automotive-technologies-gmbh-safety-and-motion-sam-standort</t>
        </is>
      </c>
    </row>
    <row r="358">
      <c r="A358" s="5" t="inlineStr">
        <is>
          <t>C0357</t>
        </is>
      </c>
      <c r="B358" s="5" t="inlineStr">
        <is>
          <t>x_0357</t>
        </is>
      </c>
      <c r="C358" s="5" t="n">
        <v>0</v>
      </c>
      <c r="D358" s="5" t="inlineStr">
        <is>
          <t>Deutsche Telekom AG</t>
        </is>
      </c>
      <c r="E358" s="5" t="inlineStr">
        <is>
          <t>Rheinland-Pfälzische Technische Universität Kaiserslautern-Landau (RPTU)</t>
        </is>
      </c>
      <c r="F358" s="5" t="n">
        <v>18</v>
      </c>
      <c r="G358" s="5" t="n">
        <v>74</v>
      </c>
      <c r="H358" s="5" t="inlineStr">
        <is>
          <t>profit_anchor</t>
        </is>
      </c>
      <c r="I358" t="inlineStr">
        <is>
          <t>technology_digital_anchor</t>
        </is>
      </c>
      <c r="J358" s="5" t="inlineStr">
        <is>
          <t>academic_support</t>
        </is>
      </c>
      <c r="K358" t="inlineStr">
        <is>
          <t>university_research</t>
        </is>
      </c>
      <c r="L358" s="5" t="inlineStr">
        <is>
          <t>technologie</t>
        </is>
      </c>
      <c r="M358" s="5" t="inlineStr">
        <is>
          <t>industrie_40_automation</t>
        </is>
      </c>
      <c r="N358" s="5" t="inlineStr">
        <is>
          <t>Industrie 4.0, Automatisierung und Produktion</t>
        </is>
      </c>
      <c r="O358" s="5" t="n">
        <v>4</v>
      </c>
      <c r="P358" s="5" t="n">
        <v>5</v>
      </c>
      <c r="Q358" s="5" t="n">
        <v>13</v>
      </c>
      <c r="R358" s="5" t="n">
        <v>4</v>
      </c>
      <c r="S358" s="5" t="n">
        <v>0</v>
      </c>
      <c r="T358" s="5" t="n">
        <v>0</v>
      </c>
      <c r="U358" s="5" t="n">
        <v>2</v>
      </c>
      <c r="V358" s="5" t="n">
        <v>6</v>
      </c>
      <c r="W358" s="5" t="n">
        <v>6</v>
      </c>
      <c r="X358" s="5" t="n">
        <v>0</v>
      </c>
      <c r="Y358" s="5" t="n">
        <v>0</v>
      </c>
      <c r="Z358" s="5" t="n">
        <v>0</v>
      </c>
      <c r="AA358" s="5" t="n">
        <v>0</v>
      </c>
      <c r="AB358" s="5" t="n">
        <v>27.71863</v>
      </c>
      <c r="AC358" s="5" t="inlineStr">
        <is>
          <t>Wie wird industrielle Produktion in Rheinland-Pfalz digitaler, robuster und wettbewerbsfähiger?</t>
        </is>
      </c>
      <c r="AD358" s="5" t="inlineStr">
        <is>
          <t>Industrie 4.0, Automatisierung und Produktion: Deutsche Telekom AG (profit_anchor, 4) + Rheinland-Pfälzische Technische Universität Kaiserslautern-Landau (RPTU) (academic_support, 5).</t>
        </is>
      </c>
      <c r="AE358" s="5" t="inlineStr">
        <is>
          <t>Deutsche Telekom AG | Rheinland-Pfälzische Technische Universität Kaiserslautern-Landau (RPTU)</t>
        </is>
      </c>
      <c r="AF358" s="5" t="inlineStr">
        <is>
          <t>industrie-40-automation-deutsche-telekom-ag-rheinland-pfälzische-technische-universität-kaisers</t>
        </is>
      </c>
    </row>
    <row r="359">
      <c r="A359" s="5" t="inlineStr">
        <is>
          <t>C0358</t>
        </is>
      </c>
      <c r="B359" s="5" t="inlineStr">
        <is>
          <t>x_0358</t>
        </is>
      </c>
      <c r="C359" s="5" t="n">
        <v>0</v>
      </c>
      <c r="D359" s="5" t="inlineStr">
        <is>
          <t>Deutsche Telekom AG</t>
        </is>
      </c>
      <c r="E359" s="5" t="inlineStr">
        <is>
          <t>SmartFactory KL e.V.</t>
        </is>
      </c>
      <c r="F359" s="5" t="n">
        <v>18</v>
      </c>
      <c r="G359" s="5" t="n">
        <v>81</v>
      </c>
      <c r="H359" s="5" t="inlineStr">
        <is>
          <t>profit_anchor</t>
        </is>
      </c>
      <c r="I359" t="inlineStr">
        <is>
          <t>technology_digital_anchor</t>
        </is>
      </c>
      <c r="J359" s="5" t="inlineStr">
        <is>
          <t>context_actor</t>
        </is>
      </c>
      <c r="K359" t="inlineStr">
        <is>
          <t>technology_digital_anchor</t>
        </is>
      </c>
      <c r="L359" s="5" t="inlineStr">
        <is>
          <t>technologie</t>
        </is>
      </c>
      <c r="M359" s="5" t="inlineStr">
        <is>
          <t>industrie_40_automation</t>
        </is>
      </c>
      <c r="N359" s="5" t="inlineStr">
        <is>
          <t>Industrie 4.0, Automatisierung und Produktion</t>
        </is>
      </c>
      <c r="O359" s="5" t="n">
        <v>4</v>
      </c>
      <c r="P359" s="5" t="n">
        <v>5</v>
      </c>
      <c r="Q359" s="5" t="n">
        <v>13</v>
      </c>
      <c r="R359" s="5" t="n">
        <v>4</v>
      </c>
      <c r="S359" s="5" t="n">
        <v>0</v>
      </c>
      <c r="T359" s="5" t="n">
        <v>0</v>
      </c>
      <c r="U359" s="5" t="n">
        <v>2</v>
      </c>
      <c r="V359" s="5" t="n">
        <v>6</v>
      </c>
      <c r="W359" s="5" t="n">
        <v>6</v>
      </c>
      <c r="X359" s="5" t="n">
        <v>0</v>
      </c>
      <c r="Y359" s="5" t="n">
        <v>0</v>
      </c>
      <c r="Z359" s="5" t="n">
        <v>0</v>
      </c>
      <c r="AA359" s="5" t="n">
        <v>0</v>
      </c>
      <c r="AB359" s="5" t="n">
        <v>22.82541</v>
      </c>
      <c r="AC359" s="5" t="inlineStr">
        <is>
          <t>Wie wird industrielle Produktion in Rheinland-Pfalz digitaler, robuster und wettbewerbsfähiger?</t>
        </is>
      </c>
      <c r="AD359" s="5" t="inlineStr">
        <is>
          <t>Industrie 4.0, Automatisierung und Produktion: Deutsche Telekom AG (profit_anchor, 4) + SmartFactory KL e.V. (context_actor, 5).</t>
        </is>
      </c>
      <c r="AE359" s="5" t="inlineStr">
        <is>
          <t>Deutsche Telekom AG | SmartFactory KL e.V.</t>
        </is>
      </c>
      <c r="AF359" s="5" t="inlineStr">
        <is>
          <t>industrie-40-automation-deutsche-telekom-ag-smartfactory-kl-e-v</t>
        </is>
      </c>
    </row>
    <row r="360">
      <c r="A360" s="5" t="inlineStr">
        <is>
          <t>C0359</t>
        </is>
      </c>
      <c r="B360" s="5" t="inlineStr">
        <is>
          <t>x_0359</t>
        </is>
      </c>
      <c r="C360" s="5" t="n">
        <v>0</v>
      </c>
      <c r="D360" s="5" t="inlineStr">
        <is>
          <t>Hochschule Kaiserslautern</t>
        </is>
      </c>
      <c r="E360" s="5" t="inlineStr">
        <is>
          <t>ITK Engineering GmbH</t>
        </is>
      </c>
      <c r="F360" s="5" t="n">
        <v>37</v>
      </c>
      <c r="G360" s="5" t="n">
        <v>47</v>
      </c>
      <c r="H360" s="5" t="inlineStr">
        <is>
          <t>academic_support</t>
        </is>
      </c>
      <c r="I360" t="inlineStr">
        <is>
          <t>university_applied_sciences</t>
        </is>
      </c>
      <c r="J360" s="5" t="inlineStr">
        <is>
          <t>profit_anchor</t>
        </is>
      </c>
      <c r="K360" t="inlineStr">
        <is>
          <t>technology_digital_anchor</t>
        </is>
      </c>
      <c r="L360" s="5" t="inlineStr">
        <is>
          <t>technologie</t>
        </is>
      </c>
      <c r="M360" s="5" t="inlineStr">
        <is>
          <t>industrie_40_automation</t>
        </is>
      </c>
      <c r="N360" s="5" t="inlineStr">
        <is>
          <t>Industrie 4.0, Automatisierung und Produktion</t>
        </is>
      </c>
      <c r="O360" s="5" t="n">
        <v>4</v>
      </c>
      <c r="P360" s="5" t="n">
        <v>5</v>
      </c>
      <c r="Q360" s="5" t="n">
        <v>13</v>
      </c>
      <c r="R360" s="5" t="n">
        <v>4</v>
      </c>
      <c r="S360" s="5" t="n">
        <v>0</v>
      </c>
      <c r="T360" s="5" t="n">
        <v>0</v>
      </c>
      <c r="U360" s="5" t="n">
        <v>2</v>
      </c>
      <c r="V360" s="5" t="n">
        <v>6</v>
      </c>
      <c r="W360" s="5" t="n">
        <v>6</v>
      </c>
      <c r="X360" s="5" t="n">
        <v>0</v>
      </c>
      <c r="Y360" s="5" t="n">
        <v>0</v>
      </c>
      <c r="Z360" s="5" t="n">
        <v>0</v>
      </c>
      <c r="AA360" s="5" t="n">
        <v>0</v>
      </c>
      <c r="AB360" s="5" t="n">
        <v>24.721763</v>
      </c>
      <c r="AC360" s="5" t="inlineStr">
        <is>
          <t>Wie wird industrielle Produktion in Rheinland-Pfalz digitaler, robuster und wettbewerbsfähiger?</t>
        </is>
      </c>
      <c r="AD360" s="5" t="inlineStr">
        <is>
          <t>Industrie 4.0, Automatisierung und Produktion: Hochschule Kaiserslautern (academic_support, 4) + ITK Engineering GmbH (profit_anchor, 5).</t>
        </is>
      </c>
      <c r="AE360" s="5" t="inlineStr">
        <is>
          <t>Hochschule Kaiserslautern | ITK Engineering GmbH</t>
        </is>
      </c>
      <c r="AF360" s="5" t="inlineStr">
        <is>
          <t>industrie-40-automation-hochschule-kaiserslautern-itk-engineering-gmbh</t>
        </is>
      </c>
    </row>
    <row r="361">
      <c r="A361" s="5" t="inlineStr">
        <is>
          <t>C0360</t>
        </is>
      </c>
      <c r="B361" s="5" t="inlineStr">
        <is>
          <t>x_0360</t>
        </is>
      </c>
      <c r="C361" s="5" t="n">
        <v>0</v>
      </c>
      <c r="D361" s="5" t="inlineStr">
        <is>
          <t>Hochschule Kaiserslautern</t>
        </is>
      </c>
      <c r="E361" s="5" t="inlineStr">
        <is>
          <t>Joseph Vögele AG</t>
        </is>
      </c>
      <c r="F361" s="5" t="n">
        <v>37</v>
      </c>
      <c r="G361" s="5" t="n">
        <v>50</v>
      </c>
      <c r="H361" s="5" t="inlineStr">
        <is>
          <t>academic_support</t>
        </is>
      </c>
      <c r="I361" t="inlineStr">
        <is>
          <t>university_applied_sciences</t>
        </is>
      </c>
      <c r="J361" s="5" t="inlineStr">
        <is>
          <t>profit_anchor</t>
        </is>
      </c>
      <c r="K361" t="inlineStr">
        <is>
          <t>construction_planning_anchor</t>
        </is>
      </c>
      <c r="L361" s="5" t="inlineStr">
        <is>
          <t>technologie</t>
        </is>
      </c>
      <c r="M361" s="5" t="inlineStr">
        <is>
          <t>industrie_40_automation</t>
        </is>
      </c>
      <c r="N361" s="5" t="inlineStr">
        <is>
          <t>Industrie 4.0, Automatisierung und Produktion</t>
        </is>
      </c>
      <c r="O361" s="5" t="n">
        <v>4</v>
      </c>
      <c r="P361" s="5" t="n">
        <v>5</v>
      </c>
      <c r="Q361" s="5" t="n">
        <v>13</v>
      </c>
      <c r="R361" s="5" t="n">
        <v>4</v>
      </c>
      <c r="S361" s="5" t="n">
        <v>0</v>
      </c>
      <c r="T361" s="5" t="n">
        <v>0</v>
      </c>
      <c r="U361" s="5" t="n">
        <v>2</v>
      </c>
      <c r="V361" s="5" t="n">
        <v>6</v>
      </c>
      <c r="W361" s="5" t="n">
        <v>6</v>
      </c>
      <c r="X361" s="5" t="n">
        <v>0</v>
      </c>
      <c r="Y361" s="5" t="n">
        <v>0</v>
      </c>
      <c r="Z361" s="5" t="n">
        <v>0</v>
      </c>
      <c r="AA361" s="5" t="n">
        <v>0</v>
      </c>
      <c r="AB361" s="5" t="n">
        <v>25.557449</v>
      </c>
      <c r="AC361" s="5" t="inlineStr">
        <is>
          <t>Wie wird industrielle Produktion in Rheinland-Pfalz digitaler, robuster und wettbewerbsfähiger?</t>
        </is>
      </c>
      <c r="AD361" s="5" t="inlineStr">
        <is>
          <t>Industrie 4.0, Automatisierung und Produktion: Hochschule Kaiserslautern (academic_support, 4) + Joseph Vögele AG (profit_anchor, 5).</t>
        </is>
      </c>
      <c r="AE361" s="5" t="inlineStr">
        <is>
          <t>Hochschule Kaiserslautern | Joseph Vögele AG</t>
        </is>
      </c>
      <c r="AF361" s="5" t="inlineStr">
        <is>
          <t>industrie-40-automation-hochschule-kaiserslautern-joseph-vögele-ag</t>
        </is>
      </c>
    </row>
    <row r="362">
      <c r="A362" s="5" t="inlineStr">
        <is>
          <t>C0361</t>
        </is>
      </c>
      <c r="B362" s="5" t="inlineStr">
        <is>
          <t>x_0361</t>
        </is>
      </c>
      <c r="C362" s="5" t="n">
        <v>0</v>
      </c>
      <c r="D362" s="5" t="inlineStr">
        <is>
          <t>Hochschule Kaiserslautern</t>
        </is>
      </c>
      <c r="E362" s="5" t="inlineStr">
        <is>
          <t>PFAFF Industriesysteme und Maschinen GmbH</t>
        </is>
      </c>
      <c r="F362" s="5" t="n">
        <v>37</v>
      </c>
      <c r="G362" s="5" t="n">
        <v>71</v>
      </c>
      <c r="H362" s="5" t="inlineStr">
        <is>
          <t>academic_support</t>
        </is>
      </c>
      <c r="I362" t="inlineStr">
        <is>
          <t>university_applied_sciences</t>
        </is>
      </c>
      <c r="J362" s="5" t="inlineStr">
        <is>
          <t>profit_anchor</t>
        </is>
      </c>
      <c r="K362" t="inlineStr">
        <is>
          <t>industry_anchor</t>
        </is>
      </c>
      <c r="L362" s="5" t="inlineStr">
        <is>
          <t>technologie</t>
        </is>
      </c>
      <c r="M362" s="5" t="inlineStr">
        <is>
          <t>industrie_40_automation</t>
        </is>
      </c>
      <c r="N362" s="5" t="inlineStr">
        <is>
          <t>Industrie 4.0, Automatisierung und Produktion</t>
        </is>
      </c>
      <c r="O362" s="5" t="n">
        <v>4</v>
      </c>
      <c r="P362" s="5" t="n">
        <v>5</v>
      </c>
      <c r="Q362" s="5" t="n">
        <v>13</v>
      </c>
      <c r="R362" s="5" t="n">
        <v>4</v>
      </c>
      <c r="S362" s="5" t="n">
        <v>0</v>
      </c>
      <c r="T362" s="5" t="n">
        <v>0</v>
      </c>
      <c r="U362" s="5" t="n">
        <v>2</v>
      </c>
      <c r="V362" s="5" t="n">
        <v>6</v>
      </c>
      <c r="W362" s="5" t="n">
        <v>6</v>
      </c>
      <c r="X362" s="5" t="n">
        <v>0</v>
      </c>
      <c r="Y362" s="5" t="n">
        <v>0</v>
      </c>
      <c r="Z362" s="5" t="n">
        <v>0</v>
      </c>
      <c r="AA362" s="5" t="n">
        <v>0</v>
      </c>
      <c r="AB362" s="5" t="n">
        <v>23.453124</v>
      </c>
      <c r="AC362" s="5" t="inlineStr">
        <is>
          <t>Wie wird industrielle Produktion in Rheinland-Pfalz digitaler, robuster und wettbewerbsfähiger?</t>
        </is>
      </c>
      <c r="AD362" s="5" t="inlineStr">
        <is>
          <t>Industrie 4.0, Automatisierung und Produktion: Hochschule Kaiserslautern (academic_support, 4) + PFAFF Industriesysteme und Maschinen GmbH (profit_anchor, 5).</t>
        </is>
      </c>
      <c r="AE362" s="5" t="inlineStr">
        <is>
          <t>Hochschule Kaiserslautern | PFAFF Industriesysteme und Maschinen GmbH</t>
        </is>
      </c>
      <c r="AF362" s="5" t="inlineStr">
        <is>
          <t>industrie-40-automation-hochschule-kaiserslautern-pfaff-industriesysteme-und-maschinen-gmbh</t>
        </is>
      </c>
    </row>
    <row r="363">
      <c r="A363" s="5" t="inlineStr">
        <is>
          <t>C0362</t>
        </is>
      </c>
      <c r="B363" s="5" t="inlineStr">
        <is>
          <t>x_0362</t>
        </is>
      </c>
      <c r="C363" s="5" t="n">
        <v>0</v>
      </c>
      <c r="D363" s="5" t="inlineStr">
        <is>
          <t>ITK Engineering GmbH</t>
        </is>
      </c>
      <c r="E363" s="5" t="inlineStr">
        <is>
          <t>Technische Hochschule Bingen</t>
        </is>
      </c>
      <c r="F363" s="5" t="n">
        <v>47</v>
      </c>
      <c r="G363" s="5" t="n">
        <v>88</v>
      </c>
      <c r="H363" s="5" t="inlineStr">
        <is>
          <t>profit_anchor</t>
        </is>
      </c>
      <c r="I363" t="inlineStr">
        <is>
          <t>technology_digital_anchor</t>
        </is>
      </c>
      <c r="J363" s="5" t="inlineStr">
        <is>
          <t>academic_support</t>
        </is>
      </c>
      <c r="K363" t="inlineStr">
        <is>
          <t>university_applied_sciences</t>
        </is>
      </c>
      <c r="L363" s="5" t="inlineStr">
        <is>
          <t>technologie</t>
        </is>
      </c>
      <c r="M363" s="5" t="inlineStr">
        <is>
          <t>industrie_40_automation</t>
        </is>
      </c>
      <c r="N363" s="5" t="inlineStr">
        <is>
          <t>Industrie 4.0, Automatisierung und Produktion</t>
        </is>
      </c>
      <c r="O363" s="5" t="n">
        <v>5</v>
      </c>
      <c r="P363" s="5" t="n">
        <v>4</v>
      </c>
      <c r="Q363" s="5" t="n">
        <v>13</v>
      </c>
      <c r="R363" s="5" t="n">
        <v>4</v>
      </c>
      <c r="S363" s="5" t="n">
        <v>0</v>
      </c>
      <c r="T363" s="5" t="n">
        <v>0</v>
      </c>
      <c r="U363" s="5" t="n">
        <v>2</v>
      </c>
      <c r="V363" s="5" t="n">
        <v>6</v>
      </c>
      <c r="W363" s="5" t="n">
        <v>6</v>
      </c>
      <c r="X363" s="5" t="n">
        <v>0</v>
      </c>
      <c r="Y363" s="5" t="n">
        <v>0</v>
      </c>
      <c r="Z363" s="5" t="n">
        <v>0</v>
      </c>
      <c r="AA363" s="5" t="n">
        <v>0</v>
      </c>
      <c r="AB363" s="5" t="n">
        <v>24.721763</v>
      </c>
      <c r="AC363" s="5" t="inlineStr">
        <is>
          <t>Wie wird industrielle Produktion in Rheinland-Pfalz digitaler, robuster und wettbewerbsfähiger?</t>
        </is>
      </c>
      <c r="AD363" s="5" t="inlineStr">
        <is>
          <t>Industrie 4.0, Automatisierung und Produktion: ITK Engineering GmbH (profit_anchor, 5) + Technische Hochschule Bingen (academic_support, 4).</t>
        </is>
      </c>
      <c r="AE363" s="5" t="inlineStr">
        <is>
          <t>ITK Engineering GmbH | Technische Hochschule Bingen</t>
        </is>
      </c>
      <c r="AF363" s="5" t="inlineStr">
        <is>
          <t>industrie-40-automation-itk-engineering-gmbh-technische-hochschule-bingen</t>
        </is>
      </c>
    </row>
    <row r="364">
      <c r="A364" s="5" t="inlineStr">
        <is>
          <t>C0363</t>
        </is>
      </c>
      <c r="B364" s="5" t="inlineStr">
        <is>
          <t>x_0363</t>
        </is>
      </c>
      <c r="C364" s="5" t="n">
        <v>0</v>
      </c>
      <c r="D364" s="5" t="inlineStr">
        <is>
          <t>ITK Engineering GmbH</t>
        </is>
      </c>
      <c r="E364" s="5" t="inlineStr">
        <is>
          <t>TÜV Rheinland Berlin Brandenburg Pfalz e.V.</t>
        </is>
      </c>
      <c r="F364" s="5" t="n">
        <v>47</v>
      </c>
      <c r="G364" s="5" t="n">
        <v>91</v>
      </c>
      <c r="H364" s="5" t="inlineStr">
        <is>
          <t>profit_anchor</t>
        </is>
      </c>
      <c r="I364" t="inlineStr">
        <is>
          <t>technology_digital_anchor</t>
        </is>
      </c>
      <c r="J364" s="5" t="inlineStr">
        <is>
          <t>context_actor</t>
        </is>
      </c>
      <c r="K364" t="inlineStr">
        <is>
          <t>chamber_association_anchor</t>
        </is>
      </c>
      <c r="L364" s="5" t="inlineStr">
        <is>
          <t>technologie</t>
        </is>
      </c>
      <c r="M364" s="5" t="inlineStr">
        <is>
          <t>industrie_40_automation</t>
        </is>
      </c>
      <c r="N364" s="5" t="inlineStr">
        <is>
          <t>Industrie 4.0, Automatisierung und Produktion</t>
        </is>
      </c>
      <c r="O364" s="5" t="n">
        <v>5</v>
      </c>
      <c r="P364" s="5" t="n">
        <v>4</v>
      </c>
      <c r="Q364" s="5" t="n">
        <v>13</v>
      </c>
      <c r="R364" s="5" t="n">
        <v>4</v>
      </c>
      <c r="S364" s="5" t="n">
        <v>0</v>
      </c>
      <c r="T364" s="5" t="n">
        <v>0</v>
      </c>
      <c r="U364" s="5" t="n">
        <v>2</v>
      </c>
      <c r="V364" s="5" t="n">
        <v>6</v>
      </c>
      <c r="W364" s="5" t="n">
        <v>6</v>
      </c>
      <c r="X364" s="5" t="n">
        <v>0</v>
      </c>
      <c r="Y364" s="5" t="n">
        <v>0</v>
      </c>
      <c r="Z364" s="5" t="n">
        <v>0</v>
      </c>
      <c r="AA364" s="5" t="n">
        <v>0</v>
      </c>
      <c r="AB364" s="5" t="n">
        <v>29.096803</v>
      </c>
      <c r="AC364" s="5" t="inlineStr">
        <is>
          <t>Wie wird industrielle Produktion in Rheinland-Pfalz digitaler, robuster und wettbewerbsfähiger?</t>
        </is>
      </c>
      <c r="AD364" s="5" t="inlineStr">
        <is>
          <t>Industrie 4.0, Automatisierung und Produktion: ITK Engineering GmbH (profit_anchor, 5) + TÜV Rheinland Berlin Brandenburg Pfalz e.V. (context_actor, 4).</t>
        </is>
      </c>
      <c r="AE364" s="5" t="inlineStr">
        <is>
          <t>ITK Engineering GmbH | TÜV Rheinland Berlin Brandenburg Pfalz e.V.</t>
        </is>
      </c>
      <c r="AF364" s="5" t="inlineStr">
        <is>
          <t>industrie-40-automation-itk-engineering-gmbh-tüv-rheinland-berlin-brandenburg-pfalz-e-v</t>
        </is>
      </c>
    </row>
    <row r="365">
      <c r="A365" s="5" t="inlineStr">
        <is>
          <t>C0364</t>
        </is>
      </c>
      <c r="B365" s="5" t="inlineStr">
        <is>
          <t>x_0364</t>
        </is>
      </c>
      <c r="C365" s="5" t="n">
        <v>0</v>
      </c>
      <c r="D365" s="5" t="inlineStr">
        <is>
          <t>Joseph Vögele AG</t>
        </is>
      </c>
      <c r="E365" s="5" t="inlineStr">
        <is>
          <t>Technische Hochschule Bingen</t>
        </is>
      </c>
      <c r="F365" s="5" t="n">
        <v>50</v>
      </c>
      <c r="G365" s="5" t="n">
        <v>88</v>
      </c>
      <c r="H365" s="5" t="inlineStr">
        <is>
          <t>profit_anchor</t>
        </is>
      </c>
      <c r="I365" t="inlineStr">
        <is>
          <t>construction_planning_anchor</t>
        </is>
      </c>
      <c r="J365" s="5" t="inlineStr">
        <is>
          <t>academic_support</t>
        </is>
      </c>
      <c r="K365" t="inlineStr">
        <is>
          <t>university_applied_sciences</t>
        </is>
      </c>
      <c r="L365" s="5" t="inlineStr">
        <is>
          <t>technologie</t>
        </is>
      </c>
      <c r="M365" s="5" t="inlineStr">
        <is>
          <t>industrie_40_automation</t>
        </is>
      </c>
      <c r="N365" s="5" t="inlineStr">
        <is>
          <t>Industrie 4.0, Automatisierung und Produktion</t>
        </is>
      </c>
      <c r="O365" s="5" t="n">
        <v>5</v>
      </c>
      <c r="P365" s="5" t="n">
        <v>4</v>
      </c>
      <c r="Q365" s="5" t="n">
        <v>13</v>
      </c>
      <c r="R365" s="5" t="n">
        <v>4</v>
      </c>
      <c r="S365" s="5" t="n">
        <v>0</v>
      </c>
      <c r="T365" s="5" t="n">
        <v>0</v>
      </c>
      <c r="U365" s="5" t="n">
        <v>2</v>
      </c>
      <c r="V365" s="5" t="n">
        <v>6</v>
      </c>
      <c r="W365" s="5" t="n">
        <v>6</v>
      </c>
      <c r="X365" s="5" t="n">
        <v>0</v>
      </c>
      <c r="Y365" s="5" t="n">
        <v>0</v>
      </c>
      <c r="Z365" s="5" t="n">
        <v>0</v>
      </c>
      <c r="AA365" s="5" t="n">
        <v>0</v>
      </c>
      <c r="AB365" s="5" t="n">
        <v>25.557449</v>
      </c>
      <c r="AC365" s="5" t="inlineStr">
        <is>
          <t>Wie wird industrielle Produktion in Rheinland-Pfalz digitaler, robuster und wettbewerbsfähiger?</t>
        </is>
      </c>
      <c r="AD365" s="5" t="inlineStr">
        <is>
          <t>Industrie 4.0, Automatisierung und Produktion: Joseph Vögele AG (profit_anchor, 5) + Technische Hochschule Bingen (academic_support, 4).</t>
        </is>
      </c>
      <c r="AE365" s="5" t="inlineStr">
        <is>
          <t>Joseph Vögele AG | Technische Hochschule Bingen</t>
        </is>
      </c>
      <c r="AF365" s="5" t="inlineStr">
        <is>
          <t>industrie-40-automation-joseph-vögele-ag-technische-hochschule-bingen</t>
        </is>
      </c>
    </row>
    <row r="366">
      <c r="A366" s="5" t="inlineStr">
        <is>
          <t>C0365</t>
        </is>
      </c>
      <c r="B366" s="5" t="inlineStr">
        <is>
          <t>x_0365</t>
        </is>
      </c>
      <c r="C366" s="5" t="n">
        <v>0</v>
      </c>
      <c r="D366" s="5" t="inlineStr">
        <is>
          <t>Joseph Vögele AG</t>
        </is>
      </c>
      <c r="E366" s="5" t="inlineStr">
        <is>
          <t>TÜV Rheinland Berlin Brandenburg Pfalz e.V.</t>
        </is>
      </c>
      <c r="F366" s="5" t="n">
        <v>50</v>
      </c>
      <c r="G366" s="5" t="n">
        <v>91</v>
      </c>
      <c r="H366" s="5" t="inlineStr">
        <is>
          <t>profit_anchor</t>
        </is>
      </c>
      <c r="I366" t="inlineStr">
        <is>
          <t>construction_planning_anchor</t>
        </is>
      </c>
      <c r="J366" s="5" t="inlineStr">
        <is>
          <t>context_actor</t>
        </is>
      </c>
      <c r="K366" t="inlineStr">
        <is>
          <t>chamber_association_anchor</t>
        </is>
      </c>
      <c r="L366" s="5" t="inlineStr">
        <is>
          <t>technologie</t>
        </is>
      </c>
      <c r="M366" s="5" t="inlineStr">
        <is>
          <t>industrie_40_automation</t>
        </is>
      </c>
      <c r="N366" s="5" t="inlineStr">
        <is>
          <t>Industrie 4.0, Automatisierung und Produktion</t>
        </is>
      </c>
      <c r="O366" s="5" t="n">
        <v>5</v>
      </c>
      <c r="P366" s="5" t="n">
        <v>4</v>
      </c>
      <c r="Q366" s="5" t="n">
        <v>13</v>
      </c>
      <c r="R366" s="5" t="n">
        <v>4</v>
      </c>
      <c r="S366" s="5" t="n">
        <v>0</v>
      </c>
      <c r="T366" s="5" t="n">
        <v>0</v>
      </c>
      <c r="U366" s="5" t="n">
        <v>2</v>
      </c>
      <c r="V366" s="5" t="n">
        <v>6</v>
      </c>
      <c r="W366" s="5" t="n">
        <v>6</v>
      </c>
      <c r="X366" s="5" t="n">
        <v>0</v>
      </c>
      <c r="Y366" s="5" t="n">
        <v>0</v>
      </c>
      <c r="Z366" s="5" t="n">
        <v>0</v>
      </c>
      <c r="AA366" s="5" t="n">
        <v>0</v>
      </c>
      <c r="AB366" s="5" t="n">
        <v>29.651078</v>
      </c>
      <c r="AC366" s="5" t="inlineStr">
        <is>
          <t>Wie wird industrielle Produktion in Rheinland-Pfalz digitaler, robuster und wettbewerbsfähiger?</t>
        </is>
      </c>
      <c r="AD366" s="5" t="inlineStr">
        <is>
          <t>Industrie 4.0, Automatisierung und Produktion: Joseph Vögele AG (profit_anchor, 5) + TÜV Rheinland Berlin Brandenburg Pfalz e.V. (context_actor, 4).</t>
        </is>
      </c>
      <c r="AE366" s="5" t="inlineStr">
        <is>
          <t>Joseph Vögele AG | TÜV Rheinland Berlin Brandenburg Pfalz e.V.</t>
        </is>
      </c>
      <c r="AF366" s="5" t="inlineStr">
        <is>
          <t>industrie-40-automation-joseph-vögele-ag-tüv-rheinland-berlin-brandenburg-pfalz-e-v</t>
        </is>
      </c>
    </row>
    <row r="367">
      <c r="A367" s="5" t="inlineStr">
        <is>
          <t>C0366</t>
        </is>
      </c>
      <c r="B367" s="5" t="inlineStr">
        <is>
          <t>x_0366</t>
        </is>
      </c>
      <c r="C367" s="5" t="n">
        <v>0</v>
      </c>
      <c r="D367" s="5" t="inlineStr">
        <is>
          <t>KSB AG</t>
        </is>
      </c>
      <c r="E367" s="5" t="inlineStr">
        <is>
          <t>Rheinland-Pfälzische Technische Universität Kaiserslautern-Landau (RPTU)</t>
        </is>
      </c>
      <c r="F367" s="5" t="n">
        <v>57</v>
      </c>
      <c r="G367" s="5" t="n">
        <v>74</v>
      </c>
      <c r="H367" s="5" t="inlineStr">
        <is>
          <t>profit_anchor</t>
        </is>
      </c>
      <c r="I367" t="inlineStr">
        <is>
          <t>industry_anchor</t>
        </is>
      </c>
      <c r="J367" s="5" t="inlineStr">
        <is>
          <t>academic_support</t>
        </is>
      </c>
      <c r="K367" t="inlineStr">
        <is>
          <t>university_research</t>
        </is>
      </c>
      <c r="L367" s="5" t="inlineStr">
        <is>
          <t>technologie</t>
        </is>
      </c>
      <c r="M367" s="5" t="inlineStr">
        <is>
          <t>industrie_40_automation</t>
        </is>
      </c>
      <c r="N367" s="5" t="inlineStr">
        <is>
          <t>Industrie 4.0, Automatisierung und Produktion</t>
        </is>
      </c>
      <c r="O367" s="5" t="n">
        <v>4</v>
      </c>
      <c r="P367" s="5" t="n">
        <v>5</v>
      </c>
      <c r="Q367" s="5" t="n">
        <v>13</v>
      </c>
      <c r="R367" s="5" t="n">
        <v>4</v>
      </c>
      <c r="S367" s="5" t="n">
        <v>0</v>
      </c>
      <c r="T367" s="5" t="n">
        <v>0</v>
      </c>
      <c r="U367" s="5" t="n">
        <v>2</v>
      </c>
      <c r="V367" s="5" t="n">
        <v>6</v>
      </c>
      <c r="W367" s="5" t="n">
        <v>6</v>
      </c>
      <c r="X367" s="5" t="n">
        <v>0</v>
      </c>
      <c r="Y367" s="5" t="n">
        <v>0</v>
      </c>
      <c r="Z367" s="5" t="n">
        <v>0</v>
      </c>
      <c r="AA367" s="5" t="n">
        <v>0</v>
      </c>
      <c r="AB367" s="5" t="n">
        <v>26.593343</v>
      </c>
      <c r="AC367" s="5" t="inlineStr">
        <is>
          <t>Wie wird industrielle Produktion in Rheinland-Pfalz digitaler, robuster und wettbewerbsfähiger?</t>
        </is>
      </c>
      <c r="AD367" s="5" t="inlineStr">
        <is>
          <t>Industrie 4.0, Automatisierung und Produktion: KSB AG (profit_anchor, 4) + Rheinland-Pfälzische Technische Universität Kaiserslautern-Landau (RPTU) (academic_support, 5).</t>
        </is>
      </c>
      <c r="AE367" s="5" t="inlineStr">
        <is>
          <t>KSB AG | Rheinland-Pfälzische Technische Universität Kaiserslautern-Landau (RPTU)</t>
        </is>
      </c>
      <c r="AF367" s="5" t="inlineStr">
        <is>
          <t>industrie-40-automation-ksb-ag-rheinland-pfälzische-technische-universität-kaiserslautern-landa</t>
        </is>
      </c>
    </row>
    <row r="368">
      <c r="A368" s="5" t="inlineStr">
        <is>
          <t>C0367</t>
        </is>
      </c>
      <c r="B368" s="5" t="inlineStr">
        <is>
          <t>x_0367</t>
        </is>
      </c>
      <c r="C368" s="5" t="n">
        <v>0</v>
      </c>
      <c r="D368" s="5" t="inlineStr">
        <is>
          <t>KSB AG</t>
        </is>
      </c>
      <c r="E368" s="5" t="inlineStr">
        <is>
          <t>SmartFactory KL e.V.</t>
        </is>
      </c>
      <c r="F368" s="5" t="n">
        <v>57</v>
      </c>
      <c r="G368" s="5" t="n">
        <v>81</v>
      </c>
      <c r="H368" s="5" t="inlineStr">
        <is>
          <t>profit_anchor</t>
        </is>
      </c>
      <c r="I368" t="inlineStr">
        <is>
          <t>industry_anchor</t>
        </is>
      </c>
      <c r="J368" s="5" t="inlineStr">
        <is>
          <t>context_actor</t>
        </is>
      </c>
      <c r="K368" t="inlineStr">
        <is>
          <t>technology_digital_anchor</t>
        </is>
      </c>
      <c r="L368" s="5" t="inlineStr">
        <is>
          <t>technologie</t>
        </is>
      </c>
      <c r="M368" s="5" t="inlineStr">
        <is>
          <t>industrie_40_automation</t>
        </is>
      </c>
      <c r="N368" s="5" t="inlineStr">
        <is>
          <t>Industrie 4.0, Automatisierung und Produktion</t>
        </is>
      </c>
      <c r="O368" s="5" t="n">
        <v>4</v>
      </c>
      <c r="P368" s="5" t="n">
        <v>5</v>
      </c>
      <c r="Q368" s="5" t="n">
        <v>13</v>
      </c>
      <c r="R368" s="5" t="n">
        <v>4</v>
      </c>
      <c r="S368" s="5" t="n">
        <v>0</v>
      </c>
      <c r="T368" s="5" t="n">
        <v>0</v>
      </c>
      <c r="U368" s="5" t="n">
        <v>2</v>
      </c>
      <c r="V368" s="5" t="n">
        <v>6</v>
      </c>
      <c r="W368" s="5" t="n">
        <v>6</v>
      </c>
      <c r="X368" s="5" t="n">
        <v>0</v>
      </c>
      <c r="Y368" s="5" t="n">
        <v>0</v>
      </c>
      <c r="Z368" s="5" t="n">
        <v>0</v>
      </c>
      <c r="AA368" s="5" t="n">
        <v>0</v>
      </c>
      <c r="AB368" s="5" t="n">
        <v>21.763175</v>
      </c>
      <c r="AC368" s="5" t="inlineStr">
        <is>
          <t>Wie wird industrielle Produktion in Rheinland-Pfalz digitaler, robuster und wettbewerbsfähiger?</t>
        </is>
      </c>
      <c r="AD368" s="5" t="inlineStr">
        <is>
          <t>Industrie 4.0, Automatisierung und Produktion: KSB AG (profit_anchor, 4) + SmartFactory KL e.V. (context_actor, 5).</t>
        </is>
      </c>
      <c r="AE368" s="5" t="inlineStr">
        <is>
          <t>KSB AG | SmartFactory KL e.V.</t>
        </is>
      </c>
      <c r="AF368" s="5" t="inlineStr">
        <is>
          <t>industrie-40-automation-ksb-ag-smartfactory-kl-e-v</t>
        </is>
      </c>
    </row>
    <row r="369">
      <c r="A369" s="5" t="inlineStr">
        <is>
          <t>C0368</t>
        </is>
      </c>
      <c r="B369" s="5" t="inlineStr">
        <is>
          <t>x_0368</t>
        </is>
      </c>
      <c r="C369" s="5" t="n">
        <v>0</v>
      </c>
      <c r="D369" s="5" t="inlineStr">
        <is>
          <t>Michelin Reifenwerke AG &amp; Co. KGaA</t>
        </is>
      </c>
      <c r="E369" s="5" t="inlineStr">
        <is>
          <t>Rheinland-Pfälzische Technische Universität Kaiserslautern-Landau (RPTU)</t>
        </is>
      </c>
      <c r="F369" s="5" t="n">
        <v>69</v>
      </c>
      <c r="G369" s="5" t="n">
        <v>74</v>
      </c>
      <c r="H369" s="5" t="inlineStr">
        <is>
          <t>profit_anchor</t>
        </is>
      </c>
      <c r="I369" t="inlineStr">
        <is>
          <t>industry_anchor</t>
        </is>
      </c>
      <c r="J369" s="5" t="inlineStr">
        <is>
          <t>academic_support</t>
        </is>
      </c>
      <c r="K369" t="inlineStr">
        <is>
          <t>university_research</t>
        </is>
      </c>
      <c r="L369" s="5" t="inlineStr">
        <is>
          <t>technologie</t>
        </is>
      </c>
      <c r="M369" s="5" t="inlineStr">
        <is>
          <t>industrie_40_automation</t>
        </is>
      </c>
      <c r="N369" s="5" t="inlineStr">
        <is>
          <t>Industrie 4.0, Automatisierung und Produktion</t>
        </is>
      </c>
      <c r="O369" s="5" t="n">
        <v>4</v>
      </c>
      <c r="P369" s="5" t="n">
        <v>5</v>
      </c>
      <c r="Q369" s="5" t="n">
        <v>13</v>
      </c>
      <c r="R369" s="5" t="n">
        <v>4</v>
      </c>
      <c r="S369" s="5" t="n">
        <v>0</v>
      </c>
      <c r="T369" s="5" t="n">
        <v>0</v>
      </c>
      <c r="U369" s="5" t="n">
        <v>2</v>
      </c>
      <c r="V369" s="5" t="n">
        <v>6</v>
      </c>
      <c r="W369" s="5" t="n">
        <v>6</v>
      </c>
      <c r="X369" s="5" t="n">
        <v>0</v>
      </c>
      <c r="Y369" s="5" t="n">
        <v>0</v>
      </c>
      <c r="Z369" s="5" t="n">
        <v>0</v>
      </c>
      <c r="AA369" s="5" t="n">
        <v>0</v>
      </c>
      <c r="AB369" s="5" t="n">
        <v>26.593343</v>
      </c>
      <c r="AC369" s="5" t="inlineStr">
        <is>
          <t>Wie wird industrielle Produktion in Rheinland-Pfalz digitaler, robuster und wettbewerbsfähiger?</t>
        </is>
      </c>
      <c r="AD369" s="5" t="inlineStr">
        <is>
          <t>Industrie 4.0, Automatisierung und Produktion: Michelin Reifenwerke AG &amp; Co. KGaA (profit_anchor, 4) + Rheinland-Pfälzische Technische Universität Kaiserslautern-Landau (RPTU) (academic_support, 5).</t>
        </is>
      </c>
      <c r="AE369" s="5" t="inlineStr">
        <is>
          <t>Michelin Reifenwerke AG &amp; Co. KGaA | Rheinland-Pfälzische Technische Universität Kaiserslautern-Landau (RPTU)</t>
        </is>
      </c>
      <c r="AF369" s="5" t="inlineStr">
        <is>
          <t>industrie-40-automation-michelin-reifenwerke-ag-co-kgaa-rheinland-pfälzische-technische-univers</t>
        </is>
      </c>
    </row>
    <row r="370">
      <c r="A370" s="5" t="inlineStr">
        <is>
          <t>C0369</t>
        </is>
      </c>
      <c r="B370" s="5" t="inlineStr">
        <is>
          <t>x_0369</t>
        </is>
      </c>
      <c r="C370" s="5" t="n">
        <v>0</v>
      </c>
      <c r="D370" s="5" t="inlineStr">
        <is>
          <t>Michelin Reifenwerke AG &amp; Co. KGaA</t>
        </is>
      </c>
      <c r="E370" s="5" t="inlineStr">
        <is>
          <t>SmartFactory KL e.V.</t>
        </is>
      </c>
      <c r="F370" s="5" t="n">
        <v>69</v>
      </c>
      <c r="G370" s="5" t="n">
        <v>81</v>
      </c>
      <c r="H370" s="5" t="inlineStr">
        <is>
          <t>profit_anchor</t>
        </is>
      </c>
      <c r="I370" t="inlineStr">
        <is>
          <t>industry_anchor</t>
        </is>
      </c>
      <c r="J370" s="5" t="inlineStr">
        <is>
          <t>context_actor</t>
        </is>
      </c>
      <c r="K370" t="inlineStr">
        <is>
          <t>technology_digital_anchor</t>
        </is>
      </c>
      <c r="L370" s="5" t="inlineStr">
        <is>
          <t>technologie</t>
        </is>
      </c>
      <c r="M370" s="5" t="inlineStr">
        <is>
          <t>industrie_40_automation</t>
        </is>
      </c>
      <c r="N370" s="5" t="inlineStr">
        <is>
          <t>Industrie 4.0, Automatisierung und Produktion</t>
        </is>
      </c>
      <c r="O370" s="5" t="n">
        <v>4</v>
      </c>
      <c r="P370" s="5" t="n">
        <v>5</v>
      </c>
      <c r="Q370" s="5" t="n">
        <v>13</v>
      </c>
      <c r="R370" s="5" t="n">
        <v>4</v>
      </c>
      <c r="S370" s="5" t="n">
        <v>0</v>
      </c>
      <c r="T370" s="5" t="n">
        <v>0</v>
      </c>
      <c r="U370" s="5" t="n">
        <v>2</v>
      </c>
      <c r="V370" s="5" t="n">
        <v>6</v>
      </c>
      <c r="W370" s="5" t="n">
        <v>6</v>
      </c>
      <c r="X370" s="5" t="n">
        <v>0</v>
      </c>
      <c r="Y370" s="5" t="n">
        <v>0</v>
      </c>
      <c r="Z370" s="5" t="n">
        <v>0</v>
      </c>
      <c r="AA370" s="5" t="n">
        <v>0</v>
      </c>
      <c r="AB370" s="5" t="n">
        <v>21.763175</v>
      </c>
      <c r="AC370" s="5" t="inlineStr">
        <is>
          <t>Wie wird industrielle Produktion in Rheinland-Pfalz digitaler, robuster und wettbewerbsfähiger?</t>
        </is>
      </c>
      <c r="AD370" s="5" t="inlineStr">
        <is>
          <t>Industrie 4.0, Automatisierung und Produktion: Michelin Reifenwerke AG &amp; Co. KGaA (profit_anchor, 4) + SmartFactory KL e.V. (context_actor, 5).</t>
        </is>
      </c>
      <c r="AE370" s="5" t="inlineStr">
        <is>
          <t>Michelin Reifenwerke AG &amp; Co. KGaA | SmartFactory KL e.V.</t>
        </is>
      </c>
      <c r="AF370" s="5" t="inlineStr">
        <is>
          <t>industrie-40-automation-michelin-reifenwerke-ag-co-kgaa-smartfactory-kl-e-v</t>
        </is>
      </c>
    </row>
    <row r="371">
      <c r="A371" s="5" t="inlineStr">
        <is>
          <t>C0370</t>
        </is>
      </c>
      <c r="B371" s="5" t="inlineStr">
        <is>
          <t>x_0370</t>
        </is>
      </c>
      <c r="C371" s="5" t="n">
        <v>0</v>
      </c>
      <c r="D371" s="5" t="inlineStr">
        <is>
          <t>PFAFF Industriesysteme und Maschinen GmbH</t>
        </is>
      </c>
      <c r="E371" s="5" t="inlineStr">
        <is>
          <t>Technische Hochschule Bingen</t>
        </is>
      </c>
      <c r="F371" s="5" t="n">
        <v>71</v>
      </c>
      <c r="G371" s="5" t="n">
        <v>88</v>
      </c>
      <c r="H371" s="5" t="inlineStr">
        <is>
          <t>profit_anchor</t>
        </is>
      </c>
      <c r="I371" t="inlineStr">
        <is>
          <t>industry_anchor</t>
        </is>
      </c>
      <c r="J371" s="5" t="inlineStr">
        <is>
          <t>academic_support</t>
        </is>
      </c>
      <c r="K371" t="inlineStr">
        <is>
          <t>university_applied_sciences</t>
        </is>
      </c>
      <c r="L371" s="5" t="inlineStr">
        <is>
          <t>technologie</t>
        </is>
      </c>
      <c r="M371" s="5" t="inlineStr">
        <is>
          <t>industrie_40_automation</t>
        </is>
      </c>
      <c r="N371" s="5" t="inlineStr">
        <is>
          <t>Industrie 4.0, Automatisierung und Produktion</t>
        </is>
      </c>
      <c r="O371" s="5" t="n">
        <v>5</v>
      </c>
      <c r="P371" s="5" t="n">
        <v>4</v>
      </c>
      <c r="Q371" s="5" t="n">
        <v>13</v>
      </c>
      <c r="R371" s="5" t="n">
        <v>4</v>
      </c>
      <c r="S371" s="5" t="n">
        <v>0</v>
      </c>
      <c r="T371" s="5" t="n">
        <v>0</v>
      </c>
      <c r="U371" s="5" t="n">
        <v>2</v>
      </c>
      <c r="V371" s="5" t="n">
        <v>6</v>
      </c>
      <c r="W371" s="5" t="n">
        <v>6</v>
      </c>
      <c r="X371" s="5" t="n">
        <v>0</v>
      </c>
      <c r="Y371" s="5" t="n">
        <v>0</v>
      </c>
      <c r="Z371" s="5" t="n">
        <v>0</v>
      </c>
      <c r="AA371" s="5" t="n">
        <v>0</v>
      </c>
      <c r="AB371" s="5" t="n">
        <v>23.453124</v>
      </c>
      <c r="AC371" s="5" t="inlineStr">
        <is>
          <t>Wie wird industrielle Produktion in Rheinland-Pfalz digitaler, robuster und wettbewerbsfähiger?</t>
        </is>
      </c>
      <c r="AD371" s="5" t="inlineStr">
        <is>
          <t>Industrie 4.0, Automatisierung und Produktion: PFAFF Industriesysteme und Maschinen GmbH (profit_anchor, 5) + Technische Hochschule Bingen (academic_support, 4).</t>
        </is>
      </c>
      <c r="AE371" s="5" t="inlineStr">
        <is>
          <t>PFAFF Industriesysteme und Maschinen GmbH | Technische Hochschule Bingen</t>
        </is>
      </c>
      <c r="AF371" s="5" t="inlineStr">
        <is>
          <t>industrie-40-automation-pfaff-industriesysteme-und-maschinen-gmbh-technische-hochschule-bingen</t>
        </is>
      </c>
    </row>
    <row r="372">
      <c r="A372" s="5" t="inlineStr">
        <is>
          <t>C0371</t>
        </is>
      </c>
      <c r="B372" s="5" t="inlineStr">
        <is>
          <t>x_0371</t>
        </is>
      </c>
      <c r="C372" s="5" t="n">
        <v>0</v>
      </c>
      <c r="D372" s="5" t="inlineStr">
        <is>
          <t>PFAFF Industriesysteme und Maschinen GmbH</t>
        </is>
      </c>
      <c r="E372" s="5" t="inlineStr">
        <is>
          <t>TÜV Rheinland Berlin Brandenburg Pfalz e.V.</t>
        </is>
      </c>
      <c r="F372" s="5" t="n">
        <v>71</v>
      </c>
      <c r="G372" s="5" t="n">
        <v>91</v>
      </c>
      <c r="H372" s="5" t="inlineStr">
        <is>
          <t>profit_anchor</t>
        </is>
      </c>
      <c r="I372" t="inlineStr">
        <is>
          <t>industry_anchor</t>
        </is>
      </c>
      <c r="J372" s="5" t="inlineStr">
        <is>
          <t>context_actor</t>
        </is>
      </c>
      <c r="K372" t="inlineStr">
        <is>
          <t>chamber_association_anchor</t>
        </is>
      </c>
      <c r="L372" s="5" t="inlineStr">
        <is>
          <t>technologie</t>
        </is>
      </c>
      <c r="M372" s="5" t="inlineStr">
        <is>
          <t>industrie_40_automation</t>
        </is>
      </c>
      <c r="N372" s="5" t="inlineStr">
        <is>
          <t>Industrie 4.0, Automatisierung und Produktion</t>
        </is>
      </c>
      <c r="O372" s="5" t="n">
        <v>5</v>
      </c>
      <c r="P372" s="5" t="n">
        <v>4</v>
      </c>
      <c r="Q372" s="5" t="n">
        <v>13</v>
      </c>
      <c r="R372" s="5" t="n">
        <v>4</v>
      </c>
      <c r="S372" s="5" t="n">
        <v>0</v>
      </c>
      <c r="T372" s="5" t="n">
        <v>0</v>
      </c>
      <c r="U372" s="5" t="n">
        <v>2</v>
      </c>
      <c r="V372" s="5" t="n">
        <v>6</v>
      </c>
      <c r="W372" s="5" t="n">
        <v>6</v>
      </c>
      <c r="X372" s="5" t="n">
        <v>0</v>
      </c>
      <c r="Y372" s="5" t="n">
        <v>0</v>
      </c>
      <c r="Z372" s="5" t="n">
        <v>0</v>
      </c>
      <c r="AA372" s="5" t="n">
        <v>0</v>
      </c>
      <c r="AB372" s="5" t="n">
        <v>28.271194</v>
      </c>
      <c r="AC372" s="5" t="inlineStr">
        <is>
          <t>Wie wird industrielle Produktion in Rheinland-Pfalz digitaler, robuster und wettbewerbsfähiger?</t>
        </is>
      </c>
      <c r="AD372" s="5" t="inlineStr">
        <is>
          <t>Industrie 4.0, Automatisierung und Produktion: PFAFF Industriesysteme und Maschinen GmbH (profit_anchor, 5) + TÜV Rheinland Berlin Brandenburg Pfalz e.V. (context_actor, 4).</t>
        </is>
      </c>
      <c r="AE372" s="5" t="inlineStr">
        <is>
          <t>PFAFF Industriesysteme und Maschinen GmbH | TÜV Rheinland Berlin Brandenburg Pfalz e.V.</t>
        </is>
      </c>
      <c r="AF372" s="5" t="inlineStr">
        <is>
          <t>industrie-40-automation-pfaff-industriesysteme-und-maschinen-gmbh-tüv-rheinland-berlin-brandenb</t>
        </is>
      </c>
    </row>
    <row r="373">
      <c r="A373" s="5" t="inlineStr">
        <is>
          <t>C0372</t>
        </is>
      </c>
      <c r="B373" s="5" t="inlineStr">
        <is>
          <t>x_0372</t>
        </is>
      </c>
      <c r="C373" s="5" t="n">
        <v>0</v>
      </c>
      <c r="D373" s="5" t="inlineStr">
        <is>
          <t>Rheinland-Pfälzische Technische Universität Kaiserslautern-Landau (RPTU)</t>
        </is>
      </c>
      <c r="E373" s="5" t="inlineStr">
        <is>
          <t>SCHOTT AG</t>
        </is>
      </c>
      <c r="F373" s="5" t="n">
        <v>74</v>
      </c>
      <c r="G373" s="5" t="n">
        <v>78</v>
      </c>
      <c r="H373" s="5" t="inlineStr">
        <is>
          <t>academic_support</t>
        </is>
      </c>
      <c r="I373" t="inlineStr">
        <is>
          <t>university_research</t>
        </is>
      </c>
      <c r="J373" s="5" t="inlineStr">
        <is>
          <t>profit_anchor</t>
        </is>
      </c>
      <c r="K373" t="inlineStr">
        <is>
          <t>industry_anchor</t>
        </is>
      </c>
      <c r="L373" s="5" t="inlineStr">
        <is>
          <t>technologie</t>
        </is>
      </c>
      <c r="M373" s="5" t="inlineStr">
        <is>
          <t>industrie_40_automation</t>
        </is>
      </c>
      <c r="N373" s="5" t="inlineStr">
        <is>
          <t>Industrie 4.0, Automatisierung und Produktion</t>
        </is>
      </c>
      <c r="O373" s="5" t="n">
        <v>5</v>
      </c>
      <c r="P373" s="5" t="n">
        <v>4</v>
      </c>
      <c r="Q373" s="5" t="n">
        <v>13</v>
      </c>
      <c r="R373" s="5" t="n">
        <v>4</v>
      </c>
      <c r="S373" s="5" t="n">
        <v>0</v>
      </c>
      <c r="T373" s="5" t="n">
        <v>0</v>
      </c>
      <c r="U373" s="5" t="n">
        <v>2</v>
      </c>
      <c r="V373" s="5" t="n">
        <v>6</v>
      </c>
      <c r="W373" s="5" t="n">
        <v>6</v>
      </c>
      <c r="X373" s="5" t="n">
        <v>0</v>
      </c>
      <c r="Y373" s="5" t="n">
        <v>0</v>
      </c>
      <c r="Z373" s="5" t="n">
        <v>0</v>
      </c>
      <c r="AA373" s="5" t="n">
        <v>0</v>
      </c>
      <c r="AB373" s="5" t="n">
        <v>26.593343</v>
      </c>
      <c r="AC373" s="5" t="inlineStr">
        <is>
          <t>Wie wird industrielle Produktion in Rheinland-Pfalz digitaler, robuster und wettbewerbsfähiger?</t>
        </is>
      </c>
      <c r="AD373" s="5" t="inlineStr">
        <is>
          <t>Industrie 4.0, Automatisierung und Produktion: Rheinland-Pfälzische Technische Universität Kaiserslautern-Landau (RPTU) (academic_support, 5) + SCHOTT AG (profit_anchor, 4).</t>
        </is>
      </c>
      <c r="AE373" s="5" t="inlineStr">
        <is>
          <t>Rheinland-Pfälzische Technische Universität Kaiserslautern-Landau (RPTU) | SCHOTT AG</t>
        </is>
      </c>
      <c r="AF373" s="5" t="inlineStr">
        <is>
          <t>industrie-40-automation-rheinland-pfälzische-technische-universität-kaiserslautern-landau-rptu-</t>
        </is>
      </c>
    </row>
    <row r="374">
      <c r="A374" s="5" t="inlineStr">
        <is>
          <t>C0373</t>
        </is>
      </c>
      <c r="B374" s="5" t="inlineStr">
        <is>
          <t>x_0373</t>
        </is>
      </c>
      <c r="C374" s="5" t="n">
        <v>0</v>
      </c>
      <c r="D374" s="5" t="inlineStr">
        <is>
          <t>Rheinland-Pfälzische Technische Universität Kaiserslautern-Landau (RPTU)</t>
        </is>
      </c>
      <c r="E374" s="5" t="inlineStr">
        <is>
          <t>thyssenkrupp Rasselstein GmbH</t>
        </is>
      </c>
      <c r="F374" s="5" t="n">
        <v>74</v>
      </c>
      <c r="G374" s="5" t="n">
        <v>89</v>
      </c>
      <c r="H374" s="5" t="inlineStr">
        <is>
          <t>academic_support</t>
        </is>
      </c>
      <c r="I374" t="inlineStr">
        <is>
          <t>university_research</t>
        </is>
      </c>
      <c r="J374" s="5" t="inlineStr">
        <is>
          <t>profit_anchor</t>
        </is>
      </c>
      <c r="K374" t="inlineStr">
        <is>
          <t>industry_anchor</t>
        </is>
      </c>
      <c r="L374" s="5" t="inlineStr">
        <is>
          <t>technologie</t>
        </is>
      </c>
      <c r="M374" s="5" t="inlineStr">
        <is>
          <t>industrie_40_automation</t>
        </is>
      </c>
      <c r="N374" s="5" t="inlineStr">
        <is>
          <t>Industrie 4.0, Automatisierung und Produktion</t>
        </is>
      </c>
      <c r="O374" s="5" t="n">
        <v>5</v>
      </c>
      <c r="P374" s="5" t="n">
        <v>4</v>
      </c>
      <c r="Q374" s="5" t="n">
        <v>13</v>
      </c>
      <c r="R374" s="5" t="n">
        <v>4</v>
      </c>
      <c r="S374" s="5" t="n">
        <v>0</v>
      </c>
      <c r="T374" s="5" t="n">
        <v>0</v>
      </c>
      <c r="U374" s="5" t="n">
        <v>2</v>
      </c>
      <c r="V374" s="5" t="n">
        <v>6</v>
      </c>
      <c r="W374" s="5" t="n">
        <v>6</v>
      </c>
      <c r="X374" s="5" t="n">
        <v>0</v>
      </c>
      <c r="Y374" s="5" t="n">
        <v>0</v>
      </c>
      <c r="Z374" s="5" t="n">
        <v>0</v>
      </c>
      <c r="AA374" s="5" t="n">
        <v>0</v>
      </c>
      <c r="AB374" s="5" t="n">
        <v>26.593343</v>
      </c>
      <c r="AC374" s="5" t="inlineStr">
        <is>
          <t>Wie wird industrielle Produktion in Rheinland-Pfalz digitaler, robuster und wettbewerbsfähiger?</t>
        </is>
      </c>
      <c r="AD374" s="5" t="inlineStr">
        <is>
          <t>Industrie 4.0, Automatisierung und Produktion: Rheinland-Pfälzische Technische Universität Kaiserslautern-Landau (RPTU) (academic_support, 5) + thyssenkrupp Rasselstein GmbH (profit_anchor, 4).</t>
        </is>
      </c>
      <c r="AE374" s="5" t="inlineStr">
        <is>
          <t>Rheinland-Pfälzische Technische Universität Kaiserslautern-Landau (RPTU) | thyssenkrupp Rasselstein GmbH</t>
        </is>
      </c>
      <c r="AF374" s="5" t="inlineStr">
        <is>
          <t>industrie-40-automation-rheinland-pfälzische-technische-universität-kaiserslautern-landau-rptu-</t>
        </is>
      </c>
    </row>
    <row r="375">
      <c r="A375" s="5" t="inlineStr">
        <is>
          <t>C0374</t>
        </is>
      </c>
      <c r="B375" s="5" t="inlineStr">
        <is>
          <t>x_0374</t>
        </is>
      </c>
      <c r="C375" s="5" t="n">
        <v>0</v>
      </c>
      <c r="D375" s="5" t="inlineStr">
        <is>
          <t>Aturas GmbH</t>
        </is>
      </c>
      <c r="E375" s="5" t="inlineStr">
        <is>
          <t>Deutsche Universität für Verwaltungswissenschaften Speyer</t>
        </is>
      </c>
      <c r="F375" s="5" t="n">
        <v>4</v>
      </c>
      <c r="G375" s="5" t="n">
        <v>19</v>
      </c>
      <c r="H375" s="5" t="inlineStr">
        <is>
          <t>profit_anchor</t>
        </is>
      </c>
      <c r="I375" t="inlineStr">
        <is>
          <t>technology_digital_anchor</t>
        </is>
      </c>
      <c r="J375" s="5" t="inlineStr">
        <is>
          <t>academic_support</t>
        </is>
      </c>
      <c r="K375" t="inlineStr">
        <is>
          <t>university_research</t>
        </is>
      </c>
      <c r="L375" s="5" t="inlineStr">
        <is>
          <t>technologie</t>
        </is>
      </c>
      <c r="M375" s="5" t="inlineStr">
        <is>
          <t>ki_daten_verwaltung_wirtschaft</t>
        </is>
      </c>
      <c r="N375" s="5" t="inlineStr">
        <is>
          <t>KI, Daten und Verwaltungs-/Wirtschaftsanwendungen</t>
        </is>
      </c>
      <c r="O375" s="5" t="n">
        <v>4</v>
      </c>
      <c r="P375" s="5" t="n">
        <v>5</v>
      </c>
      <c r="Q375" s="5" t="n">
        <v>13</v>
      </c>
      <c r="R375" s="5" t="n">
        <v>4</v>
      </c>
      <c r="S375" s="5" t="n">
        <v>0</v>
      </c>
      <c r="T375" s="5" t="n">
        <v>0</v>
      </c>
      <c r="U375" s="5" t="n">
        <v>2</v>
      </c>
      <c r="V375" s="5" t="n">
        <v>6</v>
      </c>
      <c r="W375" s="5" t="n">
        <v>6</v>
      </c>
      <c r="X375" s="5" t="n">
        <v>0</v>
      </c>
      <c r="Y375" s="5" t="n">
        <v>0</v>
      </c>
      <c r="Z375" s="5" t="n">
        <v>0</v>
      </c>
      <c r="AA375" s="5" t="n">
        <v>0</v>
      </c>
      <c r="AB375" s="5" t="n">
        <v>27.71863</v>
      </c>
      <c r="AC375" s="5" t="inlineStr">
        <is>
          <t>Wo können KI und Datenplattformen in Unternehmen, Verwaltung und öffentlicher Infrastruktur konkret Nutzen stiften?</t>
        </is>
      </c>
      <c r="AD375" s="5" t="inlineStr">
        <is>
          <t>KI, Daten und Verwaltungs-/Wirtschaftsanwendungen: Aturas GmbH (profit_anchor, 4) + Deutsche Universität für Verwaltungswissenschaften Speyer (academic_support, 5).</t>
        </is>
      </c>
      <c r="AE375" s="5" t="inlineStr">
        <is>
          <t>Aturas GmbH | Deutsche Universität für Verwaltungswissenschaften Speyer</t>
        </is>
      </c>
      <c r="AF375" s="5" t="inlineStr">
        <is>
          <t>ki-daten-verwaltung-wirtschaft-aturas-gmbh-deutsche-universität-für-verwaltungswissenschaften-s</t>
        </is>
      </c>
    </row>
    <row r="376">
      <c r="A376" s="5" t="inlineStr">
        <is>
          <t>C0375</t>
        </is>
      </c>
      <c r="B376" s="5" t="inlineStr">
        <is>
          <t>x_0375</t>
        </is>
      </c>
      <c r="C376" s="5" t="n">
        <v>0</v>
      </c>
      <c r="D376" s="5" t="inlineStr">
        <is>
          <t>Aturas GmbH</t>
        </is>
      </c>
      <c r="E376" s="5" t="inlineStr">
        <is>
          <t>Rheinland-Pfälzische Technische Universität Kaiserslautern-Landau (RPTU)</t>
        </is>
      </c>
      <c r="F376" s="5" t="n">
        <v>4</v>
      </c>
      <c r="G376" s="5" t="n">
        <v>74</v>
      </c>
      <c r="H376" s="5" t="inlineStr">
        <is>
          <t>profit_anchor</t>
        </is>
      </c>
      <c r="I376" t="inlineStr">
        <is>
          <t>technology_digital_anchor</t>
        </is>
      </c>
      <c r="J376" s="5" t="inlineStr">
        <is>
          <t>academic_support</t>
        </is>
      </c>
      <c r="K376" t="inlineStr">
        <is>
          <t>university_research</t>
        </is>
      </c>
      <c r="L376" s="5" t="inlineStr">
        <is>
          <t>technologie</t>
        </is>
      </c>
      <c r="M376" s="5" t="inlineStr">
        <is>
          <t>ki_daten_verwaltung_wirtschaft</t>
        </is>
      </c>
      <c r="N376" s="5" t="inlineStr">
        <is>
          <t>KI, Daten und Verwaltungs-/Wirtschaftsanwendungen</t>
        </is>
      </c>
      <c r="O376" s="5" t="n">
        <v>4</v>
      </c>
      <c r="P376" s="5" t="n">
        <v>5</v>
      </c>
      <c r="Q376" s="5" t="n">
        <v>13</v>
      </c>
      <c r="R376" s="5" t="n">
        <v>4</v>
      </c>
      <c r="S376" s="5" t="n">
        <v>0</v>
      </c>
      <c r="T376" s="5" t="n">
        <v>0</v>
      </c>
      <c r="U376" s="5" t="n">
        <v>2</v>
      </c>
      <c r="V376" s="5" t="n">
        <v>6</v>
      </c>
      <c r="W376" s="5" t="n">
        <v>6</v>
      </c>
      <c r="X376" s="5" t="n">
        <v>0</v>
      </c>
      <c r="Y376" s="5" t="n">
        <v>0</v>
      </c>
      <c r="Z376" s="5" t="n">
        <v>0</v>
      </c>
      <c r="AA376" s="5" t="n">
        <v>0</v>
      </c>
      <c r="AB376" s="5" t="n">
        <v>27.71863</v>
      </c>
      <c r="AC376" s="5" t="inlineStr">
        <is>
          <t>Wo können KI und Datenplattformen in Unternehmen, Verwaltung und öffentlicher Infrastruktur konkret Nutzen stiften?</t>
        </is>
      </c>
      <c r="AD376" s="5" t="inlineStr">
        <is>
          <t>KI, Daten und Verwaltungs-/Wirtschaftsanwendungen: Aturas GmbH (profit_anchor, 4) + Rheinland-Pfälzische Technische Universität Kaiserslautern-Landau (RPTU) (academic_support, 5).</t>
        </is>
      </c>
      <c r="AE376" s="5" t="inlineStr">
        <is>
          <t>Aturas GmbH | Rheinland-Pfälzische Technische Universität Kaiserslautern-Landau (RPTU)</t>
        </is>
      </c>
      <c r="AF376" s="5" t="inlineStr">
        <is>
          <t>ki-daten-verwaltung-wirtschaft-aturas-gmbh-rheinland-pfälzische-technische-universität-kaisersl</t>
        </is>
      </c>
    </row>
    <row r="377">
      <c r="A377" s="5" t="inlineStr">
        <is>
          <t>C0376</t>
        </is>
      </c>
      <c r="B377" s="5" t="inlineStr">
        <is>
          <t>x_0376</t>
        </is>
      </c>
      <c r="C377" s="5" t="n">
        <v>0</v>
      </c>
      <c r="D377" s="5" t="inlineStr">
        <is>
          <t>Aturas GmbH</t>
        </is>
      </c>
      <c r="E377" s="5" t="inlineStr">
        <is>
          <t>robotspaceship</t>
        </is>
      </c>
      <c r="F377" s="5" t="n">
        <v>4</v>
      </c>
      <c r="G377" s="5" t="n">
        <v>75</v>
      </c>
      <c r="H377" s="5" t="inlineStr">
        <is>
          <t>profit_anchor</t>
        </is>
      </c>
      <c r="I377" t="inlineStr">
        <is>
          <t>technology_digital_anchor</t>
        </is>
      </c>
      <c r="J377" s="5" t="inlineStr">
        <is>
          <t>context_actor</t>
        </is>
      </c>
      <c r="K377" t="inlineStr">
        <is>
          <t>technology_digital_anchor</t>
        </is>
      </c>
      <c r="L377" s="5" t="inlineStr">
        <is>
          <t>technologie</t>
        </is>
      </c>
      <c r="M377" s="5" t="inlineStr">
        <is>
          <t>ki_daten_verwaltung_wirtschaft</t>
        </is>
      </c>
      <c r="N377" s="5" t="inlineStr">
        <is>
          <t>KI, Daten und Verwaltungs-/Wirtschaftsanwendungen</t>
        </is>
      </c>
      <c r="O377" s="5" t="n">
        <v>4</v>
      </c>
      <c r="P377" s="5" t="n">
        <v>5</v>
      </c>
      <c r="Q377" s="5" t="n">
        <v>13</v>
      </c>
      <c r="R377" s="5" t="n">
        <v>4</v>
      </c>
      <c r="S377" s="5" t="n">
        <v>0</v>
      </c>
      <c r="T377" s="5" t="n">
        <v>0</v>
      </c>
      <c r="U377" s="5" t="n">
        <v>2</v>
      </c>
      <c r="V377" s="5" t="n">
        <v>6</v>
      </c>
      <c r="W377" s="5" t="n">
        <v>6</v>
      </c>
      <c r="X377" s="5" t="n">
        <v>0</v>
      </c>
      <c r="Y377" s="5" t="n">
        <v>0</v>
      </c>
      <c r="Z377" s="5" t="n">
        <v>0</v>
      </c>
      <c r="AA377" s="5" t="n">
        <v>0</v>
      </c>
      <c r="AB377" s="5" t="n">
        <v>22.82541</v>
      </c>
      <c r="AC377" s="5" t="inlineStr">
        <is>
          <t>Wo können KI und Datenplattformen in Unternehmen, Verwaltung und öffentlicher Infrastruktur konkret Nutzen stiften?</t>
        </is>
      </c>
      <c r="AD377" s="5" t="inlineStr">
        <is>
          <t>KI, Daten und Verwaltungs-/Wirtschaftsanwendungen: Aturas GmbH (profit_anchor, 4) + robotspaceship (context_actor, 5).</t>
        </is>
      </c>
      <c r="AE377" s="5" t="inlineStr">
        <is>
          <t>Aturas GmbH | robotspaceship</t>
        </is>
      </c>
      <c r="AF377" s="5" t="inlineStr">
        <is>
          <t>ki-daten-verwaltung-wirtschaft-aturas-gmbh-robotspaceship</t>
        </is>
      </c>
    </row>
    <row r="378">
      <c r="A378" s="5" t="inlineStr">
        <is>
          <t>C0377</t>
        </is>
      </c>
      <c r="B378" s="5" t="inlineStr">
        <is>
          <t>x_0377</t>
        </is>
      </c>
      <c r="C378" s="5" t="n">
        <v>0</v>
      </c>
      <c r="D378" s="5" t="inlineStr">
        <is>
          <t>BRICKMAKERS AG</t>
        </is>
      </c>
      <c r="E378" s="5" t="inlineStr">
        <is>
          <t>Hochschule Kaiserslautern</t>
        </is>
      </c>
      <c r="F378" s="5" t="n">
        <v>12</v>
      </c>
      <c r="G378" s="5" t="n">
        <v>37</v>
      </c>
      <c r="H378" s="5" t="inlineStr">
        <is>
          <t>profit_anchor</t>
        </is>
      </c>
      <c r="I378" t="inlineStr">
        <is>
          <t>technology_digital_anchor</t>
        </is>
      </c>
      <c r="J378" s="5" t="inlineStr">
        <is>
          <t>academic_support</t>
        </is>
      </c>
      <c r="K378" t="inlineStr">
        <is>
          <t>university_applied_sciences</t>
        </is>
      </c>
      <c r="L378" s="5" t="inlineStr">
        <is>
          <t>technologie</t>
        </is>
      </c>
      <c r="M378" s="5" t="inlineStr">
        <is>
          <t>ki_daten_verwaltung_wirtschaft</t>
        </is>
      </c>
      <c r="N378" s="5" t="inlineStr">
        <is>
          <t>KI, Daten und Verwaltungs-/Wirtschaftsanwendungen</t>
        </is>
      </c>
      <c r="O378" s="5" t="n">
        <v>5</v>
      </c>
      <c r="P378" s="5" t="n">
        <v>4</v>
      </c>
      <c r="Q378" s="5" t="n">
        <v>13</v>
      </c>
      <c r="R378" s="5" t="n">
        <v>4</v>
      </c>
      <c r="S378" s="5" t="n">
        <v>0</v>
      </c>
      <c r="T378" s="5" t="n">
        <v>0</v>
      </c>
      <c r="U378" s="5" t="n">
        <v>2</v>
      </c>
      <c r="V378" s="5" t="n">
        <v>6</v>
      </c>
      <c r="W378" s="5" t="n">
        <v>6</v>
      </c>
      <c r="X378" s="5" t="n">
        <v>0</v>
      </c>
      <c r="Y378" s="5" t="n">
        <v>0</v>
      </c>
      <c r="Z378" s="5" t="n">
        <v>0</v>
      </c>
      <c r="AA378" s="5" t="n">
        <v>0</v>
      </c>
      <c r="AB378" s="5" t="n">
        <v>24.721763</v>
      </c>
      <c r="AC378" s="5" t="inlineStr">
        <is>
          <t>Wo können KI und Datenplattformen in Unternehmen, Verwaltung und öffentlicher Infrastruktur konkret Nutzen stiften?</t>
        </is>
      </c>
      <c r="AD378" s="5" t="inlineStr">
        <is>
          <t>KI, Daten und Verwaltungs-/Wirtschaftsanwendungen: BRICKMAKERS AG (profit_anchor, 5) + Hochschule Kaiserslautern (academic_support, 4).</t>
        </is>
      </c>
      <c r="AE378" s="5" t="inlineStr">
        <is>
          <t>BRICKMAKERS AG | Hochschule Kaiserslautern</t>
        </is>
      </c>
      <c r="AF378" s="5" t="inlineStr">
        <is>
          <t>ki-daten-verwaltung-wirtschaft-brickmakers-ag-hochschule-kaiserslautern</t>
        </is>
      </c>
    </row>
    <row r="379">
      <c r="A379" s="5" t="inlineStr">
        <is>
          <t>C0378</t>
        </is>
      </c>
      <c r="B379" s="5" t="inlineStr">
        <is>
          <t>x_0378</t>
        </is>
      </c>
      <c r="C379" s="5" t="n">
        <v>0</v>
      </c>
      <c r="D379" s="5" t="inlineStr">
        <is>
          <t>BRICKMAKERS AG</t>
        </is>
      </c>
      <c r="E379" s="5" t="inlineStr">
        <is>
          <t>Hochschule Mainz</t>
        </is>
      </c>
      <c r="F379" s="5" t="n">
        <v>12</v>
      </c>
      <c r="G379" s="5" t="n">
        <v>39</v>
      </c>
      <c r="H379" s="5" t="inlineStr">
        <is>
          <t>profit_anchor</t>
        </is>
      </c>
      <c r="I379" t="inlineStr">
        <is>
          <t>technology_digital_anchor</t>
        </is>
      </c>
      <c r="J379" s="5" t="inlineStr">
        <is>
          <t>academic_support</t>
        </is>
      </c>
      <c r="K379" t="inlineStr">
        <is>
          <t>university_applied_sciences</t>
        </is>
      </c>
      <c r="L379" s="5" t="inlineStr">
        <is>
          <t>technologie</t>
        </is>
      </c>
      <c r="M379" s="5" t="inlineStr">
        <is>
          <t>ki_daten_verwaltung_wirtschaft</t>
        </is>
      </c>
      <c r="N379" s="5" t="inlineStr">
        <is>
          <t>KI, Daten und Verwaltungs-/Wirtschaftsanwendungen</t>
        </is>
      </c>
      <c r="O379" s="5" t="n">
        <v>5</v>
      </c>
      <c r="P379" s="5" t="n">
        <v>4</v>
      </c>
      <c r="Q379" s="5" t="n">
        <v>13</v>
      </c>
      <c r="R379" s="5" t="n">
        <v>4</v>
      </c>
      <c r="S379" s="5" t="n">
        <v>0</v>
      </c>
      <c r="T379" s="5" t="n">
        <v>0</v>
      </c>
      <c r="U379" s="5" t="n">
        <v>2</v>
      </c>
      <c r="V379" s="5" t="n">
        <v>6</v>
      </c>
      <c r="W379" s="5" t="n">
        <v>6</v>
      </c>
      <c r="X379" s="5" t="n">
        <v>0</v>
      </c>
      <c r="Y379" s="5" t="n">
        <v>0</v>
      </c>
      <c r="Z379" s="5" t="n">
        <v>0</v>
      </c>
      <c r="AA379" s="5" t="n">
        <v>0</v>
      </c>
      <c r="AB379" s="5" t="n">
        <v>24.721763</v>
      </c>
      <c r="AC379" s="5" t="inlineStr">
        <is>
          <t>Wo können KI und Datenplattformen in Unternehmen, Verwaltung und öffentlicher Infrastruktur konkret Nutzen stiften?</t>
        </is>
      </c>
      <c r="AD379" s="5" t="inlineStr">
        <is>
          <t>KI, Daten und Verwaltungs-/Wirtschaftsanwendungen: BRICKMAKERS AG (profit_anchor, 5) + Hochschule Mainz (academic_support, 4).</t>
        </is>
      </c>
      <c r="AE379" s="5" t="inlineStr">
        <is>
          <t>BRICKMAKERS AG | Hochschule Mainz</t>
        </is>
      </c>
      <c r="AF379" s="5" t="inlineStr">
        <is>
          <t>ki-daten-verwaltung-wirtschaft-brickmakers-ag-hochschule-mainz</t>
        </is>
      </c>
    </row>
    <row r="380">
      <c r="A380" s="5" t="inlineStr">
        <is>
          <t>C0379</t>
        </is>
      </c>
      <c r="B380" s="5" t="inlineStr">
        <is>
          <t>x_0379</t>
        </is>
      </c>
      <c r="C380" s="5" t="n">
        <v>0</v>
      </c>
      <c r="D380" s="5" t="inlineStr">
        <is>
          <t>BRICKMAKERS AG</t>
        </is>
      </c>
      <c r="E380" s="5" t="inlineStr">
        <is>
          <t>Johannes Gutenberg-Universität Mainz</t>
        </is>
      </c>
      <c r="F380" s="5" t="n">
        <v>12</v>
      </c>
      <c r="G380" s="5" t="n">
        <v>49</v>
      </c>
      <c r="H380" s="5" t="inlineStr">
        <is>
          <t>profit_anchor</t>
        </is>
      </c>
      <c r="I380" t="inlineStr">
        <is>
          <t>technology_digital_anchor</t>
        </is>
      </c>
      <c r="J380" s="5" t="inlineStr">
        <is>
          <t>academic_support</t>
        </is>
      </c>
      <c r="K380" t="inlineStr">
        <is>
          <t>university_research</t>
        </is>
      </c>
      <c r="L380" s="5" t="inlineStr">
        <is>
          <t>technologie</t>
        </is>
      </c>
      <c r="M380" s="5" t="inlineStr">
        <is>
          <t>ki_daten_verwaltung_wirtschaft</t>
        </is>
      </c>
      <c r="N380" s="5" t="inlineStr">
        <is>
          <t>KI, Daten und Verwaltungs-/Wirtschaftsanwendungen</t>
        </is>
      </c>
      <c r="O380" s="5" t="n">
        <v>5</v>
      </c>
      <c r="P380" s="5" t="n">
        <v>4</v>
      </c>
      <c r="Q380" s="5" t="n">
        <v>13</v>
      </c>
      <c r="R380" s="5" t="n">
        <v>4</v>
      </c>
      <c r="S380" s="5" t="n">
        <v>0</v>
      </c>
      <c r="T380" s="5" t="n">
        <v>0</v>
      </c>
      <c r="U380" s="5" t="n">
        <v>2</v>
      </c>
      <c r="V380" s="5" t="n">
        <v>6</v>
      </c>
      <c r="W380" s="5" t="n">
        <v>6</v>
      </c>
      <c r="X380" s="5" t="n">
        <v>0</v>
      </c>
      <c r="Y380" s="5" t="n">
        <v>0</v>
      </c>
      <c r="Z380" s="5" t="n">
        <v>0</v>
      </c>
      <c r="AA380" s="5" t="n">
        <v>0</v>
      </c>
      <c r="AB380" s="5" t="n">
        <v>27.71863</v>
      </c>
      <c r="AC380" s="5" t="inlineStr">
        <is>
          <t>Wo können KI und Datenplattformen in Unternehmen, Verwaltung und öffentlicher Infrastruktur konkret Nutzen stiften?</t>
        </is>
      </c>
      <c r="AD380" s="5" t="inlineStr">
        <is>
          <t>KI, Daten und Verwaltungs-/Wirtschaftsanwendungen: BRICKMAKERS AG (profit_anchor, 5) + Johannes Gutenberg-Universität Mainz (academic_support, 4).</t>
        </is>
      </c>
      <c r="AE380" s="5" t="inlineStr">
        <is>
          <t>BRICKMAKERS AG | Johannes Gutenberg-Universität Mainz</t>
        </is>
      </c>
      <c r="AF380" s="5" t="inlineStr">
        <is>
          <t>ki-daten-verwaltung-wirtschaft-brickmakers-ag-johannes-gutenberg-universität-mainz</t>
        </is>
      </c>
    </row>
    <row r="381">
      <c r="A381" s="5" t="inlineStr">
        <is>
          <t>C0380</t>
        </is>
      </c>
      <c r="B381" s="5" t="inlineStr">
        <is>
          <t>x_0380</t>
        </is>
      </c>
      <c r="C381" s="5" t="n">
        <v>0</v>
      </c>
      <c r="D381" s="5" t="inlineStr">
        <is>
          <t>BRICKMAKERS AG</t>
        </is>
      </c>
      <c r="E381" s="5" t="inlineStr">
        <is>
          <t>SmartFactory KL e.V.</t>
        </is>
      </c>
      <c r="F381" s="5" t="n">
        <v>12</v>
      </c>
      <c r="G381" s="5" t="n">
        <v>81</v>
      </c>
      <c r="H381" s="5" t="inlineStr">
        <is>
          <t>profit_anchor</t>
        </is>
      </c>
      <c r="I381" t="inlineStr">
        <is>
          <t>technology_digital_anchor</t>
        </is>
      </c>
      <c r="J381" s="5" t="inlineStr">
        <is>
          <t>context_actor</t>
        </is>
      </c>
      <c r="K381" t="inlineStr">
        <is>
          <t>technology_digital_anchor</t>
        </is>
      </c>
      <c r="L381" s="5" t="inlineStr">
        <is>
          <t>technologie</t>
        </is>
      </c>
      <c r="M381" s="5" t="inlineStr">
        <is>
          <t>ki_daten_verwaltung_wirtschaft</t>
        </is>
      </c>
      <c r="N381" s="5" t="inlineStr">
        <is>
          <t>KI, Daten und Verwaltungs-/Wirtschaftsanwendungen</t>
        </is>
      </c>
      <c r="O381" s="5" t="n">
        <v>5</v>
      </c>
      <c r="P381" s="5" t="n">
        <v>4</v>
      </c>
      <c r="Q381" s="5" t="n">
        <v>13</v>
      </c>
      <c r="R381" s="5" t="n">
        <v>4</v>
      </c>
      <c r="S381" s="5" t="n">
        <v>0</v>
      </c>
      <c r="T381" s="5" t="n">
        <v>0</v>
      </c>
      <c r="U381" s="5" t="n">
        <v>2</v>
      </c>
      <c r="V381" s="5" t="n">
        <v>6</v>
      </c>
      <c r="W381" s="5" t="n">
        <v>6</v>
      </c>
      <c r="X381" s="5" t="n">
        <v>0</v>
      </c>
      <c r="Y381" s="5" t="n">
        <v>0</v>
      </c>
      <c r="Z381" s="5" t="n">
        <v>0</v>
      </c>
      <c r="AA381" s="5" t="n">
        <v>0</v>
      </c>
      <c r="AB381" s="5" t="n">
        <v>22.82541</v>
      </c>
      <c r="AC381" s="5" t="inlineStr">
        <is>
          <t>Wo können KI und Datenplattformen in Unternehmen, Verwaltung und öffentlicher Infrastruktur konkret Nutzen stiften?</t>
        </is>
      </c>
      <c r="AD381" s="5" t="inlineStr">
        <is>
          <t>KI, Daten und Verwaltungs-/Wirtschaftsanwendungen: BRICKMAKERS AG (profit_anchor, 5) + SmartFactory KL e.V. (context_actor, 4).</t>
        </is>
      </c>
      <c r="AE381" s="5" t="inlineStr">
        <is>
          <t>BRICKMAKERS AG | SmartFactory KL e.V.</t>
        </is>
      </c>
      <c r="AF381" s="5" t="inlineStr">
        <is>
          <t>ki-daten-verwaltung-wirtschaft-brickmakers-ag-smartfactory-kl-e-v</t>
        </is>
      </c>
    </row>
    <row r="382">
      <c r="A382" s="5" t="inlineStr">
        <is>
          <t>C0381</t>
        </is>
      </c>
      <c r="B382" s="5" t="inlineStr">
        <is>
          <t>x_0381</t>
        </is>
      </c>
      <c r="C382" s="5" t="n">
        <v>0</v>
      </c>
      <c r="D382" s="5" t="inlineStr">
        <is>
          <t>BRICKMAKERS AG</t>
        </is>
      </c>
      <c r="E382" s="5" t="inlineStr">
        <is>
          <t>TÜV Rheinland Berlin Brandenburg Pfalz e.V.</t>
        </is>
      </c>
      <c r="F382" s="5" t="n">
        <v>12</v>
      </c>
      <c r="G382" s="5" t="n">
        <v>91</v>
      </c>
      <c r="H382" s="5" t="inlineStr">
        <is>
          <t>profit_anchor</t>
        </is>
      </c>
      <c r="I382" t="inlineStr">
        <is>
          <t>technology_digital_anchor</t>
        </is>
      </c>
      <c r="J382" s="5" t="inlineStr">
        <is>
          <t>context_actor</t>
        </is>
      </c>
      <c r="K382" t="inlineStr">
        <is>
          <t>chamber_association_anchor</t>
        </is>
      </c>
      <c r="L382" s="5" t="inlineStr">
        <is>
          <t>technologie</t>
        </is>
      </c>
      <c r="M382" s="5" t="inlineStr">
        <is>
          <t>ki_daten_verwaltung_wirtschaft</t>
        </is>
      </c>
      <c r="N382" s="5" t="inlineStr">
        <is>
          <t>KI, Daten und Verwaltungs-/Wirtschaftsanwendungen</t>
        </is>
      </c>
      <c r="O382" s="5" t="n">
        <v>5</v>
      </c>
      <c r="P382" s="5" t="n">
        <v>4</v>
      </c>
      <c r="Q382" s="5" t="n">
        <v>13</v>
      </c>
      <c r="R382" s="5" t="n">
        <v>4</v>
      </c>
      <c r="S382" s="5" t="n">
        <v>0</v>
      </c>
      <c r="T382" s="5" t="n">
        <v>0</v>
      </c>
      <c r="U382" s="5" t="n">
        <v>2</v>
      </c>
      <c r="V382" s="5" t="n">
        <v>6</v>
      </c>
      <c r="W382" s="5" t="n">
        <v>6</v>
      </c>
      <c r="X382" s="5" t="n">
        <v>0</v>
      </c>
      <c r="Y382" s="5" t="n">
        <v>0</v>
      </c>
      <c r="Z382" s="5" t="n">
        <v>0</v>
      </c>
      <c r="AA382" s="5" t="n">
        <v>0</v>
      </c>
      <c r="AB382" s="5" t="n">
        <v>29.096803</v>
      </c>
      <c r="AC382" s="5" t="inlineStr">
        <is>
          <t>Wo können KI und Datenplattformen in Unternehmen, Verwaltung und öffentlicher Infrastruktur konkret Nutzen stiften?</t>
        </is>
      </c>
      <c r="AD382" s="5" t="inlineStr">
        <is>
          <t>KI, Daten und Verwaltungs-/Wirtschaftsanwendungen: BRICKMAKERS AG (profit_anchor, 5) + TÜV Rheinland Berlin Brandenburg Pfalz e.V. (context_actor, 4).</t>
        </is>
      </c>
      <c r="AE382" s="5" t="inlineStr">
        <is>
          <t>BRICKMAKERS AG | TÜV Rheinland Berlin Brandenburg Pfalz e.V.</t>
        </is>
      </c>
      <c r="AF382" s="5" t="inlineStr">
        <is>
          <t>ki-daten-verwaltung-wirtschaft-brickmakers-ag-tüv-rheinland-berlin-brandenburg-pfalz-e-v</t>
        </is>
      </c>
    </row>
    <row r="383">
      <c r="A383" s="5" t="inlineStr">
        <is>
          <t>C0382</t>
        </is>
      </c>
      <c r="B383" s="5" t="inlineStr">
        <is>
          <t>x_0382</t>
        </is>
      </c>
      <c r="C383" s="5" t="n">
        <v>0</v>
      </c>
      <c r="D383" s="5" t="inlineStr">
        <is>
          <t>BRICKMAKERS AG</t>
        </is>
      </c>
      <c r="E383" s="5" t="inlineStr">
        <is>
          <t>Universität Koblenz</t>
        </is>
      </c>
      <c r="F383" s="5" t="n">
        <v>12</v>
      </c>
      <c r="G383" s="5" t="n">
        <v>92</v>
      </c>
      <c r="H383" s="5" t="inlineStr">
        <is>
          <t>profit_anchor</t>
        </is>
      </c>
      <c r="I383" t="inlineStr">
        <is>
          <t>technology_digital_anchor</t>
        </is>
      </c>
      <c r="J383" s="5" t="inlineStr">
        <is>
          <t>academic_support</t>
        </is>
      </c>
      <c r="K383" t="inlineStr">
        <is>
          <t>university_research</t>
        </is>
      </c>
      <c r="L383" s="5" t="inlineStr">
        <is>
          <t>technologie</t>
        </is>
      </c>
      <c r="M383" s="5" t="inlineStr">
        <is>
          <t>ki_daten_verwaltung_wirtschaft</t>
        </is>
      </c>
      <c r="N383" s="5" t="inlineStr">
        <is>
          <t>KI, Daten und Verwaltungs-/Wirtschaftsanwendungen</t>
        </is>
      </c>
      <c r="O383" s="5" t="n">
        <v>5</v>
      </c>
      <c r="P383" s="5" t="n">
        <v>4</v>
      </c>
      <c r="Q383" s="5" t="n">
        <v>13</v>
      </c>
      <c r="R383" s="5" t="n">
        <v>4</v>
      </c>
      <c r="S383" s="5" t="n">
        <v>0</v>
      </c>
      <c r="T383" s="5" t="n">
        <v>0</v>
      </c>
      <c r="U383" s="5" t="n">
        <v>2</v>
      </c>
      <c r="V383" s="5" t="n">
        <v>6</v>
      </c>
      <c r="W383" s="5" t="n">
        <v>6</v>
      </c>
      <c r="X383" s="5" t="n">
        <v>0</v>
      </c>
      <c r="Y383" s="5" t="n">
        <v>0</v>
      </c>
      <c r="Z383" s="5" t="n">
        <v>0</v>
      </c>
      <c r="AA383" s="5" t="n">
        <v>0</v>
      </c>
      <c r="AB383" s="5" t="n">
        <v>27.71863</v>
      </c>
      <c r="AC383" s="5" t="inlineStr">
        <is>
          <t>Wo können KI und Datenplattformen in Unternehmen, Verwaltung und öffentlicher Infrastruktur konkret Nutzen stiften?</t>
        </is>
      </c>
      <c r="AD383" s="5" t="inlineStr">
        <is>
          <t>KI, Daten und Verwaltungs-/Wirtschaftsanwendungen: BRICKMAKERS AG (profit_anchor, 5) + Universität Koblenz (academic_support, 4).</t>
        </is>
      </c>
      <c r="AE383" s="5" t="inlineStr">
        <is>
          <t>BRICKMAKERS AG | Universität Koblenz</t>
        </is>
      </c>
      <c r="AF383" s="5" t="inlineStr">
        <is>
          <t>ki-daten-verwaltung-wirtschaft-brickmakers-ag-universität-koblenz</t>
        </is>
      </c>
    </row>
    <row r="384">
      <c r="A384" s="5" t="inlineStr">
        <is>
          <t>C0383</t>
        </is>
      </c>
      <c r="B384" s="5" t="inlineStr">
        <is>
          <t>x_0383</t>
        </is>
      </c>
      <c r="C384" s="5" t="n">
        <v>0</v>
      </c>
      <c r="D384" s="5" t="inlineStr">
        <is>
          <t>BRICKMAKERS AG</t>
        </is>
      </c>
      <c r="E384" s="5" t="inlineStr">
        <is>
          <t>Universität Trier</t>
        </is>
      </c>
      <c r="F384" s="5" t="n">
        <v>12</v>
      </c>
      <c r="G384" s="5" t="n">
        <v>93</v>
      </c>
      <c r="H384" s="5" t="inlineStr">
        <is>
          <t>profit_anchor</t>
        </is>
      </c>
      <c r="I384" t="inlineStr">
        <is>
          <t>technology_digital_anchor</t>
        </is>
      </c>
      <c r="J384" s="5" t="inlineStr">
        <is>
          <t>academic_support</t>
        </is>
      </c>
      <c r="K384" t="inlineStr">
        <is>
          <t>university_research</t>
        </is>
      </c>
      <c r="L384" s="5" t="inlineStr">
        <is>
          <t>technologie</t>
        </is>
      </c>
      <c r="M384" s="5" t="inlineStr">
        <is>
          <t>ki_daten_verwaltung_wirtschaft</t>
        </is>
      </c>
      <c r="N384" s="5" t="inlineStr">
        <is>
          <t>KI, Daten und Verwaltungs-/Wirtschaftsanwendungen</t>
        </is>
      </c>
      <c r="O384" s="5" t="n">
        <v>5</v>
      </c>
      <c r="P384" s="5" t="n">
        <v>4</v>
      </c>
      <c r="Q384" s="5" t="n">
        <v>13</v>
      </c>
      <c r="R384" s="5" t="n">
        <v>4</v>
      </c>
      <c r="S384" s="5" t="n">
        <v>0</v>
      </c>
      <c r="T384" s="5" t="n">
        <v>0</v>
      </c>
      <c r="U384" s="5" t="n">
        <v>2</v>
      </c>
      <c r="V384" s="5" t="n">
        <v>6</v>
      </c>
      <c r="W384" s="5" t="n">
        <v>6</v>
      </c>
      <c r="X384" s="5" t="n">
        <v>0</v>
      </c>
      <c r="Y384" s="5" t="n">
        <v>0</v>
      </c>
      <c r="Z384" s="5" t="n">
        <v>0</v>
      </c>
      <c r="AA384" s="5" t="n">
        <v>0</v>
      </c>
      <c r="AB384" s="5" t="n">
        <v>27.71863</v>
      </c>
      <c r="AC384" s="5" t="inlineStr">
        <is>
          <t>Wo können KI und Datenplattformen in Unternehmen, Verwaltung und öffentlicher Infrastruktur konkret Nutzen stiften?</t>
        </is>
      </c>
      <c r="AD384" s="5" t="inlineStr">
        <is>
          <t>KI, Daten und Verwaltungs-/Wirtschaftsanwendungen: BRICKMAKERS AG (profit_anchor, 5) + Universität Trier (academic_support, 4).</t>
        </is>
      </c>
      <c r="AE384" s="5" t="inlineStr">
        <is>
          <t>BRICKMAKERS AG | Universität Trier</t>
        </is>
      </c>
      <c r="AF384" s="5" t="inlineStr">
        <is>
          <t>ki-daten-verwaltung-wirtschaft-brickmakers-ag-universität-trier</t>
        </is>
      </c>
    </row>
    <row r="385">
      <c r="A385" s="5" t="inlineStr">
        <is>
          <t>C0384</t>
        </is>
      </c>
      <c r="B385" s="5" t="inlineStr">
        <is>
          <t>x_0384</t>
        </is>
      </c>
      <c r="C385" s="5" t="n">
        <v>0</v>
      </c>
      <c r="D385" s="5" t="inlineStr">
        <is>
          <t>Deutsche Telekom AG</t>
        </is>
      </c>
      <c r="E385" s="5" t="inlineStr">
        <is>
          <t>Hochschule Kaiserslautern</t>
        </is>
      </c>
      <c r="F385" s="5" t="n">
        <v>18</v>
      </c>
      <c r="G385" s="5" t="n">
        <v>37</v>
      </c>
      <c r="H385" s="5" t="inlineStr">
        <is>
          <t>profit_anchor</t>
        </is>
      </c>
      <c r="I385" t="inlineStr">
        <is>
          <t>technology_digital_anchor</t>
        </is>
      </c>
      <c r="J385" s="5" t="inlineStr">
        <is>
          <t>academic_support</t>
        </is>
      </c>
      <c r="K385" t="inlineStr">
        <is>
          <t>university_applied_sciences</t>
        </is>
      </c>
      <c r="L385" s="5" t="inlineStr">
        <is>
          <t>technologie</t>
        </is>
      </c>
      <c r="M385" s="5" t="inlineStr">
        <is>
          <t>ki_daten_verwaltung_wirtschaft</t>
        </is>
      </c>
      <c r="N385" s="5" t="inlineStr">
        <is>
          <t>KI, Daten und Verwaltungs-/Wirtschaftsanwendungen</t>
        </is>
      </c>
      <c r="O385" s="5" t="n">
        <v>5</v>
      </c>
      <c r="P385" s="5" t="n">
        <v>4</v>
      </c>
      <c r="Q385" s="5" t="n">
        <v>13</v>
      </c>
      <c r="R385" s="5" t="n">
        <v>4</v>
      </c>
      <c r="S385" s="5" t="n">
        <v>0</v>
      </c>
      <c r="T385" s="5" t="n">
        <v>0</v>
      </c>
      <c r="U385" s="5" t="n">
        <v>2</v>
      </c>
      <c r="V385" s="5" t="n">
        <v>6</v>
      </c>
      <c r="W385" s="5" t="n">
        <v>6</v>
      </c>
      <c r="X385" s="5" t="n">
        <v>0</v>
      </c>
      <c r="Y385" s="5" t="n">
        <v>0</v>
      </c>
      <c r="Z385" s="5" t="n">
        <v>0</v>
      </c>
      <c r="AA385" s="5" t="n">
        <v>0</v>
      </c>
      <c r="AB385" s="5" t="n">
        <v>24.721763</v>
      </c>
      <c r="AC385" s="5" t="inlineStr">
        <is>
          <t>Wo können KI und Datenplattformen in Unternehmen, Verwaltung und öffentlicher Infrastruktur konkret Nutzen stiften?</t>
        </is>
      </c>
      <c r="AD385" s="5" t="inlineStr">
        <is>
          <t>KI, Daten und Verwaltungs-/Wirtschaftsanwendungen: Deutsche Telekom AG (profit_anchor, 5) + Hochschule Kaiserslautern (academic_support, 4).</t>
        </is>
      </c>
      <c r="AE385" s="5" t="inlineStr">
        <is>
          <t>Deutsche Telekom AG | Hochschule Kaiserslautern</t>
        </is>
      </c>
      <c r="AF385" s="5" t="inlineStr">
        <is>
          <t>ki-daten-verwaltung-wirtschaft-deutsche-telekom-ag-hochschule-kaiserslautern</t>
        </is>
      </c>
    </row>
    <row r="386">
      <c r="A386" s="5" t="inlineStr">
        <is>
          <t>C0385</t>
        </is>
      </c>
      <c r="B386" s="5" t="inlineStr">
        <is>
          <t>x_0385</t>
        </is>
      </c>
      <c r="C386" s="5" t="n">
        <v>0</v>
      </c>
      <c r="D386" s="5" t="inlineStr">
        <is>
          <t>Deutsche Telekom AG</t>
        </is>
      </c>
      <c r="E386" s="5" t="inlineStr">
        <is>
          <t>Hochschule Mainz</t>
        </is>
      </c>
      <c r="F386" s="5" t="n">
        <v>18</v>
      </c>
      <c r="G386" s="5" t="n">
        <v>39</v>
      </c>
      <c r="H386" s="5" t="inlineStr">
        <is>
          <t>profit_anchor</t>
        </is>
      </c>
      <c r="I386" t="inlineStr">
        <is>
          <t>technology_digital_anchor</t>
        </is>
      </c>
      <c r="J386" s="5" t="inlineStr">
        <is>
          <t>academic_support</t>
        </is>
      </c>
      <c r="K386" t="inlineStr">
        <is>
          <t>university_applied_sciences</t>
        </is>
      </c>
      <c r="L386" s="5" t="inlineStr">
        <is>
          <t>technologie</t>
        </is>
      </c>
      <c r="M386" s="5" t="inlineStr">
        <is>
          <t>ki_daten_verwaltung_wirtschaft</t>
        </is>
      </c>
      <c r="N386" s="5" t="inlineStr">
        <is>
          <t>KI, Daten und Verwaltungs-/Wirtschaftsanwendungen</t>
        </is>
      </c>
      <c r="O386" s="5" t="n">
        <v>5</v>
      </c>
      <c r="P386" s="5" t="n">
        <v>4</v>
      </c>
      <c r="Q386" s="5" t="n">
        <v>13</v>
      </c>
      <c r="R386" s="5" t="n">
        <v>4</v>
      </c>
      <c r="S386" s="5" t="n">
        <v>0</v>
      </c>
      <c r="T386" s="5" t="n">
        <v>0</v>
      </c>
      <c r="U386" s="5" t="n">
        <v>2</v>
      </c>
      <c r="V386" s="5" t="n">
        <v>6</v>
      </c>
      <c r="W386" s="5" t="n">
        <v>6</v>
      </c>
      <c r="X386" s="5" t="n">
        <v>0</v>
      </c>
      <c r="Y386" s="5" t="n">
        <v>0</v>
      </c>
      <c r="Z386" s="5" t="n">
        <v>0</v>
      </c>
      <c r="AA386" s="5" t="n">
        <v>0</v>
      </c>
      <c r="AB386" s="5" t="n">
        <v>24.721763</v>
      </c>
      <c r="AC386" s="5" t="inlineStr">
        <is>
          <t>Wo können KI und Datenplattformen in Unternehmen, Verwaltung und öffentlicher Infrastruktur konkret Nutzen stiften?</t>
        </is>
      </c>
      <c r="AD386" s="5" t="inlineStr">
        <is>
          <t>KI, Daten und Verwaltungs-/Wirtschaftsanwendungen: Deutsche Telekom AG (profit_anchor, 5) + Hochschule Mainz (academic_support, 4).</t>
        </is>
      </c>
      <c r="AE386" s="5" t="inlineStr">
        <is>
          <t>Deutsche Telekom AG | Hochschule Mainz</t>
        </is>
      </c>
      <c r="AF386" s="5" t="inlineStr">
        <is>
          <t>ki-daten-verwaltung-wirtschaft-deutsche-telekom-ag-hochschule-mainz</t>
        </is>
      </c>
    </row>
    <row r="387">
      <c r="A387" s="5" t="inlineStr">
        <is>
          <t>C0386</t>
        </is>
      </c>
      <c r="B387" s="5" t="inlineStr">
        <is>
          <t>x_0386</t>
        </is>
      </c>
      <c r="C387" s="5" t="n">
        <v>0</v>
      </c>
      <c r="D387" s="5" t="inlineStr">
        <is>
          <t>Deutsche Telekom AG</t>
        </is>
      </c>
      <c r="E387" s="5" t="inlineStr">
        <is>
          <t>Johannes Gutenberg-Universität Mainz</t>
        </is>
      </c>
      <c r="F387" s="5" t="n">
        <v>18</v>
      </c>
      <c r="G387" s="5" t="n">
        <v>49</v>
      </c>
      <c r="H387" s="5" t="inlineStr">
        <is>
          <t>profit_anchor</t>
        </is>
      </c>
      <c r="I387" t="inlineStr">
        <is>
          <t>technology_digital_anchor</t>
        </is>
      </c>
      <c r="J387" s="5" t="inlineStr">
        <is>
          <t>academic_support</t>
        </is>
      </c>
      <c r="K387" t="inlineStr">
        <is>
          <t>university_research</t>
        </is>
      </c>
      <c r="L387" s="5" t="inlineStr">
        <is>
          <t>technologie</t>
        </is>
      </c>
      <c r="M387" s="5" t="inlineStr">
        <is>
          <t>ki_daten_verwaltung_wirtschaft</t>
        </is>
      </c>
      <c r="N387" s="5" t="inlineStr">
        <is>
          <t>KI, Daten und Verwaltungs-/Wirtschaftsanwendungen</t>
        </is>
      </c>
      <c r="O387" s="5" t="n">
        <v>5</v>
      </c>
      <c r="P387" s="5" t="n">
        <v>4</v>
      </c>
      <c r="Q387" s="5" t="n">
        <v>13</v>
      </c>
      <c r="R387" s="5" t="n">
        <v>4</v>
      </c>
      <c r="S387" s="5" t="n">
        <v>0</v>
      </c>
      <c r="T387" s="5" t="n">
        <v>0</v>
      </c>
      <c r="U387" s="5" t="n">
        <v>2</v>
      </c>
      <c r="V387" s="5" t="n">
        <v>6</v>
      </c>
      <c r="W387" s="5" t="n">
        <v>6</v>
      </c>
      <c r="X387" s="5" t="n">
        <v>0</v>
      </c>
      <c r="Y387" s="5" t="n">
        <v>0</v>
      </c>
      <c r="Z387" s="5" t="n">
        <v>0</v>
      </c>
      <c r="AA387" s="5" t="n">
        <v>0</v>
      </c>
      <c r="AB387" s="5" t="n">
        <v>27.71863</v>
      </c>
      <c r="AC387" s="5" t="inlineStr">
        <is>
          <t>Wo können KI und Datenplattformen in Unternehmen, Verwaltung und öffentlicher Infrastruktur konkret Nutzen stiften?</t>
        </is>
      </c>
      <c r="AD387" s="5" t="inlineStr">
        <is>
          <t>KI, Daten und Verwaltungs-/Wirtschaftsanwendungen: Deutsche Telekom AG (profit_anchor, 5) + Johannes Gutenberg-Universität Mainz (academic_support, 4).</t>
        </is>
      </c>
      <c r="AE387" s="5" t="inlineStr">
        <is>
          <t>Deutsche Telekom AG | Johannes Gutenberg-Universität Mainz</t>
        </is>
      </c>
      <c r="AF387" s="5" t="inlineStr">
        <is>
          <t>ki-daten-verwaltung-wirtschaft-deutsche-telekom-ag-johannes-gutenberg-universität-mainz</t>
        </is>
      </c>
    </row>
    <row r="388">
      <c r="A388" s="5" t="inlineStr">
        <is>
          <t>C0387</t>
        </is>
      </c>
      <c r="B388" s="5" t="inlineStr">
        <is>
          <t>x_0387</t>
        </is>
      </c>
      <c r="C388" s="5" t="n">
        <v>0</v>
      </c>
      <c r="D388" s="5" t="inlineStr">
        <is>
          <t>Deutsche Telekom AG</t>
        </is>
      </c>
      <c r="E388" s="5" t="inlineStr">
        <is>
          <t>SmartFactory KL e.V.</t>
        </is>
      </c>
      <c r="F388" s="5" t="n">
        <v>18</v>
      </c>
      <c r="G388" s="5" t="n">
        <v>81</v>
      </c>
      <c r="H388" s="5" t="inlineStr">
        <is>
          <t>profit_anchor</t>
        </is>
      </c>
      <c r="I388" t="inlineStr">
        <is>
          <t>technology_digital_anchor</t>
        </is>
      </c>
      <c r="J388" s="5" t="inlineStr">
        <is>
          <t>context_actor</t>
        </is>
      </c>
      <c r="K388" t="inlineStr">
        <is>
          <t>technology_digital_anchor</t>
        </is>
      </c>
      <c r="L388" s="5" t="inlineStr">
        <is>
          <t>technologie</t>
        </is>
      </c>
      <c r="M388" s="5" t="inlineStr">
        <is>
          <t>ki_daten_verwaltung_wirtschaft</t>
        </is>
      </c>
      <c r="N388" s="5" t="inlineStr">
        <is>
          <t>KI, Daten und Verwaltungs-/Wirtschaftsanwendungen</t>
        </is>
      </c>
      <c r="O388" s="5" t="n">
        <v>5</v>
      </c>
      <c r="P388" s="5" t="n">
        <v>4</v>
      </c>
      <c r="Q388" s="5" t="n">
        <v>13</v>
      </c>
      <c r="R388" s="5" t="n">
        <v>4</v>
      </c>
      <c r="S388" s="5" t="n">
        <v>0</v>
      </c>
      <c r="T388" s="5" t="n">
        <v>0</v>
      </c>
      <c r="U388" s="5" t="n">
        <v>2</v>
      </c>
      <c r="V388" s="5" t="n">
        <v>6</v>
      </c>
      <c r="W388" s="5" t="n">
        <v>6</v>
      </c>
      <c r="X388" s="5" t="n">
        <v>0</v>
      </c>
      <c r="Y388" s="5" t="n">
        <v>0</v>
      </c>
      <c r="Z388" s="5" t="n">
        <v>0</v>
      </c>
      <c r="AA388" s="5" t="n">
        <v>0</v>
      </c>
      <c r="AB388" s="5" t="n">
        <v>22.82541</v>
      </c>
      <c r="AC388" s="5" t="inlineStr">
        <is>
          <t>Wo können KI und Datenplattformen in Unternehmen, Verwaltung und öffentlicher Infrastruktur konkret Nutzen stiften?</t>
        </is>
      </c>
      <c r="AD388" s="5" t="inlineStr">
        <is>
          <t>KI, Daten und Verwaltungs-/Wirtschaftsanwendungen: Deutsche Telekom AG (profit_anchor, 5) + SmartFactory KL e.V. (context_actor, 4).</t>
        </is>
      </c>
      <c r="AE388" s="5" t="inlineStr">
        <is>
          <t>Deutsche Telekom AG | SmartFactory KL e.V.</t>
        </is>
      </c>
      <c r="AF388" s="5" t="inlineStr">
        <is>
          <t>ki-daten-verwaltung-wirtschaft-deutsche-telekom-ag-smartfactory-kl-e-v</t>
        </is>
      </c>
    </row>
    <row r="389">
      <c r="A389" s="5" t="inlineStr">
        <is>
          <t>C0388</t>
        </is>
      </c>
      <c r="B389" s="5" t="inlineStr">
        <is>
          <t>x_0388</t>
        </is>
      </c>
      <c r="C389" s="5" t="n">
        <v>0</v>
      </c>
      <c r="D389" s="5" t="inlineStr">
        <is>
          <t>Deutsche Telekom AG</t>
        </is>
      </c>
      <c r="E389" s="5" t="inlineStr">
        <is>
          <t>TÜV Rheinland Berlin Brandenburg Pfalz e.V.</t>
        </is>
      </c>
      <c r="F389" s="5" t="n">
        <v>18</v>
      </c>
      <c r="G389" s="5" t="n">
        <v>91</v>
      </c>
      <c r="H389" s="5" t="inlineStr">
        <is>
          <t>profit_anchor</t>
        </is>
      </c>
      <c r="I389" t="inlineStr">
        <is>
          <t>technology_digital_anchor</t>
        </is>
      </c>
      <c r="J389" s="5" t="inlineStr">
        <is>
          <t>context_actor</t>
        </is>
      </c>
      <c r="K389" t="inlineStr">
        <is>
          <t>chamber_association_anchor</t>
        </is>
      </c>
      <c r="L389" s="5" t="inlineStr">
        <is>
          <t>technologie</t>
        </is>
      </c>
      <c r="M389" s="5" t="inlineStr">
        <is>
          <t>ki_daten_verwaltung_wirtschaft</t>
        </is>
      </c>
      <c r="N389" s="5" t="inlineStr">
        <is>
          <t>KI, Daten und Verwaltungs-/Wirtschaftsanwendungen</t>
        </is>
      </c>
      <c r="O389" s="5" t="n">
        <v>5</v>
      </c>
      <c r="P389" s="5" t="n">
        <v>4</v>
      </c>
      <c r="Q389" s="5" t="n">
        <v>13</v>
      </c>
      <c r="R389" s="5" t="n">
        <v>4</v>
      </c>
      <c r="S389" s="5" t="n">
        <v>0</v>
      </c>
      <c r="T389" s="5" t="n">
        <v>0</v>
      </c>
      <c r="U389" s="5" t="n">
        <v>2</v>
      </c>
      <c r="V389" s="5" t="n">
        <v>6</v>
      </c>
      <c r="W389" s="5" t="n">
        <v>6</v>
      </c>
      <c r="X389" s="5" t="n">
        <v>0</v>
      </c>
      <c r="Y389" s="5" t="n">
        <v>0</v>
      </c>
      <c r="Z389" s="5" t="n">
        <v>0</v>
      </c>
      <c r="AA389" s="5" t="n">
        <v>0</v>
      </c>
      <c r="AB389" s="5" t="n">
        <v>29.096803</v>
      </c>
      <c r="AC389" s="5" t="inlineStr">
        <is>
          <t>Wo können KI und Datenplattformen in Unternehmen, Verwaltung und öffentlicher Infrastruktur konkret Nutzen stiften?</t>
        </is>
      </c>
      <c r="AD389" s="5" t="inlineStr">
        <is>
          <t>KI, Daten und Verwaltungs-/Wirtschaftsanwendungen: Deutsche Telekom AG (profit_anchor, 5) + TÜV Rheinland Berlin Brandenburg Pfalz e.V. (context_actor, 4).</t>
        </is>
      </c>
      <c r="AE389" s="5" t="inlineStr">
        <is>
          <t>Deutsche Telekom AG | TÜV Rheinland Berlin Brandenburg Pfalz e.V.</t>
        </is>
      </c>
      <c r="AF389" s="5" t="inlineStr">
        <is>
          <t>ki-daten-verwaltung-wirtschaft-deutsche-telekom-ag-tüv-rheinland-berlin-brandenburg-pfalz-e-v</t>
        </is>
      </c>
    </row>
    <row r="390">
      <c r="A390" s="5" t="inlineStr">
        <is>
          <t>C0389</t>
        </is>
      </c>
      <c r="B390" s="5" t="inlineStr">
        <is>
          <t>x_0389</t>
        </is>
      </c>
      <c r="C390" s="5" t="n">
        <v>0</v>
      </c>
      <c r="D390" s="5" t="inlineStr">
        <is>
          <t>Deutsche Telekom AG</t>
        </is>
      </c>
      <c r="E390" s="5" t="inlineStr">
        <is>
          <t>Universität Koblenz</t>
        </is>
      </c>
      <c r="F390" s="5" t="n">
        <v>18</v>
      </c>
      <c r="G390" s="5" t="n">
        <v>92</v>
      </c>
      <c r="H390" s="5" t="inlineStr">
        <is>
          <t>profit_anchor</t>
        </is>
      </c>
      <c r="I390" t="inlineStr">
        <is>
          <t>technology_digital_anchor</t>
        </is>
      </c>
      <c r="J390" s="5" t="inlineStr">
        <is>
          <t>academic_support</t>
        </is>
      </c>
      <c r="K390" t="inlineStr">
        <is>
          <t>university_research</t>
        </is>
      </c>
      <c r="L390" s="5" t="inlineStr">
        <is>
          <t>technologie</t>
        </is>
      </c>
      <c r="M390" s="5" t="inlineStr">
        <is>
          <t>ki_daten_verwaltung_wirtschaft</t>
        </is>
      </c>
      <c r="N390" s="5" t="inlineStr">
        <is>
          <t>KI, Daten und Verwaltungs-/Wirtschaftsanwendungen</t>
        </is>
      </c>
      <c r="O390" s="5" t="n">
        <v>5</v>
      </c>
      <c r="P390" s="5" t="n">
        <v>4</v>
      </c>
      <c r="Q390" s="5" t="n">
        <v>13</v>
      </c>
      <c r="R390" s="5" t="n">
        <v>4</v>
      </c>
      <c r="S390" s="5" t="n">
        <v>0</v>
      </c>
      <c r="T390" s="5" t="n">
        <v>0</v>
      </c>
      <c r="U390" s="5" t="n">
        <v>2</v>
      </c>
      <c r="V390" s="5" t="n">
        <v>6</v>
      </c>
      <c r="W390" s="5" t="n">
        <v>6</v>
      </c>
      <c r="X390" s="5" t="n">
        <v>0</v>
      </c>
      <c r="Y390" s="5" t="n">
        <v>0</v>
      </c>
      <c r="Z390" s="5" t="n">
        <v>0</v>
      </c>
      <c r="AA390" s="5" t="n">
        <v>0</v>
      </c>
      <c r="AB390" s="5" t="n">
        <v>27.71863</v>
      </c>
      <c r="AC390" s="5" t="inlineStr">
        <is>
          <t>Wo können KI und Datenplattformen in Unternehmen, Verwaltung und öffentlicher Infrastruktur konkret Nutzen stiften?</t>
        </is>
      </c>
      <c r="AD390" s="5" t="inlineStr">
        <is>
          <t>KI, Daten und Verwaltungs-/Wirtschaftsanwendungen: Deutsche Telekom AG (profit_anchor, 5) + Universität Koblenz (academic_support, 4).</t>
        </is>
      </c>
      <c r="AE390" s="5" t="inlineStr">
        <is>
          <t>Deutsche Telekom AG | Universität Koblenz</t>
        </is>
      </c>
      <c r="AF390" s="5" t="inlineStr">
        <is>
          <t>ki-daten-verwaltung-wirtschaft-deutsche-telekom-ag-universität-koblenz</t>
        </is>
      </c>
    </row>
    <row r="391">
      <c r="A391" s="5" t="inlineStr">
        <is>
          <t>C0390</t>
        </is>
      </c>
      <c r="B391" s="5" t="inlineStr">
        <is>
          <t>x_0390</t>
        </is>
      </c>
      <c r="C391" s="5" t="n">
        <v>0</v>
      </c>
      <c r="D391" s="5" t="inlineStr">
        <is>
          <t>Deutsche Telekom AG</t>
        </is>
      </c>
      <c r="E391" s="5" t="inlineStr">
        <is>
          <t>Universität Trier</t>
        </is>
      </c>
      <c r="F391" s="5" t="n">
        <v>18</v>
      </c>
      <c r="G391" s="5" t="n">
        <v>93</v>
      </c>
      <c r="H391" s="5" t="inlineStr">
        <is>
          <t>profit_anchor</t>
        </is>
      </c>
      <c r="I391" t="inlineStr">
        <is>
          <t>technology_digital_anchor</t>
        </is>
      </c>
      <c r="J391" s="5" t="inlineStr">
        <is>
          <t>academic_support</t>
        </is>
      </c>
      <c r="K391" t="inlineStr">
        <is>
          <t>university_research</t>
        </is>
      </c>
      <c r="L391" s="5" t="inlineStr">
        <is>
          <t>technologie</t>
        </is>
      </c>
      <c r="M391" s="5" t="inlineStr">
        <is>
          <t>ki_daten_verwaltung_wirtschaft</t>
        </is>
      </c>
      <c r="N391" s="5" t="inlineStr">
        <is>
          <t>KI, Daten und Verwaltungs-/Wirtschaftsanwendungen</t>
        </is>
      </c>
      <c r="O391" s="5" t="n">
        <v>5</v>
      </c>
      <c r="P391" s="5" t="n">
        <v>4</v>
      </c>
      <c r="Q391" s="5" t="n">
        <v>13</v>
      </c>
      <c r="R391" s="5" t="n">
        <v>4</v>
      </c>
      <c r="S391" s="5" t="n">
        <v>0</v>
      </c>
      <c r="T391" s="5" t="n">
        <v>0</v>
      </c>
      <c r="U391" s="5" t="n">
        <v>2</v>
      </c>
      <c r="V391" s="5" t="n">
        <v>6</v>
      </c>
      <c r="W391" s="5" t="n">
        <v>6</v>
      </c>
      <c r="X391" s="5" t="n">
        <v>0</v>
      </c>
      <c r="Y391" s="5" t="n">
        <v>0</v>
      </c>
      <c r="Z391" s="5" t="n">
        <v>0</v>
      </c>
      <c r="AA391" s="5" t="n">
        <v>0</v>
      </c>
      <c r="AB391" s="5" t="n">
        <v>27.71863</v>
      </c>
      <c r="AC391" s="5" t="inlineStr">
        <is>
          <t>Wo können KI und Datenplattformen in Unternehmen, Verwaltung und öffentlicher Infrastruktur konkret Nutzen stiften?</t>
        </is>
      </c>
      <c r="AD391" s="5" t="inlineStr">
        <is>
          <t>KI, Daten und Verwaltungs-/Wirtschaftsanwendungen: Deutsche Telekom AG (profit_anchor, 5) + Universität Trier (academic_support, 4).</t>
        </is>
      </c>
      <c r="AE391" s="5" t="inlineStr">
        <is>
          <t>Deutsche Telekom AG | Universität Trier</t>
        </is>
      </c>
      <c r="AF391" s="5" t="inlineStr">
        <is>
          <t>ki-daten-verwaltung-wirtschaft-deutsche-telekom-ag-universität-trier</t>
        </is>
      </c>
    </row>
    <row r="392">
      <c r="A392" s="5" t="inlineStr">
        <is>
          <t>C0391</t>
        </is>
      </c>
      <c r="B392" s="5" t="inlineStr">
        <is>
          <t>x_0391</t>
        </is>
      </c>
      <c r="C392" s="5" t="n">
        <v>0</v>
      </c>
      <c r="D392" s="5" t="inlineStr">
        <is>
          <t>Deutsche Universität für Verwaltungswissenschaften Speyer</t>
        </is>
      </c>
      <c r="E392" s="5" t="inlineStr">
        <is>
          <t>IQIB - Institut für qualifizierende Innovationsforschung und -beratung GmbH</t>
        </is>
      </c>
      <c r="F392" s="5" t="n">
        <v>19</v>
      </c>
      <c r="G392" s="5" t="n">
        <v>46</v>
      </c>
      <c r="H392" s="5" t="inlineStr">
        <is>
          <t>academic_support</t>
        </is>
      </c>
      <c r="I392" t="inlineStr">
        <is>
          <t>university_research</t>
        </is>
      </c>
      <c r="J392" s="5" t="inlineStr">
        <is>
          <t>profit_anchor</t>
        </is>
      </c>
      <c r="K392" t="inlineStr">
        <is>
          <t>technology_digital_anchor</t>
        </is>
      </c>
      <c r="L392" s="5" t="inlineStr">
        <is>
          <t>technologie</t>
        </is>
      </c>
      <c r="M392" s="5" t="inlineStr">
        <is>
          <t>ki_daten_verwaltung_wirtschaft</t>
        </is>
      </c>
      <c r="N392" s="5" t="inlineStr">
        <is>
          <t>KI, Daten und Verwaltungs-/Wirtschaftsanwendungen</t>
        </is>
      </c>
      <c r="O392" s="5" t="n">
        <v>5</v>
      </c>
      <c r="P392" s="5" t="n">
        <v>4</v>
      </c>
      <c r="Q392" s="5" t="n">
        <v>13</v>
      </c>
      <c r="R392" s="5" t="n">
        <v>4</v>
      </c>
      <c r="S392" s="5" t="n">
        <v>0</v>
      </c>
      <c r="T392" s="5" t="n">
        <v>0</v>
      </c>
      <c r="U392" s="5" t="n">
        <v>2</v>
      </c>
      <c r="V392" s="5" t="n">
        <v>6</v>
      </c>
      <c r="W392" s="5" t="n">
        <v>6</v>
      </c>
      <c r="X392" s="5" t="n">
        <v>0</v>
      </c>
      <c r="Y392" s="5" t="n">
        <v>0</v>
      </c>
      <c r="Z392" s="5" t="n">
        <v>0</v>
      </c>
      <c r="AA392" s="5" t="n">
        <v>0</v>
      </c>
      <c r="AB392" s="5" t="n">
        <v>27.71863</v>
      </c>
      <c r="AC392" s="5" t="inlineStr">
        <is>
          <t>Wo können KI und Datenplattformen in Unternehmen, Verwaltung und öffentlicher Infrastruktur konkret Nutzen stiften?</t>
        </is>
      </c>
      <c r="AD392" s="5" t="inlineStr">
        <is>
          <t>KI, Daten und Verwaltungs-/Wirtschaftsanwendungen: Deutsche Universität für Verwaltungswissenschaften Speyer (academic_support, 5) + IQIB - Institut für qualifizierende Innovationsforschung und -beratung GmbH (profit_anchor, 4).</t>
        </is>
      </c>
      <c r="AE392" s="5" t="inlineStr">
        <is>
          <t>Deutsche Universität für Verwaltungswissenschaften Speyer | IQIB - Institut für qualifizierende Innovationsforschung und -beratung GmbH</t>
        </is>
      </c>
      <c r="AF392" s="5" t="inlineStr">
        <is>
          <t>ki-daten-verwaltung-wirtschaft-deutsche-universität-für-verwaltungswissenschaften-speyer-iqib-i</t>
        </is>
      </c>
    </row>
    <row r="393">
      <c r="A393" s="5" t="inlineStr">
        <is>
          <t>C0392</t>
        </is>
      </c>
      <c r="B393" s="5" t="inlineStr">
        <is>
          <t>x_0392</t>
        </is>
      </c>
      <c r="C393" s="5" t="n">
        <v>0</v>
      </c>
      <c r="D393" s="5" t="inlineStr">
        <is>
          <t>Deutsche Universität für Verwaltungswissenschaften Speyer</t>
        </is>
      </c>
      <c r="E393" s="5" t="inlineStr">
        <is>
          <t>ITK Engineering GmbH</t>
        </is>
      </c>
      <c r="F393" s="5" t="n">
        <v>19</v>
      </c>
      <c r="G393" s="5" t="n">
        <v>47</v>
      </c>
      <c r="H393" s="5" t="inlineStr">
        <is>
          <t>academic_support</t>
        </is>
      </c>
      <c r="I393" t="inlineStr">
        <is>
          <t>university_research</t>
        </is>
      </c>
      <c r="J393" s="5" t="inlineStr">
        <is>
          <t>profit_anchor</t>
        </is>
      </c>
      <c r="K393" t="inlineStr">
        <is>
          <t>technology_digital_anchor</t>
        </is>
      </c>
      <c r="L393" s="5" t="inlineStr">
        <is>
          <t>technologie</t>
        </is>
      </c>
      <c r="M393" s="5" t="inlineStr">
        <is>
          <t>ki_daten_verwaltung_wirtschaft</t>
        </is>
      </c>
      <c r="N393" s="5" t="inlineStr">
        <is>
          <t>KI, Daten und Verwaltungs-/Wirtschaftsanwendungen</t>
        </is>
      </c>
      <c r="O393" s="5" t="n">
        <v>5</v>
      </c>
      <c r="P393" s="5" t="n">
        <v>4</v>
      </c>
      <c r="Q393" s="5" t="n">
        <v>13</v>
      </c>
      <c r="R393" s="5" t="n">
        <v>4</v>
      </c>
      <c r="S393" s="5" t="n">
        <v>0</v>
      </c>
      <c r="T393" s="5" t="n">
        <v>0</v>
      </c>
      <c r="U393" s="5" t="n">
        <v>2</v>
      </c>
      <c r="V393" s="5" t="n">
        <v>6</v>
      </c>
      <c r="W393" s="5" t="n">
        <v>6</v>
      </c>
      <c r="X393" s="5" t="n">
        <v>0</v>
      </c>
      <c r="Y393" s="5" t="n">
        <v>0</v>
      </c>
      <c r="Z393" s="5" t="n">
        <v>0</v>
      </c>
      <c r="AA393" s="5" t="n">
        <v>0</v>
      </c>
      <c r="AB393" s="5" t="n">
        <v>27.71863</v>
      </c>
      <c r="AC393" s="5" t="inlineStr">
        <is>
          <t>Wo können KI und Datenplattformen in Unternehmen, Verwaltung und öffentlicher Infrastruktur konkret Nutzen stiften?</t>
        </is>
      </c>
      <c r="AD393" s="5" t="inlineStr">
        <is>
          <t>KI, Daten und Verwaltungs-/Wirtschaftsanwendungen: Deutsche Universität für Verwaltungswissenschaften Speyer (academic_support, 5) + ITK Engineering GmbH (profit_anchor, 4).</t>
        </is>
      </c>
      <c r="AE393" s="5" t="inlineStr">
        <is>
          <t>Deutsche Universität für Verwaltungswissenschaften Speyer | ITK Engineering GmbH</t>
        </is>
      </c>
      <c r="AF393" s="5" t="inlineStr">
        <is>
          <t>ki-daten-verwaltung-wirtschaft-deutsche-universität-für-verwaltungswissenschaften-speyer-itk-en</t>
        </is>
      </c>
    </row>
    <row r="394">
      <c r="A394" s="5" t="inlineStr">
        <is>
          <t>C0393</t>
        </is>
      </c>
      <c r="B394" s="5" t="inlineStr">
        <is>
          <t>x_0393</t>
        </is>
      </c>
      <c r="C394" s="5" t="n">
        <v>0</v>
      </c>
      <c r="D394" s="5" t="inlineStr">
        <is>
          <t>Empolis Information Management GmbH</t>
        </is>
      </c>
      <c r="E394" s="5" t="inlineStr">
        <is>
          <t>Hochschule Kaiserslautern</t>
        </is>
      </c>
      <c r="F394" s="5" t="n">
        <v>23</v>
      </c>
      <c r="G394" s="5" t="n">
        <v>37</v>
      </c>
      <c r="H394" s="5" t="inlineStr">
        <is>
          <t>profit_anchor</t>
        </is>
      </c>
      <c r="I394" t="inlineStr">
        <is>
          <t>technology_digital_anchor</t>
        </is>
      </c>
      <c r="J394" s="5" t="inlineStr">
        <is>
          <t>academic_support</t>
        </is>
      </c>
      <c r="K394" t="inlineStr">
        <is>
          <t>university_applied_sciences</t>
        </is>
      </c>
      <c r="L394" s="5" t="inlineStr">
        <is>
          <t>technologie</t>
        </is>
      </c>
      <c r="M394" s="5" t="inlineStr">
        <is>
          <t>ki_daten_verwaltung_wirtschaft</t>
        </is>
      </c>
      <c r="N394" s="5" t="inlineStr">
        <is>
          <t>KI, Daten und Verwaltungs-/Wirtschaftsanwendungen</t>
        </is>
      </c>
      <c r="O394" s="5" t="n">
        <v>5</v>
      </c>
      <c r="P394" s="5" t="n">
        <v>4</v>
      </c>
      <c r="Q394" s="5" t="n">
        <v>13</v>
      </c>
      <c r="R394" s="5" t="n">
        <v>4</v>
      </c>
      <c r="S394" s="5" t="n">
        <v>0</v>
      </c>
      <c r="T394" s="5" t="n">
        <v>0</v>
      </c>
      <c r="U394" s="5" t="n">
        <v>2</v>
      </c>
      <c r="V394" s="5" t="n">
        <v>6</v>
      </c>
      <c r="W394" s="5" t="n">
        <v>6</v>
      </c>
      <c r="X394" s="5" t="n">
        <v>0</v>
      </c>
      <c r="Y394" s="5" t="n">
        <v>0</v>
      </c>
      <c r="Z394" s="5" t="n">
        <v>0</v>
      </c>
      <c r="AA394" s="5" t="n">
        <v>0</v>
      </c>
      <c r="AB394" s="5" t="n">
        <v>24.721763</v>
      </c>
      <c r="AC394" s="5" t="inlineStr">
        <is>
          <t>Wo können KI und Datenplattformen in Unternehmen, Verwaltung und öffentlicher Infrastruktur konkret Nutzen stiften?</t>
        </is>
      </c>
      <c r="AD394" s="5" t="inlineStr">
        <is>
          <t>KI, Daten und Verwaltungs-/Wirtschaftsanwendungen: Empolis Information Management GmbH (profit_anchor, 5) + Hochschule Kaiserslautern (academic_support, 4).</t>
        </is>
      </c>
      <c r="AE394" s="5" t="inlineStr">
        <is>
          <t>Empolis Information Management GmbH | Hochschule Kaiserslautern</t>
        </is>
      </c>
      <c r="AF394" s="5" t="inlineStr">
        <is>
          <t>ki-daten-verwaltung-wirtschaft-empolis-information-management-gmbh-hochschule-kaiserslautern</t>
        </is>
      </c>
    </row>
    <row r="395">
      <c r="A395" s="5" t="inlineStr">
        <is>
          <t>C0394</t>
        </is>
      </c>
      <c r="B395" s="5" t="inlineStr">
        <is>
          <t>x_0394</t>
        </is>
      </c>
      <c r="C395" s="5" t="n">
        <v>0</v>
      </c>
      <c r="D395" s="5" t="inlineStr">
        <is>
          <t>Empolis Information Management GmbH</t>
        </is>
      </c>
      <c r="E395" s="5" t="inlineStr">
        <is>
          <t>Hochschule Mainz</t>
        </is>
      </c>
      <c r="F395" s="5" t="n">
        <v>23</v>
      </c>
      <c r="G395" s="5" t="n">
        <v>39</v>
      </c>
      <c r="H395" s="5" t="inlineStr">
        <is>
          <t>profit_anchor</t>
        </is>
      </c>
      <c r="I395" t="inlineStr">
        <is>
          <t>technology_digital_anchor</t>
        </is>
      </c>
      <c r="J395" s="5" t="inlineStr">
        <is>
          <t>academic_support</t>
        </is>
      </c>
      <c r="K395" t="inlineStr">
        <is>
          <t>university_applied_sciences</t>
        </is>
      </c>
      <c r="L395" s="5" t="inlineStr">
        <is>
          <t>technologie</t>
        </is>
      </c>
      <c r="M395" s="5" t="inlineStr">
        <is>
          <t>ki_daten_verwaltung_wirtschaft</t>
        </is>
      </c>
      <c r="N395" s="5" t="inlineStr">
        <is>
          <t>KI, Daten und Verwaltungs-/Wirtschaftsanwendungen</t>
        </is>
      </c>
      <c r="O395" s="5" t="n">
        <v>5</v>
      </c>
      <c r="P395" s="5" t="n">
        <v>4</v>
      </c>
      <c r="Q395" s="5" t="n">
        <v>13</v>
      </c>
      <c r="R395" s="5" t="n">
        <v>4</v>
      </c>
      <c r="S395" s="5" t="n">
        <v>0</v>
      </c>
      <c r="T395" s="5" t="n">
        <v>0</v>
      </c>
      <c r="U395" s="5" t="n">
        <v>2</v>
      </c>
      <c r="V395" s="5" t="n">
        <v>6</v>
      </c>
      <c r="W395" s="5" t="n">
        <v>6</v>
      </c>
      <c r="X395" s="5" t="n">
        <v>0</v>
      </c>
      <c r="Y395" s="5" t="n">
        <v>0</v>
      </c>
      <c r="Z395" s="5" t="n">
        <v>0</v>
      </c>
      <c r="AA395" s="5" t="n">
        <v>0</v>
      </c>
      <c r="AB395" s="5" t="n">
        <v>24.721763</v>
      </c>
      <c r="AC395" s="5" t="inlineStr">
        <is>
          <t>Wo können KI und Datenplattformen in Unternehmen, Verwaltung und öffentlicher Infrastruktur konkret Nutzen stiften?</t>
        </is>
      </c>
      <c r="AD395" s="5" t="inlineStr">
        <is>
          <t>KI, Daten und Verwaltungs-/Wirtschaftsanwendungen: Empolis Information Management GmbH (profit_anchor, 5) + Hochschule Mainz (academic_support, 4).</t>
        </is>
      </c>
      <c r="AE395" s="5" t="inlineStr">
        <is>
          <t>Empolis Information Management GmbH | Hochschule Mainz</t>
        </is>
      </c>
      <c r="AF395" s="5" t="inlineStr">
        <is>
          <t>ki-daten-verwaltung-wirtschaft-empolis-information-management-gmbh-hochschule-mainz</t>
        </is>
      </c>
    </row>
    <row r="396">
      <c r="A396" s="5" t="inlineStr">
        <is>
          <t>C0395</t>
        </is>
      </c>
      <c r="B396" s="5" t="inlineStr">
        <is>
          <t>x_0395</t>
        </is>
      </c>
      <c r="C396" s="5" t="n">
        <v>0</v>
      </c>
      <c r="D396" s="5" t="inlineStr">
        <is>
          <t>Deutsche Telekom AG</t>
        </is>
      </c>
      <c r="E396" s="5" t="inlineStr">
        <is>
          <t>Hochschule Mainz</t>
        </is>
      </c>
      <c r="F396" s="5" t="n">
        <v>18</v>
      </c>
      <c r="G396" s="5" t="n">
        <v>39</v>
      </c>
      <c r="H396" s="5" t="inlineStr">
        <is>
          <t>profit_anchor</t>
        </is>
      </c>
      <c r="I396" t="inlineStr">
        <is>
          <t>technology_digital_anchor</t>
        </is>
      </c>
      <c r="J396" s="5" t="inlineStr">
        <is>
          <t>academic_support</t>
        </is>
      </c>
      <c r="K396" t="inlineStr">
        <is>
          <t>university_applied_sciences</t>
        </is>
      </c>
      <c r="L396" s="5" t="inlineStr">
        <is>
          <t>kultur</t>
        </is>
      </c>
      <c r="M396" s="5" t="inlineStr">
        <is>
          <t>kreativwirtschaft_digitale_medien</t>
        </is>
      </c>
      <c r="N396" s="5" t="inlineStr">
        <is>
          <t>Kreativwirtschaft, Medien und digitale Öffentlichkeit</t>
        </is>
      </c>
      <c r="O396" s="5" t="n">
        <v>4</v>
      </c>
      <c r="P396" s="5" t="n">
        <v>5</v>
      </c>
      <c r="Q396" s="5" t="n">
        <v>13</v>
      </c>
      <c r="R396" s="5" t="n">
        <v>4</v>
      </c>
      <c r="S396" s="5" t="n">
        <v>0</v>
      </c>
      <c r="T396" s="5" t="n">
        <v>0</v>
      </c>
      <c r="U396" s="5" t="n">
        <v>2</v>
      </c>
      <c r="V396" s="5" t="n">
        <v>6</v>
      </c>
      <c r="W396" s="5" t="n">
        <v>6</v>
      </c>
      <c r="X396" s="5" t="n">
        <v>0</v>
      </c>
      <c r="Y396" s="5" t="n">
        <v>0</v>
      </c>
      <c r="Z396" s="5" t="n">
        <v>0</v>
      </c>
      <c r="AA396" s="5" t="n">
        <v>0</v>
      </c>
      <c r="AB396" s="5" t="n">
        <v>24.721763</v>
      </c>
      <c r="AC396" s="5" t="inlineStr">
        <is>
          <t>Wie verändern Medien, Plattformen und kreative Arbeit die öffentliche Wahrnehmung von Rheinland-Pfalz?</t>
        </is>
      </c>
      <c r="AD396" s="5" t="inlineStr">
        <is>
          <t>Kreativwirtschaft, Medien und digitale Öffentlichkeit: Deutsche Telekom AG (profit_anchor, 4) + Hochschule Mainz (academic_support, 5).</t>
        </is>
      </c>
      <c r="AE396" s="5" t="inlineStr">
        <is>
          <t>Deutsche Telekom AG | Hochschule Mainz</t>
        </is>
      </c>
      <c r="AF396" s="5" t="inlineStr">
        <is>
          <t>kreativwirtschaft-digitale-medien-deutsche-telekom-ag-hochschule-mainz</t>
        </is>
      </c>
    </row>
    <row r="397">
      <c r="A397" s="5" t="inlineStr">
        <is>
          <t>C0396</t>
        </is>
      </c>
      <c r="B397" s="5" t="inlineStr">
        <is>
          <t>x_0396</t>
        </is>
      </c>
      <c r="C397" s="5" t="n">
        <v>0</v>
      </c>
      <c r="D397" s="5" t="inlineStr">
        <is>
          <t>Deutsche Telekom AG</t>
        </is>
      </c>
      <c r="E397" s="5" t="inlineStr">
        <is>
          <t>RPR1.</t>
        </is>
      </c>
      <c r="F397" s="5" t="n">
        <v>18</v>
      </c>
      <c r="G397" s="5" t="n">
        <v>76</v>
      </c>
      <c r="H397" s="5" t="inlineStr">
        <is>
          <t>profit_anchor</t>
        </is>
      </c>
      <c r="I397" t="inlineStr">
        <is>
          <t>technology_digital_anchor</t>
        </is>
      </c>
      <c r="J397" s="5" t="inlineStr">
        <is>
          <t>context_actor</t>
        </is>
      </c>
      <c r="K397" t="inlineStr">
        <is>
          <t>media_publicity_anchor</t>
        </is>
      </c>
      <c r="L397" s="5" t="inlineStr">
        <is>
          <t>kultur</t>
        </is>
      </c>
      <c r="M397" s="5" t="inlineStr">
        <is>
          <t>kreativwirtschaft_digitale_medien</t>
        </is>
      </c>
      <c r="N397" s="5" t="inlineStr">
        <is>
          <t>Kreativwirtschaft, Medien und digitale Öffentlichkeit</t>
        </is>
      </c>
      <c r="O397" s="5" t="n">
        <v>4</v>
      </c>
      <c r="P397" s="5" t="n">
        <v>5</v>
      </c>
      <c r="Q397" s="5" t="n">
        <v>13</v>
      </c>
      <c r="R397" s="5" t="n">
        <v>4</v>
      </c>
      <c r="S397" s="5" t="n">
        <v>0</v>
      </c>
      <c r="T397" s="5" t="n">
        <v>0</v>
      </c>
      <c r="U397" s="5" t="n">
        <v>2</v>
      </c>
      <c r="V397" s="5" t="n">
        <v>6</v>
      </c>
      <c r="W397" s="5" t="n">
        <v>6</v>
      </c>
      <c r="X397" s="5" t="n">
        <v>0</v>
      </c>
      <c r="Y397" s="5" t="n">
        <v>0</v>
      </c>
      <c r="Z397" s="5" t="n">
        <v>0</v>
      </c>
      <c r="AA397" s="5" t="n">
        <v>0</v>
      </c>
      <c r="AB397" s="5" t="n">
        <v>32.280005</v>
      </c>
      <c r="AC397" s="5" t="inlineStr">
        <is>
          <t>Wie verändern Medien, Plattformen und kreative Arbeit die öffentliche Wahrnehmung von Rheinland-Pfalz?</t>
        </is>
      </c>
      <c r="AD397" s="5" t="inlineStr">
        <is>
          <t>Kreativwirtschaft, Medien und digitale Öffentlichkeit: Deutsche Telekom AG (profit_anchor, 4) + RPR1. (context_actor, 5).</t>
        </is>
      </c>
      <c r="AE397" s="5" t="inlineStr">
        <is>
          <t>Deutsche Telekom AG | RPR1.</t>
        </is>
      </c>
      <c r="AF397" s="5" t="inlineStr">
        <is>
          <t>kreativwirtschaft-digitale-medien-deutsche-telekom-ag-rpr1</t>
        </is>
      </c>
    </row>
    <row r="398">
      <c r="A398" s="5" t="inlineStr">
        <is>
          <t>C0397</t>
        </is>
      </c>
      <c r="B398" s="5" t="inlineStr">
        <is>
          <t>x_0397</t>
        </is>
      </c>
      <c r="C398" s="5" t="n">
        <v>0</v>
      </c>
      <c r="D398" s="5" t="inlineStr">
        <is>
          <t>Deutsche Telekom AG</t>
        </is>
      </c>
      <c r="E398" s="5" t="inlineStr">
        <is>
          <t>SWR – Südwestrundfunk</t>
        </is>
      </c>
      <c r="F398" s="5" t="n">
        <v>18</v>
      </c>
      <c r="G398" s="5" t="n">
        <v>86</v>
      </c>
      <c r="H398" s="5" t="inlineStr">
        <is>
          <t>profit_anchor</t>
        </is>
      </c>
      <c r="I398" t="inlineStr">
        <is>
          <t>technology_digital_anchor</t>
        </is>
      </c>
      <c r="J398" s="5" t="inlineStr">
        <is>
          <t>context_actor</t>
        </is>
      </c>
      <c r="K398" t="inlineStr">
        <is>
          <t>media_publicity_anchor</t>
        </is>
      </c>
      <c r="L398" s="5" t="inlineStr">
        <is>
          <t>kultur</t>
        </is>
      </c>
      <c r="M398" s="5" t="inlineStr">
        <is>
          <t>kreativwirtschaft_digitale_medien</t>
        </is>
      </c>
      <c r="N398" s="5" t="inlineStr">
        <is>
          <t>Kreativwirtschaft, Medien und digitale Öffentlichkeit</t>
        </is>
      </c>
      <c r="O398" s="5" t="n">
        <v>4</v>
      </c>
      <c r="P398" s="5" t="n">
        <v>5</v>
      </c>
      <c r="Q398" s="5" t="n">
        <v>13</v>
      </c>
      <c r="R398" s="5" t="n">
        <v>4</v>
      </c>
      <c r="S398" s="5" t="n">
        <v>0</v>
      </c>
      <c r="T398" s="5" t="n">
        <v>0</v>
      </c>
      <c r="U398" s="5" t="n">
        <v>2</v>
      </c>
      <c r="V398" s="5" t="n">
        <v>6</v>
      </c>
      <c r="W398" s="5" t="n">
        <v>6</v>
      </c>
      <c r="X398" s="5" t="n">
        <v>0</v>
      </c>
      <c r="Y398" s="5" t="n">
        <v>0</v>
      </c>
      <c r="Z398" s="5" t="n">
        <v>0</v>
      </c>
      <c r="AA398" s="5" t="n">
        <v>0</v>
      </c>
      <c r="AB398" s="5" t="n">
        <v>32.280005</v>
      </c>
      <c r="AC398" s="5" t="inlineStr">
        <is>
          <t>Wie verändern Medien, Plattformen und kreative Arbeit die öffentliche Wahrnehmung von Rheinland-Pfalz?</t>
        </is>
      </c>
      <c r="AD398" s="5" t="inlineStr">
        <is>
          <t>Kreativwirtschaft, Medien und digitale Öffentlichkeit: Deutsche Telekom AG (profit_anchor, 4) + SWR – Südwestrundfunk (context_actor, 5).</t>
        </is>
      </c>
      <c r="AE398" s="5" t="inlineStr">
        <is>
          <t>Deutsche Telekom AG | SWR – Südwestrundfunk</t>
        </is>
      </c>
      <c r="AF398" s="5" t="inlineStr">
        <is>
          <t>kreativwirtschaft-digitale-medien-deutsche-telekom-ag-swr-südwestrundfunk</t>
        </is>
      </c>
    </row>
    <row r="399">
      <c r="A399" s="5" t="inlineStr">
        <is>
          <t>C0398</t>
        </is>
      </c>
      <c r="B399" s="5" t="inlineStr">
        <is>
          <t>x_0398</t>
        </is>
      </c>
      <c r="C399" s="5" t="n">
        <v>0</v>
      </c>
      <c r="D399" s="5" t="inlineStr">
        <is>
          <t>Deutsche Telekom AG</t>
        </is>
      </c>
      <c r="E399" s="5" t="inlineStr">
        <is>
          <t>ZDF – Zweites Deutsches Fernsehen</t>
        </is>
      </c>
      <c r="F399" s="5" t="n">
        <v>18</v>
      </c>
      <c r="G399" s="5" t="n">
        <v>102</v>
      </c>
      <c r="H399" s="5" t="inlineStr">
        <is>
          <t>profit_anchor</t>
        </is>
      </c>
      <c r="I399" t="inlineStr">
        <is>
          <t>technology_digital_anchor</t>
        </is>
      </c>
      <c r="J399" s="5" t="inlineStr">
        <is>
          <t>context_actor</t>
        </is>
      </c>
      <c r="K399" t="inlineStr">
        <is>
          <t>media_publicity_anchor</t>
        </is>
      </c>
      <c r="L399" s="5" t="inlineStr">
        <is>
          <t>kultur</t>
        </is>
      </c>
      <c r="M399" s="5" t="inlineStr">
        <is>
          <t>kreativwirtschaft_digitale_medien</t>
        </is>
      </c>
      <c r="N399" s="5" t="inlineStr">
        <is>
          <t>Kreativwirtschaft, Medien und digitale Öffentlichkeit</t>
        </is>
      </c>
      <c r="O399" s="5" t="n">
        <v>4</v>
      </c>
      <c r="P399" s="5" t="n">
        <v>5</v>
      </c>
      <c r="Q399" s="5" t="n">
        <v>13</v>
      </c>
      <c r="R399" s="5" t="n">
        <v>4</v>
      </c>
      <c r="S399" s="5" t="n">
        <v>0</v>
      </c>
      <c r="T399" s="5" t="n">
        <v>0</v>
      </c>
      <c r="U399" s="5" t="n">
        <v>2</v>
      </c>
      <c r="V399" s="5" t="n">
        <v>6</v>
      </c>
      <c r="W399" s="5" t="n">
        <v>6</v>
      </c>
      <c r="X399" s="5" t="n">
        <v>0</v>
      </c>
      <c r="Y399" s="5" t="n">
        <v>0</v>
      </c>
      <c r="Z399" s="5" t="n">
        <v>0</v>
      </c>
      <c r="AA399" s="5" t="n">
        <v>0</v>
      </c>
      <c r="AB399" s="5" t="n">
        <v>32.280005</v>
      </c>
      <c r="AC399" s="5" t="inlineStr">
        <is>
          <t>Wie verändern Medien, Plattformen und kreative Arbeit die öffentliche Wahrnehmung von Rheinland-Pfalz?</t>
        </is>
      </c>
      <c r="AD399" s="5" t="inlineStr">
        <is>
          <t>Kreativwirtschaft, Medien und digitale Öffentlichkeit: Deutsche Telekom AG (profit_anchor, 4) + ZDF – Zweites Deutsches Fernsehen (context_actor, 5).</t>
        </is>
      </c>
      <c r="AE399" s="5" t="inlineStr">
        <is>
          <t>Deutsche Telekom AG | ZDF – Zweites Deutsches Fernsehen</t>
        </is>
      </c>
      <c r="AF399" s="5" t="inlineStr">
        <is>
          <t>kreativwirtschaft-digitale-medien-deutsche-telekom-ag-zdf-zweites-deutsches-fernsehen</t>
        </is>
      </c>
    </row>
    <row r="400">
      <c r="A400" s="5" t="inlineStr">
        <is>
          <t>C0399</t>
        </is>
      </c>
      <c r="B400" s="5" t="inlineStr">
        <is>
          <t>x_0399</t>
        </is>
      </c>
      <c r="C400" s="5" t="n">
        <v>0</v>
      </c>
      <c r="D400" s="5" t="inlineStr">
        <is>
          <t>Entwicklungsagentur Rheinland-Pfalz e.V.</t>
        </is>
      </c>
      <c r="E400" s="5" t="inlineStr">
        <is>
          <t>Johannes Gutenberg-Universität Mainz</t>
        </is>
      </c>
      <c r="F400" s="5" t="n">
        <v>25</v>
      </c>
      <c r="G400" s="5" t="n">
        <v>49</v>
      </c>
      <c r="H400" s="5" t="inlineStr">
        <is>
          <t>implementation_anchor</t>
        </is>
      </c>
      <c r="I400" t="inlineStr">
        <is>
          <t>public_policy_anchor</t>
        </is>
      </c>
      <c r="J400" s="5" t="inlineStr">
        <is>
          <t>academic_support</t>
        </is>
      </c>
      <c r="K400" t="inlineStr">
        <is>
          <t>university_research</t>
        </is>
      </c>
      <c r="L400" s="5" t="inlineStr">
        <is>
          <t>kultur</t>
        </is>
      </c>
      <c r="M400" s="5" t="inlineStr">
        <is>
          <t>kreativwirtschaft_digitale_medien</t>
        </is>
      </c>
      <c r="N400" s="5" t="inlineStr">
        <is>
          <t>Kreativwirtschaft, Medien und digitale Öffentlichkeit</t>
        </is>
      </c>
      <c r="O400" s="5" t="n">
        <v>3</v>
      </c>
      <c r="P400" s="5" t="n">
        <v>4</v>
      </c>
      <c r="Q400" s="5" t="n">
        <v>11</v>
      </c>
      <c r="R400" s="5" t="n">
        <v>4</v>
      </c>
      <c r="S400" s="5" t="n">
        <v>0</v>
      </c>
      <c r="T400" s="5" t="n">
        <v>0</v>
      </c>
      <c r="U400" s="5" t="n">
        <v>2</v>
      </c>
      <c r="V400" s="5" t="n">
        <v>7</v>
      </c>
      <c r="W400" s="5" t="n">
        <v>7</v>
      </c>
      <c r="X400" s="5" t="n">
        <v>0</v>
      </c>
      <c r="Y400" s="5" t="n">
        <v>0</v>
      </c>
      <c r="Z400" s="5" t="n">
        <v>0</v>
      </c>
      <c r="AA400" s="5" t="n">
        <v>0</v>
      </c>
      <c r="AB400" s="5" t="n">
        <v>43.789373</v>
      </c>
      <c r="AC400" s="5" t="inlineStr">
        <is>
          <t>Wie verändern Medien, Plattformen und kreative Arbeit die öffentliche Wahrnehmung von Rheinland-Pfalz?</t>
        </is>
      </c>
      <c r="AD400" s="5" t="inlineStr">
        <is>
          <t>Kreativwirtschaft, Medien und digitale Öffentlichkeit: Entwicklungsagentur Rheinland-Pfalz e.V. (implementation_anchor, 3) + Johannes Gutenberg-Universität Mainz (academic_support, 4).</t>
        </is>
      </c>
      <c r="AE400" s="5" t="inlineStr">
        <is>
          <t>Entwicklungsagentur Rheinland-Pfalz e.V. | Johannes Gutenberg-Universität Mainz</t>
        </is>
      </c>
      <c r="AF400" s="5" t="inlineStr">
        <is>
          <t>kreativwirtschaft-digitale-medien-entwicklungsagentur-rheinland-pfalz-e-v-johannes-gutenberg-un</t>
        </is>
      </c>
    </row>
    <row r="401">
      <c r="A401" s="5" t="inlineStr">
        <is>
          <t>C0400</t>
        </is>
      </c>
      <c r="B401" s="5" t="inlineStr">
        <is>
          <t>x_0400</t>
        </is>
      </c>
      <c r="C401" s="5" t="n">
        <v>0</v>
      </c>
      <c r="D401" s="5" t="inlineStr">
        <is>
          <t>Architektenkammer Rheinland-Pfalz</t>
        </is>
      </c>
      <c r="E401" s="5" t="inlineStr">
        <is>
          <t>Bauwirtschaft Rheinland-Pfalz e.V.</t>
        </is>
      </c>
      <c r="F401" s="5" t="n">
        <v>3</v>
      </c>
      <c r="G401" s="5" t="n">
        <v>8</v>
      </c>
      <c r="H401" s="5" t="inlineStr">
        <is>
          <t>implementation_anchor</t>
        </is>
      </c>
      <c r="I401" t="inlineStr">
        <is>
          <t>construction_planning_anchor</t>
        </is>
      </c>
      <c r="J401" s="5" t="inlineStr">
        <is>
          <t>context_actor</t>
        </is>
      </c>
      <c r="K401" t="inlineStr">
        <is>
          <t>construction_planning_anchor</t>
        </is>
      </c>
      <c r="L401" s="5" t="inlineStr">
        <is>
          <t>nachhaltigkeit</t>
        </is>
      </c>
      <c r="M401" s="5" t="inlineStr">
        <is>
          <t>kreislaufwirtschaft_bau_ebv</t>
        </is>
      </c>
      <c r="N401" s="5" t="inlineStr">
        <is>
          <t>Kreislaufwirtschaft, Bau und Ersatzbaustoffverordnung</t>
        </is>
      </c>
      <c r="O401" s="5" t="n">
        <v>4</v>
      </c>
      <c r="P401" s="5" t="n">
        <v>5</v>
      </c>
      <c r="Q401" s="5" t="n">
        <v>13</v>
      </c>
      <c r="R401" s="5" t="n">
        <v>4</v>
      </c>
      <c r="S401" s="5" t="n">
        <v>0</v>
      </c>
      <c r="T401" s="5" t="n">
        <v>0</v>
      </c>
      <c r="U401" s="5" t="n">
        <v>2</v>
      </c>
      <c r="V401" s="5" t="n">
        <v>6</v>
      </c>
      <c r="W401" s="5" t="n">
        <v>6</v>
      </c>
      <c r="X401" s="5" t="n">
        <v>0</v>
      </c>
      <c r="Y401" s="5" t="n">
        <v>0</v>
      </c>
      <c r="Z401" s="5" t="n">
        <v>0</v>
      </c>
      <c r="AA401" s="5" t="n">
        <v>0</v>
      </c>
      <c r="AB401" s="5" t="n">
        <v>37.129023</v>
      </c>
      <c r="AC401" s="5" t="inlineStr">
        <is>
          <t>Wie können Bauwirtschaft, Rohstoffindustrie, Kommunen und Verwaltung Kreislaufwirtschaft praktisch und rechtssicher umsetzen?</t>
        </is>
      </c>
      <c r="AD401" s="5" t="inlineStr">
        <is>
          <t>Kreislaufwirtschaft, Bau und Ersatzbaustoffverordnung: Architektenkammer Rheinland-Pfalz (implementation_anchor, 4) + Bauwirtschaft Rheinland-Pfalz e.V. (context_actor, 5).</t>
        </is>
      </c>
      <c r="AE401" s="5" t="inlineStr">
        <is>
          <t>Architektenkammer Rheinland-Pfalz | Bauwirtschaft Rheinland-Pfalz e.V.</t>
        </is>
      </c>
      <c r="AF401" s="5" t="inlineStr">
        <is>
          <t>kreislaufwirtschaft-bau-ebv-architektenkammer-rheinland-pfalz-bauwirtschaft-rheinland-pfalz-e-v</t>
        </is>
      </c>
    </row>
    <row r="402">
      <c r="A402" s="5" t="inlineStr">
        <is>
          <t>C0401</t>
        </is>
      </c>
      <c r="B402" s="5" t="inlineStr">
        <is>
          <t>x_0401</t>
        </is>
      </c>
      <c r="C402" s="5" t="n">
        <v>0</v>
      </c>
      <c r="D402" s="5" t="inlineStr">
        <is>
          <t>Architektenkammer Rheinland-Pfalz</t>
        </is>
      </c>
      <c r="E402" s="5" t="inlineStr">
        <is>
          <t>Landkreistag Rheinland-Pfalz</t>
        </is>
      </c>
      <c r="F402" s="5" t="n">
        <v>3</v>
      </c>
      <c r="G402" s="5" t="n">
        <v>63</v>
      </c>
      <c r="H402" s="5" t="inlineStr">
        <is>
          <t>implementation_anchor</t>
        </is>
      </c>
      <c r="I402" t="inlineStr">
        <is>
          <t>construction_planning_anchor</t>
        </is>
      </c>
      <c r="J402" s="5" t="inlineStr">
        <is>
          <t>context_actor</t>
        </is>
      </c>
      <c r="K402" t="inlineStr">
        <is>
          <t>public_policy_anchor</t>
        </is>
      </c>
      <c r="L402" s="5" t="inlineStr">
        <is>
          <t>nachhaltigkeit</t>
        </is>
      </c>
      <c r="M402" s="5" t="inlineStr">
        <is>
          <t>kreislaufwirtschaft_bau_ebv</t>
        </is>
      </c>
      <c r="N402" s="5" t="inlineStr">
        <is>
          <t>Kreislaufwirtschaft, Bau und Ersatzbaustoffverordnung</t>
        </is>
      </c>
      <c r="O402" s="5" t="n">
        <v>4</v>
      </c>
      <c r="P402" s="5" t="n">
        <v>5</v>
      </c>
      <c r="Q402" s="5" t="n">
        <v>13</v>
      </c>
      <c r="R402" s="5" t="n">
        <v>4</v>
      </c>
      <c r="S402" s="5" t="n">
        <v>0</v>
      </c>
      <c r="T402" s="5" t="n">
        <v>0</v>
      </c>
      <c r="U402" s="5" t="n">
        <v>2</v>
      </c>
      <c r="V402" s="5" t="n">
        <v>6</v>
      </c>
      <c r="W402" s="5" t="n">
        <v>6</v>
      </c>
      <c r="X402" s="5" t="n">
        <v>0</v>
      </c>
      <c r="Y402" s="5" t="n">
        <v>0</v>
      </c>
      <c r="Z402" s="5" t="n">
        <v>0</v>
      </c>
      <c r="AA402" s="5" t="n">
        <v>0</v>
      </c>
      <c r="AB402" s="5" t="n">
        <v>40.103928</v>
      </c>
      <c r="AC402" s="5" t="inlineStr">
        <is>
          <t>Wie können Bauwirtschaft, Rohstoffindustrie, Kommunen und Verwaltung Kreislaufwirtschaft praktisch und rechtssicher umsetzen?</t>
        </is>
      </c>
      <c r="AD402" s="5" t="inlineStr">
        <is>
          <t>Kreislaufwirtschaft, Bau und Ersatzbaustoffverordnung: Architektenkammer Rheinland-Pfalz (implementation_anchor, 4) + Landkreistag Rheinland-Pfalz (context_actor, 5).</t>
        </is>
      </c>
      <c r="AE402" s="5" t="inlineStr">
        <is>
          <t>Architektenkammer Rheinland-Pfalz | Landkreistag Rheinland-Pfalz</t>
        </is>
      </c>
      <c r="AF402" s="5" t="inlineStr">
        <is>
          <t>kreislaufwirtschaft-bau-ebv-architektenkammer-rheinland-pfalz-landkreistag-rheinland-pfalz</t>
        </is>
      </c>
    </row>
    <row r="403">
      <c r="A403" s="5" t="inlineStr">
        <is>
          <t>C0402</t>
        </is>
      </c>
      <c r="B403" s="5" t="inlineStr">
        <is>
          <t>x_0402</t>
        </is>
      </c>
      <c r="C403" s="5" t="n">
        <v>0</v>
      </c>
      <c r="D403" s="5" t="inlineStr">
        <is>
          <t>Architektenkammer Rheinland-Pfalz</t>
        </is>
      </c>
      <c r="E403" s="5" t="inlineStr">
        <is>
          <t>Städtetag Rheinland-Pfalz</t>
        </is>
      </c>
      <c r="F403" s="5" t="n">
        <v>3</v>
      </c>
      <c r="G403" s="5" t="n">
        <v>85</v>
      </c>
      <c r="H403" s="5" t="inlineStr">
        <is>
          <t>implementation_anchor</t>
        </is>
      </c>
      <c r="I403" t="inlineStr">
        <is>
          <t>construction_planning_anchor</t>
        </is>
      </c>
      <c r="J403" s="5" t="inlineStr">
        <is>
          <t>context_actor</t>
        </is>
      </c>
      <c r="K403" t="inlineStr">
        <is>
          <t>public_policy_anchor</t>
        </is>
      </c>
      <c r="L403" s="5" t="inlineStr">
        <is>
          <t>nachhaltigkeit</t>
        </is>
      </c>
      <c r="M403" s="5" t="inlineStr">
        <is>
          <t>kreislaufwirtschaft_bau_ebv</t>
        </is>
      </c>
      <c r="N403" s="5" t="inlineStr">
        <is>
          <t>Kreislaufwirtschaft, Bau und Ersatzbaustoffverordnung</t>
        </is>
      </c>
      <c r="O403" s="5" t="n">
        <v>4</v>
      </c>
      <c r="P403" s="5" t="n">
        <v>5</v>
      </c>
      <c r="Q403" s="5" t="n">
        <v>13</v>
      </c>
      <c r="R403" s="5" t="n">
        <v>4</v>
      </c>
      <c r="S403" s="5" t="n">
        <v>0</v>
      </c>
      <c r="T403" s="5" t="n">
        <v>0</v>
      </c>
      <c r="U403" s="5" t="n">
        <v>2</v>
      </c>
      <c r="V403" s="5" t="n">
        <v>6</v>
      </c>
      <c r="W403" s="5" t="n">
        <v>6</v>
      </c>
      <c r="X403" s="5" t="n">
        <v>0</v>
      </c>
      <c r="Y403" s="5" t="n">
        <v>0</v>
      </c>
      <c r="Z403" s="5" t="n">
        <v>0</v>
      </c>
      <c r="AA403" s="5" t="n">
        <v>0</v>
      </c>
      <c r="AB403" s="5" t="n">
        <v>40.103928</v>
      </c>
      <c r="AC403" s="5" t="inlineStr">
        <is>
          <t>Wie können Bauwirtschaft, Rohstoffindustrie, Kommunen und Verwaltung Kreislaufwirtschaft praktisch und rechtssicher umsetzen?</t>
        </is>
      </c>
      <c r="AD403" s="5" t="inlineStr">
        <is>
          <t>Kreislaufwirtschaft, Bau und Ersatzbaustoffverordnung: Architektenkammer Rheinland-Pfalz (implementation_anchor, 4) + Städtetag Rheinland-Pfalz (context_actor, 5).</t>
        </is>
      </c>
      <c r="AE403" s="5" t="inlineStr">
        <is>
          <t>Architektenkammer Rheinland-Pfalz | Städtetag Rheinland-Pfalz</t>
        </is>
      </c>
      <c r="AF403" s="5" t="inlineStr">
        <is>
          <t>kreislaufwirtschaft-bau-ebv-architektenkammer-rheinland-pfalz-städtetag-rheinland-pfalz</t>
        </is>
      </c>
    </row>
    <row r="404">
      <c r="A404" s="5" t="inlineStr">
        <is>
          <t>C0403</t>
        </is>
      </c>
      <c r="B404" s="5" t="inlineStr">
        <is>
          <t>x_0403</t>
        </is>
      </c>
      <c r="C404" s="5" t="n">
        <v>0</v>
      </c>
      <c r="D404" s="5" t="inlineStr">
        <is>
          <t>Bauwirtschaft Rheinland-Pfalz e.V.</t>
        </is>
      </c>
      <c r="E404" s="5" t="inlineStr">
        <is>
          <t>Ingenieurkammer Rheinland-Pfalz</t>
        </is>
      </c>
      <c r="F404" s="5" t="n">
        <v>8</v>
      </c>
      <c r="G404" s="5" t="n">
        <v>44</v>
      </c>
      <c r="H404" s="5" t="inlineStr">
        <is>
          <t>context_actor</t>
        </is>
      </c>
      <c r="I404" t="inlineStr">
        <is>
          <t>construction_planning_anchor</t>
        </is>
      </c>
      <c r="J404" s="5" t="inlineStr">
        <is>
          <t>implementation_anchor</t>
        </is>
      </c>
      <c r="K404" t="inlineStr">
        <is>
          <t>construction_planning_anchor</t>
        </is>
      </c>
      <c r="L404" s="5" t="inlineStr">
        <is>
          <t>nachhaltigkeit</t>
        </is>
      </c>
      <c r="M404" s="5" t="inlineStr">
        <is>
          <t>kreislaufwirtschaft_bau_ebv</t>
        </is>
      </c>
      <c r="N404" s="5" t="inlineStr">
        <is>
          <t>Kreislaufwirtschaft, Bau und Ersatzbaustoffverordnung</t>
        </is>
      </c>
      <c r="O404" s="5" t="n">
        <v>5</v>
      </c>
      <c r="P404" s="5" t="n">
        <v>4</v>
      </c>
      <c r="Q404" s="5" t="n">
        <v>13</v>
      </c>
      <c r="R404" s="5" t="n">
        <v>4</v>
      </c>
      <c r="S404" s="5" t="n">
        <v>0</v>
      </c>
      <c r="T404" s="5" t="n">
        <v>0</v>
      </c>
      <c r="U404" s="5" t="n">
        <v>2</v>
      </c>
      <c r="V404" s="5" t="n">
        <v>6</v>
      </c>
      <c r="W404" s="5" t="n">
        <v>6</v>
      </c>
      <c r="X404" s="5" t="n">
        <v>0</v>
      </c>
      <c r="Y404" s="5" t="n">
        <v>0</v>
      </c>
      <c r="Z404" s="5" t="n">
        <v>0</v>
      </c>
      <c r="AA404" s="5" t="n">
        <v>0</v>
      </c>
      <c r="AB404" s="5" t="n">
        <v>37.129023</v>
      </c>
      <c r="AC404" s="5" t="inlineStr">
        <is>
          <t>Wie können Bauwirtschaft, Rohstoffindustrie, Kommunen und Verwaltung Kreislaufwirtschaft praktisch und rechtssicher umsetzen?</t>
        </is>
      </c>
      <c r="AD404" s="5" t="inlineStr">
        <is>
          <t>Kreislaufwirtschaft, Bau und Ersatzbaustoffverordnung: Bauwirtschaft Rheinland-Pfalz e.V. (context_actor, 5) + Ingenieurkammer Rheinland-Pfalz (implementation_anchor, 4).</t>
        </is>
      </c>
      <c r="AE404" s="5" t="inlineStr">
        <is>
          <t>Bauwirtschaft Rheinland-Pfalz e.V. | Ingenieurkammer Rheinland-Pfalz</t>
        </is>
      </c>
      <c r="AF404" s="5" t="inlineStr">
        <is>
          <t>kreislaufwirtschaft-bau-ebv-bauwirtschaft-rheinland-pfalz-e-v-ingenieurkammer-rheinland-pfalz</t>
        </is>
      </c>
    </row>
    <row r="405">
      <c r="A405" s="5" t="inlineStr">
        <is>
          <t>C0404</t>
        </is>
      </c>
      <c r="B405" s="5" t="inlineStr">
        <is>
          <t>x_0404</t>
        </is>
      </c>
      <c r="C405" s="5" t="n">
        <v>0</v>
      </c>
      <c r="D405" s="5" t="inlineStr">
        <is>
          <t>Bauwirtschaft Rheinland-Pfalz e.V.</t>
        </is>
      </c>
      <c r="E405" s="5" t="inlineStr">
        <is>
          <t>Karl Gemünden GmbH &amp; Co. KG</t>
        </is>
      </c>
      <c r="F405" s="5" t="n">
        <v>8</v>
      </c>
      <c r="G405" s="5" t="n">
        <v>52</v>
      </c>
      <c r="H405" s="5" t="inlineStr">
        <is>
          <t>context_actor</t>
        </is>
      </c>
      <c r="I405" t="inlineStr">
        <is>
          <t>construction_planning_anchor</t>
        </is>
      </c>
      <c r="J405" s="5" t="inlineStr">
        <is>
          <t>profit_anchor</t>
        </is>
      </c>
      <c r="K405" t="inlineStr">
        <is>
          <t>construction_planning_anchor</t>
        </is>
      </c>
      <c r="L405" s="5" t="inlineStr">
        <is>
          <t>nachhaltigkeit</t>
        </is>
      </c>
      <c r="M405" s="5" t="inlineStr">
        <is>
          <t>kreislaufwirtschaft_bau_ebv</t>
        </is>
      </c>
      <c r="N405" s="5" t="inlineStr">
        <is>
          <t>Kreislaufwirtschaft, Bau und Ersatzbaustoffverordnung</t>
        </is>
      </c>
      <c r="O405" s="5" t="n">
        <v>5</v>
      </c>
      <c r="P405" s="5" t="n">
        <v>4</v>
      </c>
      <c r="Q405" s="5" t="n">
        <v>13</v>
      </c>
      <c r="R405" s="5" t="n">
        <v>4</v>
      </c>
      <c r="S405" s="5" t="n">
        <v>0</v>
      </c>
      <c r="T405" s="5" t="n">
        <v>0</v>
      </c>
      <c r="U405" s="5" t="n">
        <v>2</v>
      </c>
      <c r="V405" s="5" t="n">
        <v>6</v>
      </c>
      <c r="W405" s="5" t="n">
        <v>6</v>
      </c>
      <c r="X405" s="5" t="n">
        <v>0</v>
      </c>
      <c r="Y405" s="5" t="n">
        <v>0</v>
      </c>
      <c r="Z405" s="5" t="n">
        <v>0</v>
      </c>
      <c r="AA405" s="5" t="n">
        <v>0</v>
      </c>
      <c r="AB405" s="5" t="n">
        <v>24.210004</v>
      </c>
      <c r="AC405" s="5" t="inlineStr">
        <is>
          <t>Wie können Bauwirtschaft, Rohstoffindustrie, Kommunen und Verwaltung Kreislaufwirtschaft praktisch und rechtssicher umsetzen?</t>
        </is>
      </c>
      <c r="AD405" s="5" t="inlineStr">
        <is>
          <t>Kreislaufwirtschaft, Bau und Ersatzbaustoffverordnung: Bauwirtschaft Rheinland-Pfalz e.V. (context_actor, 5) + Karl Gemünden GmbH &amp; Co. KG (profit_anchor, 4).</t>
        </is>
      </c>
      <c r="AE405" s="5" t="inlineStr">
        <is>
          <t>Bauwirtschaft Rheinland-Pfalz e.V. | Karl Gemünden GmbH &amp; Co. KG</t>
        </is>
      </c>
      <c r="AF405" s="5" t="inlineStr">
        <is>
          <t>kreislaufwirtschaft-bau-ebv-bauwirtschaft-rheinland-pfalz-e-v-karl-gemünden-gmbh-co-kg</t>
        </is>
      </c>
    </row>
    <row r="406">
      <c r="A406" s="5" t="inlineStr">
        <is>
          <t>C0405</t>
        </is>
      </c>
      <c r="B406" s="5" t="inlineStr">
        <is>
          <t>x_0405</t>
        </is>
      </c>
      <c r="C406" s="5" t="n">
        <v>0</v>
      </c>
      <c r="D406" s="5" t="inlineStr">
        <is>
          <t>Heberger Gruppe</t>
        </is>
      </c>
      <c r="E406" s="5" t="inlineStr">
        <is>
          <t>vero – Verband der Bau- und Rohstoffindustrie</t>
        </is>
      </c>
      <c r="F406" s="5" t="n">
        <v>33</v>
      </c>
      <c r="G406" s="5" t="n">
        <v>95</v>
      </c>
      <c r="H406" s="5" t="inlineStr">
        <is>
          <t>context_actor</t>
        </is>
      </c>
      <c r="I406" t="inlineStr">
        <is>
          <t>construction_planning_anchor</t>
        </is>
      </c>
      <c r="J406" s="5" t="inlineStr">
        <is>
          <t>profit_anchor</t>
        </is>
      </c>
      <c r="K406" t="inlineStr">
        <is>
          <t>construction_planning_anchor</t>
        </is>
      </c>
      <c r="L406" s="5" t="inlineStr">
        <is>
          <t>nachhaltigkeit</t>
        </is>
      </c>
      <c r="M406" s="5" t="inlineStr">
        <is>
          <t>kreislaufwirtschaft_bau_ebv</t>
        </is>
      </c>
      <c r="N406" s="5" t="inlineStr">
        <is>
          <t>Kreislaufwirtschaft, Bau und Ersatzbaustoffverordnung</t>
        </is>
      </c>
      <c r="O406" s="5" t="n">
        <v>4</v>
      </c>
      <c r="P406" s="5" t="n">
        <v>5</v>
      </c>
      <c r="Q406" s="5" t="n">
        <v>13</v>
      </c>
      <c r="R406" s="5" t="n">
        <v>4</v>
      </c>
      <c r="S406" s="5" t="n">
        <v>0</v>
      </c>
      <c r="T406" s="5" t="n">
        <v>0</v>
      </c>
      <c r="U406" s="5" t="n">
        <v>2</v>
      </c>
      <c r="V406" s="5" t="n">
        <v>6</v>
      </c>
      <c r="W406" s="5" t="n">
        <v>6</v>
      </c>
      <c r="X406" s="5" t="n">
        <v>0</v>
      </c>
      <c r="Y406" s="5" t="n">
        <v>0</v>
      </c>
      <c r="Z406" s="5" t="n">
        <v>0</v>
      </c>
      <c r="AA406" s="5" t="n">
        <v>0</v>
      </c>
      <c r="AB406" s="5" t="n">
        <v>24.210004</v>
      </c>
      <c r="AC406" s="5" t="inlineStr">
        <is>
          <t>Wie können Bauwirtschaft, Rohstoffindustrie, Kommunen und Verwaltung Kreislaufwirtschaft praktisch und rechtssicher umsetzen?</t>
        </is>
      </c>
      <c r="AD406" s="5" t="inlineStr">
        <is>
          <t>Kreislaufwirtschaft, Bau und Ersatzbaustoffverordnung: Heberger Gruppe (context_actor, 4) + vero – Verband der Bau- und Rohstoffindustrie (profit_anchor, 5).</t>
        </is>
      </c>
      <c r="AE406" s="5" t="inlineStr">
        <is>
          <t>Heberger Gruppe | vero – Verband der Bau- und Rohstoffindustrie</t>
        </is>
      </c>
      <c r="AF406" s="5" t="inlineStr">
        <is>
          <t>kreislaufwirtschaft-bau-ebv-heberger-gruppe-vero-verband-der-bau-und-rohstoffindustrie</t>
        </is>
      </c>
    </row>
    <row r="407">
      <c r="A407" s="5" t="inlineStr">
        <is>
          <t>C0406</t>
        </is>
      </c>
      <c r="B407" s="5" t="inlineStr">
        <is>
          <t>x_0406</t>
        </is>
      </c>
      <c r="C407" s="5" t="n">
        <v>0</v>
      </c>
      <c r="D407" s="5" t="inlineStr">
        <is>
          <t>Ingenieurkammer Rheinland-Pfalz</t>
        </is>
      </c>
      <c r="E407" s="5" t="inlineStr">
        <is>
          <t>Landkreistag Rheinland-Pfalz</t>
        </is>
      </c>
      <c r="F407" s="5" t="n">
        <v>44</v>
      </c>
      <c r="G407" s="5" t="n">
        <v>63</v>
      </c>
      <c r="H407" s="5" t="inlineStr">
        <is>
          <t>implementation_anchor</t>
        </is>
      </c>
      <c r="I407" t="inlineStr">
        <is>
          <t>construction_planning_anchor</t>
        </is>
      </c>
      <c r="J407" s="5" t="inlineStr">
        <is>
          <t>context_actor</t>
        </is>
      </c>
      <c r="K407" t="inlineStr">
        <is>
          <t>public_policy_anchor</t>
        </is>
      </c>
      <c r="L407" s="5" t="inlineStr">
        <is>
          <t>nachhaltigkeit</t>
        </is>
      </c>
      <c r="M407" s="5" t="inlineStr">
        <is>
          <t>kreislaufwirtschaft_bau_ebv</t>
        </is>
      </c>
      <c r="N407" s="5" t="inlineStr">
        <is>
          <t>Kreislaufwirtschaft, Bau und Ersatzbaustoffverordnung</t>
        </is>
      </c>
      <c r="O407" s="5" t="n">
        <v>4</v>
      </c>
      <c r="P407" s="5" t="n">
        <v>5</v>
      </c>
      <c r="Q407" s="5" t="n">
        <v>13</v>
      </c>
      <c r="R407" s="5" t="n">
        <v>4</v>
      </c>
      <c r="S407" s="5" t="n">
        <v>0</v>
      </c>
      <c r="T407" s="5" t="n">
        <v>0</v>
      </c>
      <c r="U407" s="5" t="n">
        <v>2</v>
      </c>
      <c r="V407" s="5" t="n">
        <v>6</v>
      </c>
      <c r="W407" s="5" t="n">
        <v>6</v>
      </c>
      <c r="X407" s="5" t="n">
        <v>0</v>
      </c>
      <c r="Y407" s="5" t="n">
        <v>0</v>
      </c>
      <c r="Z407" s="5" t="n">
        <v>0</v>
      </c>
      <c r="AA407" s="5" t="n">
        <v>0</v>
      </c>
      <c r="AB407" s="5" t="n">
        <v>40.103928</v>
      </c>
      <c r="AC407" s="5" t="inlineStr">
        <is>
          <t>Wie können Bauwirtschaft, Rohstoffindustrie, Kommunen und Verwaltung Kreislaufwirtschaft praktisch und rechtssicher umsetzen?</t>
        </is>
      </c>
      <c r="AD407" s="5" t="inlineStr">
        <is>
          <t>Kreislaufwirtschaft, Bau und Ersatzbaustoffverordnung: Ingenieurkammer Rheinland-Pfalz (implementation_anchor, 4) + Landkreistag Rheinland-Pfalz (context_actor, 5).</t>
        </is>
      </c>
      <c r="AE407" s="5" t="inlineStr">
        <is>
          <t>Ingenieurkammer Rheinland-Pfalz | Landkreistag Rheinland-Pfalz</t>
        </is>
      </c>
      <c r="AF407" s="5" t="inlineStr">
        <is>
          <t>kreislaufwirtschaft-bau-ebv-ingenieurkammer-rheinland-pfalz-landkreistag-rheinland-pfalz</t>
        </is>
      </c>
    </row>
    <row r="408">
      <c r="A408" s="5" t="inlineStr">
        <is>
          <t>C0407</t>
        </is>
      </c>
      <c r="B408" s="5" t="inlineStr">
        <is>
          <t>x_0407</t>
        </is>
      </c>
      <c r="C408" s="5" t="n">
        <v>0</v>
      </c>
      <c r="D408" s="5" t="inlineStr">
        <is>
          <t>Ingenieurkammer Rheinland-Pfalz</t>
        </is>
      </c>
      <c r="E408" s="5" t="inlineStr">
        <is>
          <t>Städtetag Rheinland-Pfalz</t>
        </is>
      </c>
      <c r="F408" s="5" t="n">
        <v>44</v>
      </c>
      <c r="G408" s="5" t="n">
        <v>85</v>
      </c>
      <c r="H408" s="5" t="inlineStr">
        <is>
          <t>implementation_anchor</t>
        </is>
      </c>
      <c r="I408" t="inlineStr">
        <is>
          <t>construction_planning_anchor</t>
        </is>
      </c>
      <c r="J408" s="5" t="inlineStr">
        <is>
          <t>context_actor</t>
        </is>
      </c>
      <c r="K408" t="inlineStr">
        <is>
          <t>public_policy_anchor</t>
        </is>
      </c>
      <c r="L408" s="5" t="inlineStr">
        <is>
          <t>nachhaltigkeit</t>
        </is>
      </c>
      <c r="M408" s="5" t="inlineStr">
        <is>
          <t>kreislaufwirtschaft_bau_ebv</t>
        </is>
      </c>
      <c r="N408" s="5" t="inlineStr">
        <is>
          <t>Kreislaufwirtschaft, Bau und Ersatzbaustoffverordnung</t>
        </is>
      </c>
      <c r="O408" s="5" t="n">
        <v>4</v>
      </c>
      <c r="P408" s="5" t="n">
        <v>5</v>
      </c>
      <c r="Q408" s="5" t="n">
        <v>13</v>
      </c>
      <c r="R408" s="5" t="n">
        <v>4</v>
      </c>
      <c r="S408" s="5" t="n">
        <v>0</v>
      </c>
      <c r="T408" s="5" t="n">
        <v>0</v>
      </c>
      <c r="U408" s="5" t="n">
        <v>2</v>
      </c>
      <c r="V408" s="5" t="n">
        <v>6</v>
      </c>
      <c r="W408" s="5" t="n">
        <v>6</v>
      </c>
      <c r="X408" s="5" t="n">
        <v>0</v>
      </c>
      <c r="Y408" s="5" t="n">
        <v>0</v>
      </c>
      <c r="Z408" s="5" t="n">
        <v>0</v>
      </c>
      <c r="AA408" s="5" t="n">
        <v>0</v>
      </c>
      <c r="AB408" s="5" t="n">
        <v>40.103928</v>
      </c>
      <c r="AC408" s="5" t="inlineStr">
        <is>
          <t>Wie können Bauwirtschaft, Rohstoffindustrie, Kommunen und Verwaltung Kreislaufwirtschaft praktisch und rechtssicher umsetzen?</t>
        </is>
      </c>
      <c r="AD408" s="5" t="inlineStr">
        <is>
          <t>Kreislaufwirtschaft, Bau und Ersatzbaustoffverordnung: Ingenieurkammer Rheinland-Pfalz (implementation_anchor, 4) + Städtetag Rheinland-Pfalz (context_actor, 5).</t>
        </is>
      </c>
      <c r="AE408" s="5" t="inlineStr">
        <is>
          <t>Ingenieurkammer Rheinland-Pfalz | Städtetag Rheinland-Pfalz</t>
        </is>
      </c>
      <c r="AF408" s="5" t="inlineStr">
        <is>
          <t>kreislaufwirtschaft-bau-ebv-ingenieurkammer-rheinland-pfalz-städtetag-rheinland-pfalz</t>
        </is>
      </c>
    </row>
    <row r="409">
      <c r="A409" s="5" t="inlineStr">
        <is>
          <t>C0408</t>
        </is>
      </c>
      <c r="B409" s="5" t="inlineStr">
        <is>
          <t>x_0408</t>
        </is>
      </c>
      <c r="C409" s="5" t="n">
        <v>0</v>
      </c>
      <c r="D409" s="5" t="inlineStr">
        <is>
          <t>Karl Gemünden GmbH &amp; Co. KG</t>
        </is>
      </c>
      <c r="E409" s="5" t="inlineStr">
        <is>
          <t>Landkreistag Rheinland-Pfalz</t>
        </is>
      </c>
      <c r="F409" s="5" t="n">
        <v>52</v>
      </c>
      <c r="G409" s="5" t="n">
        <v>63</v>
      </c>
      <c r="H409" s="5" t="inlineStr">
        <is>
          <t>profit_anchor</t>
        </is>
      </c>
      <c r="I409" t="inlineStr">
        <is>
          <t>construction_planning_anchor</t>
        </is>
      </c>
      <c r="J409" s="5" t="inlineStr">
        <is>
          <t>context_actor</t>
        </is>
      </c>
      <c r="K409" t="inlineStr">
        <is>
          <t>public_policy_anchor</t>
        </is>
      </c>
      <c r="L409" s="5" t="inlineStr">
        <is>
          <t>nachhaltigkeit</t>
        </is>
      </c>
      <c r="M409" s="5" t="inlineStr">
        <is>
          <t>kreislaufwirtschaft_bau_ebv</t>
        </is>
      </c>
      <c r="N409" s="5" t="inlineStr">
        <is>
          <t>Kreislaufwirtschaft, Bau und Ersatzbaustoffverordnung</t>
        </is>
      </c>
      <c r="O409" s="5" t="n">
        <v>4</v>
      </c>
      <c r="P409" s="5" t="n">
        <v>5</v>
      </c>
      <c r="Q409" s="5" t="n">
        <v>13</v>
      </c>
      <c r="R409" s="5" t="n">
        <v>4</v>
      </c>
      <c r="S409" s="5" t="n">
        <v>0</v>
      </c>
      <c r="T409" s="5" t="n">
        <v>0</v>
      </c>
      <c r="U409" s="5" t="n">
        <v>2</v>
      </c>
      <c r="V409" s="5" t="n">
        <v>6</v>
      </c>
      <c r="W409" s="5" t="n">
        <v>6</v>
      </c>
      <c r="X409" s="5" t="n">
        <v>0</v>
      </c>
      <c r="Y409" s="5" t="n">
        <v>0</v>
      </c>
      <c r="Z409" s="5" t="n">
        <v>0</v>
      </c>
      <c r="AA409" s="5" t="n">
        <v>0</v>
      </c>
      <c r="AB409" s="5" t="n">
        <v>26.149793</v>
      </c>
      <c r="AC409" s="5" t="inlineStr">
        <is>
          <t>Wie können Bauwirtschaft, Rohstoffindustrie, Kommunen und Verwaltung Kreislaufwirtschaft praktisch und rechtssicher umsetzen?</t>
        </is>
      </c>
      <c r="AD409" s="5" t="inlineStr">
        <is>
          <t>Kreislaufwirtschaft, Bau und Ersatzbaustoffverordnung: Karl Gemünden GmbH &amp; Co. KG (profit_anchor, 4) + Landkreistag Rheinland-Pfalz (context_actor, 5).</t>
        </is>
      </c>
      <c r="AE409" s="5" t="inlineStr">
        <is>
          <t>Karl Gemünden GmbH &amp; Co. KG | Landkreistag Rheinland-Pfalz</t>
        </is>
      </c>
      <c r="AF409" s="5" t="inlineStr">
        <is>
          <t>kreislaufwirtschaft-bau-ebv-karl-gemünden-gmbh-co-kg-landkreistag-rheinland-pfalz</t>
        </is>
      </c>
    </row>
    <row r="410">
      <c r="A410" s="5" t="inlineStr">
        <is>
          <t>C0409</t>
        </is>
      </c>
      <c r="B410" s="5" t="inlineStr">
        <is>
          <t>x_0409</t>
        </is>
      </c>
      <c r="C410" s="5" t="n">
        <v>0</v>
      </c>
      <c r="D410" s="5" t="inlineStr">
        <is>
          <t>Karl Gemünden GmbH &amp; Co. KG</t>
        </is>
      </c>
      <c r="E410" s="5" t="inlineStr">
        <is>
          <t>Städtetag Rheinland-Pfalz</t>
        </is>
      </c>
      <c r="F410" s="5" t="n">
        <v>52</v>
      </c>
      <c r="G410" s="5" t="n">
        <v>85</v>
      </c>
      <c r="H410" s="5" t="inlineStr">
        <is>
          <t>profit_anchor</t>
        </is>
      </c>
      <c r="I410" t="inlineStr">
        <is>
          <t>construction_planning_anchor</t>
        </is>
      </c>
      <c r="J410" s="5" t="inlineStr">
        <is>
          <t>context_actor</t>
        </is>
      </c>
      <c r="K410" t="inlineStr">
        <is>
          <t>public_policy_anchor</t>
        </is>
      </c>
      <c r="L410" s="5" t="inlineStr">
        <is>
          <t>nachhaltigkeit</t>
        </is>
      </c>
      <c r="M410" s="5" t="inlineStr">
        <is>
          <t>kreislaufwirtschaft_bau_ebv</t>
        </is>
      </c>
      <c r="N410" s="5" t="inlineStr">
        <is>
          <t>Kreislaufwirtschaft, Bau und Ersatzbaustoffverordnung</t>
        </is>
      </c>
      <c r="O410" s="5" t="n">
        <v>4</v>
      </c>
      <c r="P410" s="5" t="n">
        <v>5</v>
      </c>
      <c r="Q410" s="5" t="n">
        <v>13</v>
      </c>
      <c r="R410" s="5" t="n">
        <v>4</v>
      </c>
      <c r="S410" s="5" t="n">
        <v>0</v>
      </c>
      <c r="T410" s="5" t="n">
        <v>0</v>
      </c>
      <c r="U410" s="5" t="n">
        <v>2</v>
      </c>
      <c r="V410" s="5" t="n">
        <v>6</v>
      </c>
      <c r="W410" s="5" t="n">
        <v>6</v>
      </c>
      <c r="X410" s="5" t="n">
        <v>0</v>
      </c>
      <c r="Y410" s="5" t="n">
        <v>0</v>
      </c>
      <c r="Z410" s="5" t="n">
        <v>0</v>
      </c>
      <c r="AA410" s="5" t="n">
        <v>0</v>
      </c>
      <c r="AB410" s="5" t="n">
        <v>26.149793</v>
      </c>
      <c r="AC410" s="5" t="inlineStr">
        <is>
          <t>Wie können Bauwirtschaft, Rohstoffindustrie, Kommunen und Verwaltung Kreislaufwirtschaft praktisch und rechtssicher umsetzen?</t>
        </is>
      </c>
      <c r="AD410" s="5" t="inlineStr">
        <is>
          <t>Kreislaufwirtschaft, Bau und Ersatzbaustoffverordnung: Karl Gemünden GmbH &amp; Co. KG (profit_anchor, 4) + Städtetag Rheinland-Pfalz (context_actor, 5).</t>
        </is>
      </c>
      <c r="AE410" s="5" t="inlineStr">
        <is>
          <t>Karl Gemünden GmbH &amp; Co. KG | Städtetag Rheinland-Pfalz</t>
        </is>
      </c>
      <c r="AF410" s="5" t="inlineStr">
        <is>
          <t>kreislaufwirtschaft-bau-ebv-karl-gemünden-gmbh-co-kg-städtetag-rheinland-pfalz</t>
        </is>
      </c>
    </row>
    <row r="411">
      <c r="A411" s="5" t="inlineStr">
        <is>
          <t>C0410</t>
        </is>
      </c>
      <c r="B411" s="5" t="inlineStr">
        <is>
          <t>x_0410</t>
        </is>
      </c>
      <c r="C411" s="5" t="n">
        <v>0</v>
      </c>
      <c r="D411" s="5" t="inlineStr">
        <is>
          <t>TÜV Rheinland Berlin Brandenburg Pfalz e.V.</t>
        </is>
      </c>
      <c r="E411" s="5" t="inlineStr">
        <is>
          <t>vero – Verband der Bau- und Rohstoffindustrie</t>
        </is>
      </c>
      <c r="F411" s="5" t="n">
        <v>91</v>
      </c>
      <c r="G411" s="5" t="n">
        <v>95</v>
      </c>
      <c r="H411" s="5" t="inlineStr">
        <is>
          <t>context_actor</t>
        </is>
      </c>
      <c r="I411" t="inlineStr">
        <is>
          <t>chamber_association_anchor</t>
        </is>
      </c>
      <c r="J411" s="5" t="inlineStr">
        <is>
          <t>profit_anchor</t>
        </is>
      </c>
      <c r="K411" t="inlineStr">
        <is>
          <t>construction_planning_anchor</t>
        </is>
      </c>
      <c r="L411" s="5" t="inlineStr">
        <is>
          <t>nachhaltigkeit</t>
        </is>
      </c>
      <c r="M411" s="5" t="inlineStr">
        <is>
          <t>kreislaufwirtschaft_bau_ebv</t>
        </is>
      </c>
      <c r="N411" s="5" t="inlineStr">
        <is>
          <t>Kreislaufwirtschaft, Bau und Ersatzbaustoffverordnung</t>
        </is>
      </c>
      <c r="O411" s="5" t="n">
        <v>4</v>
      </c>
      <c r="P411" s="5" t="n">
        <v>5</v>
      </c>
      <c r="Q411" s="5" t="n">
        <v>13</v>
      </c>
      <c r="R411" s="5" t="n">
        <v>4</v>
      </c>
      <c r="S411" s="5" t="n">
        <v>0</v>
      </c>
      <c r="T411" s="5" t="n">
        <v>0</v>
      </c>
      <c r="U411" s="5" t="n">
        <v>2</v>
      </c>
      <c r="V411" s="5" t="n">
        <v>6</v>
      </c>
      <c r="W411" s="5" t="n">
        <v>6</v>
      </c>
      <c r="X411" s="5" t="n">
        <v>0</v>
      </c>
      <c r="Y411" s="5" t="n">
        <v>0</v>
      </c>
      <c r="Z411" s="5" t="n">
        <v>0</v>
      </c>
      <c r="AA411" s="5" t="n">
        <v>0</v>
      </c>
      <c r="AB411" s="5" t="n">
        <v>29.651078</v>
      </c>
      <c r="AC411" s="5" t="inlineStr">
        <is>
          <t>Wie können Bauwirtschaft, Rohstoffindustrie, Kommunen und Verwaltung Kreislaufwirtschaft praktisch und rechtssicher umsetzen?</t>
        </is>
      </c>
      <c r="AD411" s="5" t="inlineStr">
        <is>
          <t>Kreislaufwirtschaft, Bau und Ersatzbaustoffverordnung: TÜV Rheinland Berlin Brandenburg Pfalz e.V. (context_actor, 4) + vero – Verband der Bau- und Rohstoffindustrie (profit_anchor, 5).</t>
        </is>
      </c>
      <c r="AE411" s="5" t="inlineStr">
        <is>
          <t>TÜV Rheinland Berlin Brandenburg Pfalz e.V. | vero – Verband der Bau- und Rohstoffindustrie</t>
        </is>
      </c>
      <c r="AF411" s="5" t="inlineStr">
        <is>
          <t>kreislaufwirtschaft-bau-ebv-tüv-rheinland-berlin-brandenburg-pfalz-e-v-vero-verband-der-bau-und</t>
        </is>
      </c>
    </row>
    <row r="412">
      <c r="A412" s="5" t="inlineStr">
        <is>
          <t>C0411</t>
        </is>
      </c>
      <c r="B412" s="5" t="inlineStr">
        <is>
          <t>x_0411</t>
        </is>
      </c>
      <c r="C412" s="5" t="n">
        <v>0</v>
      </c>
      <c r="D412" s="5" t="inlineStr">
        <is>
          <t>1. FSV Mainz 05 e.V.</t>
        </is>
      </c>
      <c r="E412" s="5" t="inlineStr">
        <is>
          <t>Entwicklungsagentur Rheinland-Pfalz e.V.</t>
        </is>
      </c>
      <c r="F412" s="5" t="n">
        <v>1</v>
      </c>
      <c r="G412" s="5" t="n">
        <v>25</v>
      </c>
      <c r="H412" s="5" t="inlineStr">
        <is>
          <t>context_actor</t>
        </is>
      </c>
      <c r="I412" t="inlineStr">
        <is>
          <t>sports_regional_identity_anchor</t>
        </is>
      </c>
      <c r="J412" s="5" t="inlineStr">
        <is>
          <t>implementation_anchor</t>
        </is>
      </c>
      <c r="K412" t="inlineStr">
        <is>
          <t>public_policy_anchor</t>
        </is>
      </c>
      <c r="L412" s="5" t="inlineStr">
        <is>
          <t>kultur</t>
        </is>
      </c>
      <c r="M412" s="5" t="inlineStr">
        <is>
          <t>kultur_standort_identitaet</t>
        </is>
      </c>
      <c r="N412" s="5" t="inlineStr">
        <is>
          <t>Kultur, Standortidentität und regionale Attraktivität</t>
        </is>
      </c>
      <c r="O412" s="5" t="n">
        <v>4</v>
      </c>
      <c r="P412" s="5" t="n">
        <v>5</v>
      </c>
      <c r="Q412" s="5" t="n">
        <v>13</v>
      </c>
      <c r="R412" s="5" t="n">
        <v>4</v>
      </c>
      <c r="S412" s="5" t="n">
        <v>0</v>
      </c>
      <c r="T412" s="5" t="n">
        <v>0</v>
      </c>
      <c r="U412" s="5" t="n">
        <v>2</v>
      </c>
      <c r="V412" s="5" t="n">
        <v>6</v>
      </c>
      <c r="W412" s="5" t="n">
        <v>6</v>
      </c>
      <c r="X412" s="5" t="n">
        <v>0</v>
      </c>
      <c r="Y412" s="5" t="n">
        <v>0</v>
      </c>
      <c r="Z412" s="5" t="n">
        <v>0</v>
      </c>
      <c r="AA412" s="5" t="n">
        <v>0</v>
      </c>
      <c r="AB412" s="5" t="n">
        <v>60.63144</v>
      </c>
      <c r="AC412" s="5" t="inlineStr">
        <is>
          <t>Wie stärkt Kultur die Attraktivität von Städten, Regionen und Arbeitgeberstandorten?</t>
        </is>
      </c>
      <c r="AD412" s="5" t="inlineStr">
        <is>
          <t>Kultur, Standortidentität und regionale Attraktivität: 1. FSV Mainz 05 e.V. (context_actor, 4) + Entwicklungsagentur Rheinland-Pfalz e.V. (implementation_anchor, 5).</t>
        </is>
      </c>
      <c r="AE412" s="5" t="inlineStr">
        <is>
          <t>1. FSV Mainz 05 e.V. | Entwicklungsagentur Rheinland-Pfalz e.V.</t>
        </is>
      </c>
      <c r="AF412" s="5" t="inlineStr">
        <is>
          <t>kultur-standort-identitaet-1-fsv-mainz-05-e-v-entwicklungsagentur-rheinland-pfalz-e-v</t>
        </is>
      </c>
    </row>
    <row r="413">
      <c r="A413" s="5" t="inlineStr">
        <is>
          <t>C0412</t>
        </is>
      </c>
      <c r="B413" s="5" t="inlineStr">
        <is>
          <t>x_0412</t>
        </is>
      </c>
      <c r="C413" s="5" t="n">
        <v>0</v>
      </c>
      <c r="D413" s="5" t="inlineStr">
        <is>
          <t>Entwicklungsagentur Rheinland-Pfalz e.V.</t>
        </is>
      </c>
      <c r="E413" s="5" t="inlineStr">
        <is>
          <t>Evangelische Kirche der Pfalz</t>
        </is>
      </c>
      <c r="F413" s="5" t="n">
        <v>25</v>
      </c>
      <c r="G413" s="5" t="n">
        <v>28</v>
      </c>
      <c r="H413" s="5" t="inlineStr">
        <is>
          <t>implementation_anchor</t>
        </is>
      </c>
      <c r="I413" t="inlineStr">
        <is>
          <t>public_policy_anchor</t>
        </is>
      </c>
      <c r="J413" s="5" t="inlineStr">
        <is>
          <t>context_actor</t>
        </is>
      </c>
      <c r="K413" t="inlineStr">
        <is>
          <t>culture_foundation_anchor</t>
        </is>
      </c>
      <c r="L413" s="5" t="inlineStr">
        <is>
          <t>kultur</t>
        </is>
      </c>
      <c r="M413" s="5" t="inlineStr">
        <is>
          <t>kultur_standort_identitaet</t>
        </is>
      </c>
      <c r="N413" s="5" t="inlineStr">
        <is>
          <t>Kultur, Standortidentität und regionale Attraktivität</t>
        </is>
      </c>
      <c r="O413" s="5" t="n">
        <v>5</v>
      </c>
      <c r="P413" s="5" t="n">
        <v>4</v>
      </c>
      <c r="Q413" s="5" t="n">
        <v>13</v>
      </c>
      <c r="R413" s="5" t="n">
        <v>4</v>
      </c>
      <c r="S413" s="5" t="n">
        <v>0</v>
      </c>
      <c r="T413" s="5" t="n">
        <v>0</v>
      </c>
      <c r="U413" s="5" t="n">
        <v>2</v>
      </c>
      <c r="V413" s="5" t="n">
        <v>6</v>
      </c>
      <c r="W413" s="5" t="n">
        <v>6</v>
      </c>
      <c r="X413" s="5" t="n">
        <v>0</v>
      </c>
      <c r="Y413" s="5" t="n">
        <v>0</v>
      </c>
      <c r="Z413" s="5" t="n">
        <v>0</v>
      </c>
      <c r="AA413" s="5" t="n">
        <v>0</v>
      </c>
      <c r="AB413" s="5" t="n">
        <v>52.508367</v>
      </c>
      <c r="AC413" s="5" t="inlineStr">
        <is>
          <t>Wie stärkt Kultur die Attraktivität von Städten, Regionen und Arbeitgeberstandorten?</t>
        </is>
      </c>
      <c r="AD413" s="5" t="inlineStr">
        <is>
          <t>Kultur, Standortidentität und regionale Attraktivität: Entwicklungsagentur Rheinland-Pfalz e.V. (implementation_anchor, 5) + Evangelische Kirche der Pfalz (context_actor, 4).</t>
        </is>
      </c>
      <c r="AE413" s="5" t="inlineStr">
        <is>
          <t>Entwicklungsagentur Rheinland-Pfalz e.V. | Evangelische Kirche der Pfalz</t>
        </is>
      </c>
      <c r="AF413" s="5" t="inlineStr">
        <is>
          <t>kultur-standort-identitaet-entwicklungsagentur-rheinland-pfalz-e-v-evangelische-kirche-der-pfal</t>
        </is>
      </c>
    </row>
    <row r="414">
      <c r="A414" s="5" t="inlineStr">
        <is>
          <t>C0413</t>
        </is>
      </c>
      <c r="B414" s="5" t="inlineStr">
        <is>
          <t>x_0413</t>
        </is>
      </c>
      <c r="C414" s="5" t="n">
        <v>0</v>
      </c>
      <c r="D414" s="5" t="inlineStr">
        <is>
          <t>Entwicklungsagentur Rheinland-Pfalz e.V.</t>
        </is>
      </c>
      <c r="E414" s="5" t="inlineStr">
        <is>
          <t>RPR1.</t>
        </is>
      </c>
      <c r="F414" s="5" t="n">
        <v>25</v>
      </c>
      <c r="G414" s="5" t="n">
        <v>76</v>
      </c>
      <c r="H414" s="5" t="inlineStr">
        <is>
          <t>implementation_anchor</t>
        </is>
      </c>
      <c r="I414" t="inlineStr">
        <is>
          <t>public_policy_anchor</t>
        </is>
      </c>
      <c r="J414" s="5" t="inlineStr">
        <is>
          <t>context_actor</t>
        </is>
      </c>
      <c r="K414" t="inlineStr">
        <is>
          <t>media_publicity_anchor</t>
        </is>
      </c>
      <c r="L414" s="5" t="inlineStr">
        <is>
          <t>kultur</t>
        </is>
      </c>
      <c r="M414" s="5" t="inlineStr">
        <is>
          <t>kultur_standort_identitaet</t>
        </is>
      </c>
      <c r="N414" s="5" t="inlineStr">
        <is>
          <t>Kultur, Standortidentität und regionale Attraktivität</t>
        </is>
      </c>
      <c r="O414" s="5" t="n">
        <v>5</v>
      </c>
      <c r="P414" s="5" t="n">
        <v>4</v>
      </c>
      <c r="Q414" s="5" t="n">
        <v>13</v>
      </c>
      <c r="R414" s="5" t="n">
        <v>4</v>
      </c>
      <c r="S414" s="5" t="n">
        <v>0</v>
      </c>
      <c r="T414" s="5" t="n">
        <v>0</v>
      </c>
      <c r="U414" s="5" t="n">
        <v>2</v>
      </c>
      <c r="V414" s="5" t="n">
        <v>6</v>
      </c>
      <c r="W414" s="5" t="n">
        <v>6</v>
      </c>
      <c r="X414" s="5" t="n">
        <v>0</v>
      </c>
      <c r="Y414" s="5" t="n">
        <v>0</v>
      </c>
      <c r="Z414" s="5" t="n">
        <v>0</v>
      </c>
      <c r="AA414" s="5" t="n">
        <v>0</v>
      </c>
      <c r="AB414" s="5" t="n">
        <v>52.508367</v>
      </c>
      <c r="AC414" s="5" t="inlineStr">
        <is>
          <t>Wie stärkt Kultur die Attraktivität von Städten, Regionen und Arbeitgeberstandorten?</t>
        </is>
      </c>
      <c r="AD414" s="5" t="inlineStr">
        <is>
          <t>Kultur, Standortidentität und regionale Attraktivität: Entwicklungsagentur Rheinland-Pfalz e.V. (implementation_anchor, 5) + RPR1. (context_actor, 4).</t>
        </is>
      </c>
      <c r="AE414" s="5" t="inlineStr">
        <is>
          <t>Entwicklungsagentur Rheinland-Pfalz e.V. | RPR1.</t>
        </is>
      </c>
      <c r="AF414" s="5" t="inlineStr">
        <is>
          <t>kultur-standort-identitaet-entwicklungsagentur-rheinland-pfalz-e-v-rpr1</t>
        </is>
      </c>
    </row>
    <row r="415">
      <c r="A415" s="5" t="inlineStr">
        <is>
          <t>C0414</t>
        </is>
      </c>
      <c r="B415" s="5" t="inlineStr">
        <is>
          <t>x_0414</t>
        </is>
      </c>
      <c r="C415" s="5" t="n">
        <v>0</v>
      </c>
      <c r="D415" s="5" t="inlineStr">
        <is>
          <t>Erster FC Kaiserslautern GmbH &amp; Co. KGaA</t>
        </is>
      </c>
      <c r="E415" s="5" t="inlineStr">
        <is>
          <t>SWR – Südwestrundfunk</t>
        </is>
      </c>
      <c r="F415" s="5" t="n">
        <v>27</v>
      </c>
      <c r="G415" s="5" t="n">
        <v>86</v>
      </c>
      <c r="H415" s="5" t="inlineStr">
        <is>
          <t>profit_anchor</t>
        </is>
      </c>
      <c r="I415" t="inlineStr">
        <is>
          <t>sports_regional_identity_anchor</t>
        </is>
      </c>
      <c r="J415" s="5" t="inlineStr">
        <is>
          <t>context_actor</t>
        </is>
      </c>
      <c r="K415" t="inlineStr">
        <is>
          <t>media_publicity_anchor</t>
        </is>
      </c>
      <c r="L415" s="5" t="inlineStr">
        <is>
          <t>kultur</t>
        </is>
      </c>
      <c r="M415" s="5" t="inlineStr">
        <is>
          <t>kultur_standort_identitaet</t>
        </is>
      </c>
      <c r="N415" s="5" t="inlineStr">
        <is>
          <t>Kultur, Standortidentität und regionale Attraktivität</t>
        </is>
      </c>
      <c r="O415" s="5" t="n">
        <v>4</v>
      </c>
      <c r="P415" s="5" t="n">
        <v>5</v>
      </c>
      <c r="Q415" s="5" t="n">
        <v>13</v>
      </c>
      <c r="R415" s="5" t="n">
        <v>4</v>
      </c>
      <c r="S415" s="5" t="n">
        <v>0</v>
      </c>
      <c r="T415" s="5" t="n">
        <v>0</v>
      </c>
      <c r="U415" s="5" t="n">
        <v>2</v>
      </c>
      <c r="V415" s="5" t="n">
        <v>6</v>
      </c>
      <c r="W415" s="5" t="n">
        <v>6</v>
      </c>
      <c r="X415" s="5" t="n">
        <v>0</v>
      </c>
      <c r="Y415" s="5" t="n">
        <v>0</v>
      </c>
      <c r="Z415" s="5" t="n">
        <v>0</v>
      </c>
      <c r="AA415" s="5" t="n">
        <v>0</v>
      </c>
      <c r="AB415" s="5" t="n">
        <v>44.201217</v>
      </c>
      <c r="AC415" s="5" t="inlineStr">
        <is>
          <t>Wie stärkt Kultur die Attraktivität von Städten, Regionen und Arbeitgeberstandorten?</t>
        </is>
      </c>
      <c r="AD415" s="5" t="inlineStr">
        <is>
          <t>Kultur, Standortidentität und regionale Attraktivität: Erster FC Kaiserslautern GmbH &amp; Co. KGaA (profit_anchor, 4) + SWR – Südwestrundfunk (context_actor, 5).</t>
        </is>
      </c>
      <c r="AE415" s="5" t="inlineStr">
        <is>
          <t>Erster FC Kaiserslautern GmbH &amp; Co. KGaA | SWR – Südwestrundfunk</t>
        </is>
      </c>
      <c r="AF415" s="5" t="inlineStr">
        <is>
          <t>kultur-standort-identitaet-erster-fc-kaiserslautern-gmbh-co-kgaa-swr-südwestrundfunk</t>
        </is>
      </c>
    </row>
    <row r="416">
      <c r="A416" s="5" t="inlineStr">
        <is>
          <t>C0415</t>
        </is>
      </c>
      <c r="B416" s="5" t="inlineStr">
        <is>
          <t>x_0415</t>
        </is>
      </c>
      <c r="C416" s="5" t="n">
        <v>0</v>
      </c>
      <c r="D416" s="5" t="inlineStr">
        <is>
          <t>Erster FC Kaiserslautern GmbH &amp; Co. KGaA</t>
        </is>
      </c>
      <c r="E416" s="5" t="inlineStr">
        <is>
          <t>Städtetag Rheinland-Pfalz</t>
        </is>
      </c>
      <c r="F416" s="5" t="n">
        <v>27</v>
      </c>
      <c r="G416" s="5" t="n">
        <v>85</v>
      </c>
      <c r="H416" s="5" t="inlineStr">
        <is>
          <t>profit_anchor</t>
        </is>
      </c>
      <c r="I416" t="inlineStr">
        <is>
          <t>sports_regional_identity_anchor</t>
        </is>
      </c>
      <c r="J416" s="5" t="inlineStr">
        <is>
          <t>context_actor</t>
        </is>
      </c>
      <c r="K416" t="inlineStr">
        <is>
          <t>public_policy_anchor</t>
        </is>
      </c>
      <c r="L416" s="5" t="inlineStr">
        <is>
          <t>kultur</t>
        </is>
      </c>
      <c r="M416" s="5" t="inlineStr">
        <is>
          <t>kultur_standort_identitaet</t>
        </is>
      </c>
      <c r="N416" s="5" t="inlineStr">
        <is>
          <t>Kultur, Standortidentität und regionale Attraktivität</t>
        </is>
      </c>
      <c r="O416" s="5" t="n">
        <v>4</v>
      </c>
      <c r="P416" s="5" t="n">
        <v>5</v>
      </c>
      <c r="Q416" s="5" t="n">
        <v>13</v>
      </c>
      <c r="R416" s="5" t="n">
        <v>4</v>
      </c>
      <c r="S416" s="5" t="n">
        <v>0</v>
      </c>
      <c r="T416" s="5" t="n">
        <v>0</v>
      </c>
      <c r="U416" s="5" t="n">
        <v>2</v>
      </c>
      <c r="V416" s="5" t="n">
        <v>6</v>
      </c>
      <c r="W416" s="5" t="n">
        <v>6</v>
      </c>
      <c r="X416" s="5" t="n">
        <v>0</v>
      </c>
      <c r="Y416" s="5" t="n">
        <v>0</v>
      </c>
      <c r="Z416" s="5" t="n">
        <v>0</v>
      </c>
      <c r="AA416" s="5" t="n">
        <v>0</v>
      </c>
      <c r="AB416" s="5" t="n">
        <v>39.534771</v>
      </c>
      <c r="AC416" s="5" t="inlineStr">
        <is>
          <t>Wie stärkt Kultur die Attraktivität von Städten, Regionen und Arbeitgeberstandorten?</t>
        </is>
      </c>
      <c r="AD416" s="5" t="inlineStr">
        <is>
          <t>Kultur, Standortidentität und regionale Attraktivität: Erster FC Kaiserslautern GmbH &amp; Co. KGaA (profit_anchor, 4) + Städtetag Rheinland-Pfalz (context_actor, 5).</t>
        </is>
      </c>
      <c r="AE416" s="5" t="inlineStr">
        <is>
          <t>Erster FC Kaiserslautern GmbH &amp; Co. KGaA | Städtetag Rheinland-Pfalz</t>
        </is>
      </c>
      <c r="AF416" s="5" t="inlineStr">
        <is>
          <t>kultur-standort-identitaet-erster-fc-kaiserslautern-gmbh-co-kgaa-städtetag-rheinland-pfalz</t>
        </is>
      </c>
    </row>
    <row r="417">
      <c r="A417" s="5" t="inlineStr">
        <is>
          <t>C0416</t>
        </is>
      </c>
      <c r="B417" s="5" t="inlineStr">
        <is>
          <t>x_0416</t>
        </is>
      </c>
      <c r="C417" s="5" t="n">
        <v>0</v>
      </c>
      <c r="D417" s="5" t="inlineStr">
        <is>
          <t>Erster FC Kaiserslautern GmbH &amp; Co. KGaA</t>
        </is>
      </c>
      <c r="E417" s="5" t="inlineStr">
        <is>
          <t>Villa Musica Rheinland-Pfalz</t>
        </is>
      </c>
      <c r="F417" s="5" t="n">
        <v>27</v>
      </c>
      <c r="G417" s="5" t="n">
        <v>96</v>
      </c>
      <c r="H417" s="5" t="inlineStr">
        <is>
          <t>profit_anchor</t>
        </is>
      </c>
      <c r="I417" t="inlineStr">
        <is>
          <t>sports_regional_identity_anchor</t>
        </is>
      </c>
      <c r="J417" s="5" t="inlineStr">
        <is>
          <t>context_actor</t>
        </is>
      </c>
      <c r="K417" t="inlineStr">
        <is>
          <t>culture_foundation_anchor</t>
        </is>
      </c>
      <c r="L417" s="5" t="inlineStr">
        <is>
          <t>kultur</t>
        </is>
      </c>
      <c r="M417" s="5" t="inlineStr">
        <is>
          <t>kultur_standort_identitaet</t>
        </is>
      </c>
      <c r="N417" s="5" t="inlineStr">
        <is>
          <t>Kultur, Standortidentität und regionale Attraktivität</t>
        </is>
      </c>
      <c r="O417" s="5" t="n">
        <v>4</v>
      </c>
      <c r="P417" s="5" t="n">
        <v>5</v>
      </c>
      <c r="Q417" s="5" t="n">
        <v>13</v>
      </c>
      <c r="R417" s="5" t="n">
        <v>4</v>
      </c>
      <c r="S417" s="5" t="n">
        <v>0</v>
      </c>
      <c r="T417" s="5" t="n">
        <v>0</v>
      </c>
      <c r="U417" s="5" t="n">
        <v>2</v>
      </c>
      <c r="V417" s="5" t="n">
        <v>6</v>
      </c>
      <c r="W417" s="5" t="n">
        <v>6</v>
      </c>
      <c r="X417" s="5" t="n">
        <v>0</v>
      </c>
      <c r="Y417" s="5" t="n">
        <v>0</v>
      </c>
      <c r="Z417" s="5" t="n">
        <v>0</v>
      </c>
      <c r="AA417" s="5" t="n">
        <v>0</v>
      </c>
      <c r="AB417" s="5" t="n">
        <v>44.201217</v>
      </c>
      <c r="AC417" s="5" t="inlineStr">
        <is>
          <t>Wie stärkt Kultur die Attraktivität von Städten, Regionen und Arbeitgeberstandorten?</t>
        </is>
      </c>
      <c r="AD417" s="5" t="inlineStr">
        <is>
          <t>Kultur, Standortidentität und regionale Attraktivität: Erster FC Kaiserslautern GmbH &amp; Co. KGaA (profit_anchor, 4) + Villa Musica Rheinland-Pfalz (context_actor, 5).</t>
        </is>
      </c>
      <c r="AE417" s="5" t="inlineStr">
        <is>
          <t>Erster FC Kaiserslautern GmbH &amp; Co. KGaA | Villa Musica Rheinland-Pfalz</t>
        </is>
      </c>
      <c r="AF417" s="5" t="inlineStr">
        <is>
          <t>kultur-standort-identitaet-erster-fc-kaiserslautern-gmbh-co-kgaa-villa-musica-rheinland-pfalz</t>
        </is>
      </c>
    </row>
    <row r="418">
      <c r="A418" s="5" t="inlineStr">
        <is>
          <t>C0417</t>
        </is>
      </c>
      <c r="B418" s="5" t="inlineStr">
        <is>
          <t>x_0417</t>
        </is>
      </c>
      <c r="C418" s="5" t="n">
        <v>0</v>
      </c>
      <c r="D418" s="5" t="inlineStr">
        <is>
          <t>Erster FC Kaiserslautern GmbH &amp; Co. KGaA</t>
        </is>
      </c>
      <c r="E418" s="5" t="inlineStr">
        <is>
          <t>ZDF – Zweites Deutsches Fernsehen</t>
        </is>
      </c>
      <c r="F418" s="5" t="n">
        <v>27</v>
      </c>
      <c r="G418" s="5" t="n">
        <v>102</v>
      </c>
      <c r="H418" s="5" t="inlineStr">
        <is>
          <t>profit_anchor</t>
        </is>
      </c>
      <c r="I418" t="inlineStr">
        <is>
          <t>sports_regional_identity_anchor</t>
        </is>
      </c>
      <c r="J418" s="5" t="inlineStr">
        <is>
          <t>context_actor</t>
        </is>
      </c>
      <c r="K418" t="inlineStr">
        <is>
          <t>media_publicity_anchor</t>
        </is>
      </c>
      <c r="L418" s="5" t="inlineStr">
        <is>
          <t>kultur</t>
        </is>
      </c>
      <c r="M418" s="5" t="inlineStr">
        <is>
          <t>kultur_standort_identitaet</t>
        </is>
      </c>
      <c r="N418" s="5" t="inlineStr">
        <is>
          <t>Kultur, Standortidentität und regionale Attraktivität</t>
        </is>
      </c>
      <c r="O418" s="5" t="n">
        <v>4</v>
      </c>
      <c r="P418" s="5" t="n">
        <v>5</v>
      </c>
      <c r="Q418" s="5" t="n">
        <v>13</v>
      </c>
      <c r="R418" s="5" t="n">
        <v>4</v>
      </c>
      <c r="S418" s="5" t="n">
        <v>0</v>
      </c>
      <c r="T418" s="5" t="n">
        <v>0</v>
      </c>
      <c r="U418" s="5" t="n">
        <v>2</v>
      </c>
      <c r="V418" s="5" t="n">
        <v>6</v>
      </c>
      <c r="W418" s="5" t="n">
        <v>6</v>
      </c>
      <c r="X418" s="5" t="n">
        <v>0</v>
      </c>
      <c r="Y418" s="5" t="n">
        <v>0</v>
      </c>
      <c r="Z418" s="5" t="n">
        <v>0</v>
      </c>
      <c r="AA418" s="5" t="n">
        <v>0</v>
      </c>
      <c r="AB418" s="5" t="n">
        <v>44.201217</v>
      </c>
      <c r="AC418" s="5" t="inlineStr">
        <is>
          <t>Wie stärkt Kultur die Attraktivität von Städten, Regionen und Arbeitgeberstandorten?</t>
        </is>
      </c>
      <c r="AD418" s="5" t="inlineStr">
        <is>
          <t>Kultur, Standortidentität und regionale Attraktivität: Erster FC Kaiserslautern GmbH &amp; Co. KGaA (profit_anchor, 4) + ZDF – Zweites Deutsches Fernsehen (context_actor, 5).</t>
        </is>
      </c>
      <c r="AE418" s="5" t="inlineStr">
        <is>
          <t>Erster FC Kaiserslautern GmbH &amp; Co. KGaA | ZDF – Zweites Deutsches Fernsehen</t>
        </is>
      </c>
      <c r="AF418" s="5" t="inlineStr">
        <is>
          <t>kultur-standort-identitaet-erster-fc-kaiserslautern-gmbh-co-kgaa-zdf-zweites-deutsches-fernsehe</t>
        </is>
      </c>
    </row>
    <row r="419">
      <c r="A419" s="5" t="inlineStr">
        <is>
          <t>C0418</t>
        </is>
      </c>
      <c r="B419" s="5" t="inlineStr">
        <is>
          <t>x_0418</t>
        </is>
      </c>
      <c r="C419" s="5" t="n">
        <v>0</v>
      </c>
      <c r="D419" s="5" t="inlineStr">
        <is>
          <t>Aturas GmbH</t>
        </is>
      </c>
      <c r="E419" s="5" t="inlineStr">
        <is>
          <t>Rheinland-Pfälzische Technische Universität Kaiserslautern-Landau (RPTU)</t>
        </is>
      </c>
      <c r="F419" s="5" t="n">
        <v>4</v>
      </c>
      <c r="G419" s="5" t="n">
        <v>74</v>
      </c>
      <c r="H419" s="5" t="inlineStr">
        <is>
          <t>profit_anchor</t>
        </is>
      </c>
      <c r="I419" t="inlineStr">
        <is>
          <t>technology_digital_anchor</t>
        </is>
      </c>
      <c r="J419" s="5" t="inlineStr">
        <is>
          <t>academic_support</t>
        </is>
      </c>
      <c r="K419" t="inlineStr">
        <is>
          <t>university_research</t>
        </is>
      </c>
      <c r="L419" s="5" t="inlineStr">
        <is>
          <t>wirtschaft</t>
        </is>
      </c>
      <c r="M419" s="5" t="inlineStr">
        <is>
          <t>mittelstand_digitalisierung_produktivitaet</t>
        </is>
      </c>
      <c r="N419" s="5" t="inlineStr">
        <is>
          <t>Mittelstand, Digitalisierung und Produktivität</t>
        </is>
      </c>
      <c r="O419" s="5" t="n">
        <v>4</v>
      </c>
      <c r="P419" s="5" t="n">
        <v>5</v>
      </c>
      <c r="Q419" s="5" t="n">
        <v>13</v>
      </c>
      <c r="R419" s="5" t="n">
        <v>4</v>
      </c>
      <c r="S419" s="5" t="n">
        <v>0</v>
      </c>
      <c r="T419" s="5" t="n">
        <v>0</v>
      </c>
      <c r="U419" s="5" t="n">
        <v>2</v>
      </c>
      <c r="V419" s="5" t="n">
        <v>6</v>
      </c>
      <c r="W419" s="5" t="n">
        <v>6</v>
      </c>
      <c r="X419" s="5" t="n">
        <v>0</v>
      </c>
      <c r="Y419" s="5" t="n">
        <v>0</v>
      </c>
      <c r="Z419" s="5" t="n">
        <v>0</v>
      </c>
      <c r="AA419" s="5" t="n">
        <v>0</v>
      </c>
      <c r="AB419" s="5" t="n">
        <v>27.71863</v>
      </c>
      <c r="AC419" s="5" t="inlineStr">
        <is>
          <t>Wie können mittelständische Unternehmen digitale Werkzeuge praktisch einsetzen, ohne dass daraus nur Pilotprojekte entstehen?</t>
        </is>
      </c>
      <c r="AD419" s="5" t="inlineStr">
        <is>
          <t>Mittelstand, Digitalisierung und Produktivität: Aturas GmbH (profit_anchor, 4) + Rheinland-Pfälzische Technische Universität Kaiserslautern-Landau (RPTU) (academic_support, 5).</t>
        </is>
      </c>
      <c r="AE419" s="5" t="inlineStr">
        <is>
          <t>Aturas GmbH | Rheinland-Pfälzische Technische Universität Kaiserslautern-Landau (RPTU)</t>
        </is>
      </c>
      <c r="AF419" s="5" t="inlineStr">
        <is>
          <t>mittelstand-digitalisierung-produktivitaet-aturas-gmbh-rheinland-pfälzische-technische-universi</t>
        </is>
      </c>
    </row>
    <row r="420">
      <c r="A420" s="5" t="inlineStr">
        <is>
          <t>C0419</t>
        </is>
      </c>
      <c r="B420" s="5" t="inlineStr">
        <is>
          <t>x_0419</t>
        </is>
      </c>
      <c r="C420" s="5" t="n">
        <v>0</v>
      </c>
      <c r="D420" s="5" t="inlineStr">
        <is>
          <t>Aturas GmbH</t>
        </is>
      </c>
      <c r="E420" s="5" t="inlineStr">
        <is>
          <t>SmartFactory KL e.V.</t>
        </is>
      </c>
      <c r="F420" s="5" t="n">
        <v>4</v>
      </c>
      <c r="G420" s="5" t="n">
        <v>81</v>
      </c>
      <c r="H420" s="5" t="inlineStr">
        <is>
          <t>profit_anchor</t>
        </is>
      </c>
      <c r="I420" t="inlineStr">
        <is>
          <t>technology_digital_anchor</t>
        </is>
      </c>
      <c r="J420" s="5" t="inlineStr">
        <is>
          <t>context_actor</t>
        </is>
      </c>
      <c r="K420" t="inlineStr">
        <is>
          <t>technology_digital_anchor</t>
        </is>
      </c>
      <c r="L420" s="5" t="inlineStr">
        <is>
          <t>wirtschaft</t>
        </is>
      </c>
      <c r="M420" s="5" t="inlineStr">
        <is>
          <t>mittelstand_digitalisierung_produktivitaet</t>
        </is>
      </c>
      <c r="N420" s="5" t="inlineStr">
        <is>
          <t>Mittelstand, Digitalisierung und Produktivität</t>
        </is>
      </c>
      <c r="O420" s="5" t="n">
        <v>4</v>
      </c>
      <c r="P420" s="5" t="n">
        <v>5</v>
      </c>
      <c r="Q420" s="5" t="n">
        <v>13</v>
      </c>
      <c r="R420" s="5" t="n">
        <v>4</v>
      </c>
      <c r="S420" s="5" t="n">
        <v>0</v>
      </c>
      <c r="T420" s="5" t="n">
        <v>0</v>
      </c>
      <c r="U420" s="5" t="n">
        <v>2</v>
      </c>
      <c r="V420" s="5" t="n">
        <v>6</v>
      </c>
      <c r="W420" s="5" t="n">
        <v>6</v>
      </c>
      <c r="X420" s="5" t="n">
        <v>0</v>
      </c>
      <c r="Y420" s="5" t="n">
        <v>0</v>
      </c>
      <c r="Z420" s="5" t="n">
        <v>0</v>
      </c>
      <c r="AA420" s="5" t="n">
        <v>0</v>
      </c>
      <c r="AB420" s="5" t="n">
        <v>22.82541</v>
      </c>
      <c r="AC420" s="5" t="inlineStr">
        <is>
          <t>Wie können mittelständische Unternehmen digitale Werkzeuge praktisch einsetzen, ohne dass daraus nur Pilotprojekte entstehen?</t>
        </is>
      </c>
      <c r="AD420" s="5" t="inlineStr">
        <is>
          <t>Mittelstand, Digitalisierung und Produktivität: Aturas GmbH (profit_anchor, 4) + SmartFactory KL e.V. (context_actor, 5).</t>
        </is>
      </c>
      <c r="AE420" s="5" t="inlineStr">
        <is>
          <t>Aturas GmbH | SmartFactory KL e.V.</t>
        </is>
      </c>
      <c r="AF420" s="5" t="inlineStr">
        <is>
          <t>mittelstand-digitalisierung-produktivitaet-aturas-gmbh-smartfactory-kl-e-v</t>
        </is>
      </c>
    </row>
    <row r="421">
      <c r="A421" s="5" t="inlineStr">
        <is>
          <t>C0420</t>
        </is>
      </c>
      <c r="B421" s="5" t="inlineStr">
        <is>
          <t>x_0420</t>
        </is>
      </c>
      <c r="C421" s="5" t="n">
        <v>0</v>
      </c>
      <c r="D421" s="5" t="inlineStr">
        <is>
          <t>Aturas GmbH</t>
        </is>
      </c>
      <c r="E421" s="5" t="inlineStr">
        <is>
          <t>robotspaceship</t>
        </is>
      </c>
      <c r="F421" s="5" t="n">
        <v>4</v>
      </c>
      <c r="G421" s="5" t="n">
        <v>75</v>
      </c>
      <c r="H421" s="5" t="inlineStr">
        <is>
          <t>profit_anchor</t>
        </is>
      </c>
      <c r="I421" t="inlineStr">
        <is>
          <t>technology_digital_anchor</t>
        </is>
      </c>
      <c r="J421" s="5" t="inlineStr">
        <is>
          <t>context_actor</t>
        </is>
      </c>
      <c r="K421" t="inlineStr">
        <is>
          <t>technology_digital_anchor</t>
        </is>
      </c>
      <c r="L421" s="5" t="inlineStr">
        <is>
          <t>wirtschaft</t>
        </is>
      </c>
      <c r="M421" s="5" t="inlineStr">
        <is>
          <t>mittelstand_digitalisierung_produktivitaet</t>
        </is>
      </c>
      <c r="N421" s="5" t="inlineStr">
        <is>
          <t>Mittelstand, Digitalisierung und Produktivität</t>
        </is>
      </c>
      <c r="O421" s="5" t="n">
        <v>4</v>
      </c>
      <c r="P421" s="5" t="n">
        <v>5</v>
      </c>
      <c r="Q421" s="5" t="n">
        <v>13</v>
      </c>
      <c r="R421" s="5" t="n">
        <v>4</v>
      </c>
      <c r="S421" s="5" t="n">
        <v>0</v>
      </c>
      <c r="T421" s="5" t="n">
        <v>0</v>
      </c>
      <c r="U421" s="5" t="n">
        <v>2</v>
      </c>
      <c r="V421" s="5" t="n">
        <v>6</v>
      </c>
      <c r="W421" s="5" t="n">
        <v>6</v>
      </c>
      <c r="X421" s="5" t="n">
        <v>0</v>
      </c>
      <c r="Y421" s="5" t="n">
        <v>0</v>
      </c>
      <c r="Z421" s="5" t="n">
        <v>0</v>
      </c>
      <c r="AA421" s="5" t="n">
        <v>0</v>
      </c>
      <c r="AB421" s="5" t="n">
        <v>22.82541</v>
      </c>
      <c r="AC421" s="5" t="inlineStr">
        <is>
          <t>Wie können mittelständische Unternehmen digitale Werkzeuge praktisch einsetzen, ohne dass daraus nur Pilotprojekte entstehen?</t>
        </is>
      </c>
      <c r="AD421" s="5" t="inlineStr">
        <is>
          <t>Mittelstand, Digitalisierung und Produktivität: Aturas GmbH (profit_anchor, 4) + robotspaceship (context_actor, 5).</t>
        </is>
      </c>
      <c r="AE421" s="5" t="inlineStr">
        <is>
          <t>Aturas GmbH | robotspaceship</t>
        </is>
      </c>
      <c r="AF421" s="5" t="inlineStr">
        <is>
          <t>mittelstand-digitalisierung-produktivitaet-aturas-gmbh-robotspaceship</t>
        </is>
      </c>
    </row>
    <row r="422">
      <c r="A422" s="5" t="inlineStr">
        <is>
          <t>C0421</t>
        </is>
      </c>
      <c r="B422" s="5" t="inlineStr">
        <is>
          <t>x_0421</t>
        </is>
      </c>
      <c r="C422" s="5" t="n">
        <v>0</v>
      </c>
      <c r="D422" s="5" t="inlineStr">
        <is>
          <t>Handwerkskammern Rheinland-Pfalz</t>
        </is>
      </c>
      <c r="E422" s="5" t="inlineStr">
        <is>
          <t>Hochschule Koblenz</t>
        </is>
      </c>
      <c r="F422" s="5" t="n">
        <v>32</v>
      </c>
      <c r="G422" s="5" t="n">
        <v>38</v>
      </c>
      <c r="H422" s="5" t="inlineStr">
        <is>
          <t>implementation_anchor</t>
        </is>
      </c>
      <c r="I422" t="inlineStr">
        <is>
          <t>chamber_association_anchor</t>
        </is>
      </c>
      <c r="J422" s="5" t="inlineStr">
        <is>
          <t>academic_support</t>
        </is>
      </c>
      <c r="K422" t="inlineStr">
        <is>
          <t>university_applied_sciences</t>
        </is>
      </c>
      <c r="L422" s="5" t="inlineStr">
        <is>
          <t>wirtschaft</t>
        </is>
      </c>
      <c r="M422" s="5" t="inlineStr">
        <is>
          <t>mittelstand_digitalisierung_produktivitaet</t>
        </is>
      </c>
      <c r="N422" s="5" t="inlineStr">
        <is>
          <t>Mittelstand, Digitalisierung und Produktivität</t>
        </is>
      </c>
      <c r="O422" s="5" t="n">
        <v>4</v>
      </c>
      <c r="P422" s="5" t="n">
        <v>3</v>
      </c>
      <c r="Q422" s="5" t="n">
        <v>11</v>
      </c>
      <c r="R422" s="5" t="n">
        <v>4</v>
      </c>
      <c r="S422" s="5" t="n">
        <v>0</v>
      </c>
      <c r="T422" s="5" t="n">
        <v>0</v>
      </c>
      <c r="U422" s="5" t="n">
        <v>2</v>
      </c>
      <c r="V422" s="5" t="n">
        <v>7</v>
      </c>
      <c r="W422" s="5" t="n">
        <v>7</v>
      </c>
      <c r="X422" s="5" t="n">
        <v>0</v>
      </c>
      <c r="Y422" s="5" t="n">
        <v>0</v>
      </c>
      <c r="Z422" s="5" t="n">
        <v>0</v>
      </c>
      <c r="AA422" s="5" t="n">
        <v>0</v>
      </c>
      <c r="AB422" s="5" t="n">
        <v>45.95587</v>
      </c>
      <c r="AC422" s="5" t="inlineStr">
        <is>
          <t>Wie können mittelständische Unternehmen digitale Werkzeuge praktisch einsetzen, ohne dass daraus nur Pilotprojekte entstehen?</t>
        </is>
      </c>
      <c r="AD422" s="5" t="inlineStr">
        <is>
          <t>Mittelstand, Digitalisierung und Produktivität: Handwerkskammern Rheinland-Pfalz (implementation_anchor, 4) + Hochschule Koblenz (academic_support, 3).</t>
        </is>
      </c>
      <c r="AE422" s="5" t="inlineStr">
        <is>
          <t>Handwerkskammern Rheinland-Pfalz | Hochschule Koblenz</t>
        </is>
      </c>
      <c r="AF422" s="5" t="inlineStr">
        <is>
          <t>mittelstand-digitalisierung-produktivitaet-handwerkskammern-rheinland-pfalz-hochschule-koblenz</t>
        </is>
      </c>
    </row>
    <row r="423">
      <c r="A423" s="5" t="inlineStr">
        <is>
          <t>C0422</t>
        </is>
      </c>
      <c r="B423" s="5" t="inlineStr">
        <is>
          <t>x_0422</t>
        </is>
      </c>
      <c r="C423" s="5" t="n">
        <v>0</v>
      </c>
      <c r="D423" s="5" t="inlineStr">
        <is>
          <t>AOK Rheinland-Pfalz/Saarland</t>
        </is>
      </c>
      <c r="E423" s="5" t="inlineStr">
        <is>
          <t>Bundesagentur für Arbeit, Regionaldirektion Rheinland-Pfalz-Saarland</t>
        </is>
      </c>
      <c r="F423" s="5" t="n">
        <v>2</v>
      </c>
      <c r="G423" s="5" t="n">
        <v>13</v>
      </c>
      <c r="H423" s="5" t="inlineStr">
        <is>
          <t>context_actor</t>
        </is>
      </c>
      <c r="I423" t="inlineStr">
        <is>
          <t>health_social_anchor</t>
        </is>
      </c>
      <c r="J423" s="5" t="inlineStr">
        <is>
          <t>implementation_anchor</t>
        </is>
      </c>
      <c r="K423" t="inlineStr">
        <is>
          <t>public_policy_anchor</t>
        </is>
      </c>
      <c r="L423" s="5" t="inlineStr">
        <is>
          <t>gesellschaft</t>
        </is>
      </c>
      <c r="M423" s="5" t="inlineStr">
        <is>
          <t>pflege_fachkraefte_sozialwirtschaft</t>
        </is>
      </c>
      <c r="N423" s="5" t="inlineStr">
        <is>
          <t>Pflege, Fachkräfte und Sozialwirtschaft</t>
        </is>
      </c>
      <c r="O423" s="5" t="n">
        <v>4</v>
      </c>
      <c r="P423" s="5" t="n">
        <v>5</v>
      </c>
      <c r="Q423" s="5" t="n">
        <v>13</v>
      </c>
      <c r="R423" s="5" t="n">
        <v>4</v>
      </c>
      <c r="S423" s="5" t="n">
        <v>0</v>
      </c>
      <c r="T423" s="5" t="n">
        <v>0</v>
      </c>
      <c r="U423" s="5" t="n">
        <v>2</v>
      </c>
      <c r="V423" s="5" t="n">
        <v>6</v>
      </c>
      <c r="W423" s="5" t="n">
        <v>6</v>
      </c>
      <c r="X423" s="5" t="n">
        <v>0</v>
      </c>
      <c r="Y423" s="5" t="n">
        <v>0</v>
      </c>
      <c r="Z423" s="5" t="n">
        <v>0</v>
      </c>
      <c r="AA423" s="5" t="n">
        <v>0</v>
      </c>
      <c r="AB423" s="5" t="n">
        <v>37.129023</v>
      </c>
      <c r="AC423" s="5" t="inlineStr">
        <is>
          <t>Wie sichern Pflege- und Sozialträger Personal, Qualität und Versorgung in einer alternden Gesellschaft?</t>
        </is>
      </c>
      <c r="AD423" s="5" t="inlineStr">
        <is>
          <t>Pflege, Fachkräfte und Sozialwirtschaft: AOK Rheinland-Pfalz/Saarland (context_actor, 4) + Bundesagentur für Arbeit, Regionaldirektion Rheinland-Pfalz-Saarland (implementation_anchor, 5).</t>
        </is>
      </c>
      <c r="AE423" s="5" t="inlineStr">
        <is>
          <t>AOK Rheinland-Pfalz/Saarland | Bundesagentur für Arbeit, Regionaldirektion Rheinland-Pfalz-Saarland</t>
        </is>
      </c>
      <c r="AF423" s="5" t="inlineStr">
        <is>
          <t>pflege-fachkraefte-sozialwirtschaft-aok-rheinland-pfalz-saarland-bundesagentur-für-arbeit-regio</t>
        </is>
      </c>
    </row>
    <row r="424">
      <c r="A424" s="5" t="inlineStr">
        <is>
          <t>C0423</t>
        </is>
      </c>
      <c r="B424" s="5" t="inlineStr">
        <is>
          <t>x_0423</t>
        </is>
      </c>
      <c r="C424" s="5" t="n">
        <v>0</v>
      </c>
      <c r="D424" s="5" t="inlineStr">
        <is>
          <t>AOK Rheinland-Pfalz/Saarland</t>
        </is>
      </c>
      <c r="E424" s="5" t="inlineStr">
        <is>
          <t>Caritasverband für die Diözese Speyer e.V.</t>
        </is>
      </c>
      <c r="F424" s="5" t="n">
        <v>2</v>
      </c>
      <c r="G424" s="5" t="n">
        <v>14</v>
      </c>
      <c r="H424" s="5" t="inlineStr">
        <is>
          <t>context_actor</t>
        </is>
      </c>
      <c r="I424" t="inlineStr">
        <is>
          <t>health_social_anchor</t>
        </is>
      </c>
      <c r="J424" s="5" t="inlineStr">
        <is>
          <t>implementation_anchor</t>
        </is>
      </c>
      <c r="K424" t="inlineStr">
        <is>
          <t>health_social_anchor</t>
        </is>
      </c>
      <c r="L424" s="5" t="inlineStr">
        <is>
          <t>gesellschaft</t>
        </is>
      </c>
      <c r="M424" s="5" t="inlineStr">
        <is>
          <t>pflege_fachkraefte_sozialwirtschaft</t>
        </is>
      </c>
      <c r="N424" s="5" t="inlineStr">
        <is>
          <t>Pflege, Fachkräfte und Sozialwirtschaft</t>
        </is>
      </c>
      <c r="O424" s="5" t="n">
        <v>4</v>
      </c>
      <c r="P424" s="5" t="n">
        <v>5</v>
      </c>
      <c r="Q424" s="5" t="n">
        <v>13</v>
      </c>
      <c r="R424" s="5" t="n">
        <v>4</v>
      </c>
      <c r="S424" s="5" t="n">
        <v>0</v>
      </c>
      <c r="T424" s="5" t="n">
        <v>0</v>
      </c>
      <c r="U424" s="5" t="n">
        <v>2</v>
      </c>
      <c r="V424" s="5" t="n">
        <v>6</v>
      </c>
      <c r="W424" s="5" t="n">
        <v>6</v>
      </c>
      <c r="X424" s="5" t="n">
        <v>0</v>
      </c>
      <c r="Y424" s="5" t="n">
        <v>0</v>
      </c>
      <c r="Z424" s="5" t="n">
        <v>0</v>
      </c>
      <c r="AA424" s="5" t="n">
        <v>0</v>
      </c>
      <c r="AB424" s="5" t="n">
        <v>30.31572</v>
      </c>
      <c r="AC424" s="5" t="inlineStr">
        <is>
          <t>Wie sichern Pflege- und Sozialträger Personal, Qualität und Versorgung in einer alternden Gesellschaft?</t>
        </is>
      </c>
      <c r="AD424" s="5" t="inlineStr">
        <is>
          <t>Pflege, Fachkräfte und Sozialwirtschaft: AOK Rheinland-Pfalz/Saarland (context_actor, 4) + Caritasverband für die Diözese Speyer e.V. (implementation_anchor, 5).</t>
        </is>
      </c>
      <c r="AE424" s="5" t="inlineStr">
        <is>
          <t>AOK Rheinland-Pfalz/Saarland | Caritasverband für die Diözese Speyer e.V.</t>
        </is>
      </c>
      <c r="AF424" s="5" t="inlineStr">
        <is>
          <t>pflege-fachkraefte-sozialwirtschaft-aok-rheinland-pfalz-saarland-caritasverband-für-die-diözese</t>
        </is>
      </c>
    </row>
    <row r="425">
      <c r="A425" s="5" t="inlineStr">
        <is>
          <t>C0424</t>
        </is>
      </c>
      <c r="B425" s="5" t="inlineStr">
        <is>
          <t>x_0424</t>
        </is>
      </c>
      <c r="C425" s="5" t="n">
        <v>0</v>
      </c>
      <c r="D425" s="5" t="inlineStr">
        <is>
          <t>Barmherzige Brüder Trier gGmbH</t>
        </is>
      </c>
      <c r="E425" s="5" t="inlineStr">
        <is>
          <t>LandesPsychotherapeutenKammer Rheinland-Pfalz</t>
        </is>
      </c>
      <c r="F425" s="5" t="n">
        <v>5</v>
      </c>
      <c r="G425" s="5" t="n">
        <v>61</v>
      </c>
      <c r="H425" s="5" t="inlineStr">
        <is>
          <t>context_actor</t>
        </is>
      </c>
      <c r="I425" t="inlineStr">
        <is>
          <t>health_social_anchor</t>
        </is>
      </c>
      <c r="J425" s="5" t="inlineStr">
        <is>
          <t>implementation_anchor</t>
        </is>
      </c>
      <c r="K425" t="inlineStr">
        <is>
          <t>health_social_anchor</t>
        </is>
      </c>
      <c r="L425" s="5" t="inlineStr">
        <is>
          <t>gesellschaft</t>
        </is>
      </c>
      <c r="M425" s="5" t="inlineStr">
        <is>
          <t>pflege_fachkraefte_sozialwirtschaft</t>
        </is>
      </c>
      <c r="N425" s="5" t="inlineStr">
        <is>
          <t>Pflege, Fachkräfte und Sozialwirtschaft</t>
        </is>
      </c>
      <c r="O425" s="5" t="n">
        <v>5</v>
      </c>
      <c r="P425" s="5" t="n">
        <v>4</v>
      </c>
      <c r="Q425" s="5" t="n">
        <v>13</v>
      </c>
      <c r="R425" s="5" t="n">
        <v>4</v>
      </c>
      <c r="S425" s="5" t="n">
        <v>0</v>
      </c>
      <c r="T425" s="5" t="n">
        <v>0</v>
      </c>
      <c r="U425" s="5" t="n">
        <v>2</v>
      </c>
      <c r="V425" s="5" t="n">
        <v>6</v>
      </c>
      <c r="W425" s="5" t="n">
        <v>6</v>
      </c>
      <c r="X425" s="5" t="n">
        <v>0</v>
      </c>
      <c r="Y425" s="5" t="n">
        <v>0</v>
      </c>
      <c r="Z425" s="5" t="n">
        <v>0</v>
      </c>
      <c r="AA425" s="5" t="n">
        <v>0</v>
      </c>
      <c r="AB425" s="5" t="n">
        <v>30.31572</v>
      </c>
      <c r="AC425" s="5" t="inlineStr">
        <is>
          <t>Wie sichern Pflege- und Sozialträger Personal, Qualität und Versorgung in einer alternden Gesellschaft?</t>
        </is>
      </c>
      <c r="AD425" s="5" t="inlineStr">
        <is>
          <t>Pflege, Fachkräfte und Sozialwirtschaft: Barmherzige Brüder Trier gGmbH (context_actor, 5) + LandesPsychotherapeutenKammer Rheinland-Pfalz (implementation_anchor, 4).</t>
        </is>
      </c>
      <c r="AE425" s="5" t="inlineStr">
        <is>
          <t>Barmherzige Brüder Trier gGmbH | LandesPsychotherapeutenKammer Rheinland-Pfalz</t>
        </is>
      </c>
      <c r="AF425" s="5" t="inlineStr">
        <is>
          <t>pflege-fachkraefte-sozialwirtschaft-barmherzige-brüder-trier-ggmbh-landespsychotherapeutenkamme</t>
        </is>
      </c>
    </row>
    <row r="426">
      <c r="A426" s="5" t="inlineStr">
        <is>
          <t>C0425</t>
        </is>
      </c>
      <c r="B426" s="5" t="inlineStr">
        <is>
          <t>x_0425</t>
        </is>
      </c>
      <c r="C426" s="5" t="n">
        <v>0</v>
      </c>
      <c r="D426" s="5" t="inlineStr">
        <is>
          <t>Barmherzige Brüder Trier gGmbH</t>
        </is>
      </c>
      <c r="E426" s="5" t="inlineStr">
        <is>
          <t>Landesärztekammer Rheinland-Pfalz</t>
        </is>
      </c>
      <c r="F426" s="5" t="n">
        <v>5</v>
      </c>
      <c r="G426" s="5" t="n">
        <v>62</v>
      </c>
      <c r="H426" s="5" t="inlineStr">
        <is>
          <t>context_actor</t>
        </is>
      </c>
      <c r="I426" t="inlineStr">
        <is>
          <t>health_social_anchor</t>
        </is>
      </c>
      <c r="J426" s="5" t="inlineStr">
        <is>
          <t>implementation_anchor</t>
        </is>
      </c>
      <c r="K426" t="inlineStr">
        <is>
          <t>health_social_anchor</t>
        </is>
      </c>
      <c r="L426" s="5" t="inlineStr">
        <is>
          <t>gesellschaft</t>
        </is>
      </c>
      <c r="M426" s="5" t="inlineStr">
        <is>
          <t>pflege_fachkraefte_sozialwirtschaft</t>
        </is>
      </c>
      <c r="N426" s="5" t="inlineStr">
        <is>
          <t>Pflege, Fachkräfte und Sozialwirtschaft</t>
        </is>
      </c>
      <c r="O426" s="5" t="n">
        <v>5</v>
      </c>
      <c r="P426" s="5" t="n">
        <v>4</v>
      </c>
      <c r="Q426" s="5" t="n">
        <v>13</v>
      </c>
      <c r="R426" s="5" t="n">
        <v>4</v>
      </c>
      <c r="S426" s="5" t="n">
        <v>0</v>
      </c>
      <c r="T426" s="5" t="n">
        <v>0</v>
      </c>
      <c r="U426" s="5" t="n">
        <v>2</v>
      </c>
      <c r="V426" s="5" t="n">
        <v>6</v>
      </c>
      <c r="W426" s="5" t="n">
        <v>6</v>
      </c>
      <c r="X426" s="5" t="n">
        <v>0</v>
      </c>
      <c r="Y426" s="5" t="n">
        <v>0</v>
      </c>
      <c r="Z426" s="5" t="n">
        <v>0</v>
      </c>
      <c r="AA426" s="5" t="n">
        <v>0</v>
      </c>
      <c r="AB426" s="5" t="n">
        <v>30.31572</v>
      </c>
      <c r="AC426" s="5" t="inlineStr">
        <is>
          <t>Wie sichern Pflege- und Sozialträger Personal, Qualität und Versorgung in einer alternden Gesellschaft?</t>
        </is>
      </c>
      <c r="AD426" s="5" t="inlineStr">
        <is>
          <t>Pflege, Fachkräfte und Sozialwirtschaft: Barmherzige Brüder Trier gGmbH (context_actor, 5) + Landesärztekammer Rheinland-Pfalz (implementation_anchor, 4).</t>
        </is>
      </c>
      <c r="AE426" s="5" t="inlineStr">
        <is>
          <t>Barmherzige Brüder Trier gGmbH | Landesärztekammer Rheinland-Pfalz</t>
        </is>
      </c>
      <c r="AF426" s="5" t="inlineStr">
        <is>
          <t>pflege-fachkraefte-sozialwirtschaft-barmherzige-brüder-trier-ggmbh-landesärztekammer-rheinland-</t>
        </is>
      </c>
    </row>
    <row r="427">
      <c r="A427" s="5" t="inlineStr">
        <is>
          <t>C0426</t>
        </is>
      </c>
      <c r="B427" s="5" t="inlineStr">
        <is>
          <t>x_0426</t>
        </is>
      </c>
      <c r="C427" s="5" t="n">
        <v>0</v>
      </c>
      <c r="D427" s="5" t="inlineStr">
        <is>
          <t>Bundesagentur für Arbeit, Regionaldirektion Rheinland-Pfalz-Saarland</t>
        </is>
      </c>
      <c r="E427" s="5" t="inlineStr">
        <is>
          <t>Deutscher Gewerkschaftsbund (DGB) Rheinland-Pfalz/Saarland</t>
        </is>
      </c>
      <c r="F427" s="5" t="n">
        <v>13</v>
      </c>
      <c r="G427" s="5" t="n">
        <v>20</v>
      </c>
      <c r="H427" s="5" t="inlineStr">
        <is>
          <t>implementation_anchor</t>
        </is>
      </c>
      <c r="I427" t="inlineStr">
        <is>
          <t>public_policy_anchor</t>
        </is>
      </c>
      <c r="J427" s="5" t="inlineStr">
        <is>
          <t>context_actor</t>
        </is>
      </c>
      <c r="K427" t="inlineStr">
        <is>
          <t>chamber_association_anchor</t>
        </is>
      </c>
      <c r="L427" s="5" t="inlineStr">
        <is>
          <t>gesellschaft</t>
        </is>
      </c>
      <c r="M427" s="5" t="inlineStr">
        <is>
          <t>pflege_fachkraefte_sozialwirtschaft</t>
        </is>
      </c>
      <c r="N427" s="5" t="inlineStr">
        <is>
          <t>Pflege, Fachkräfte und Sozialwirtschaft</t>
        </is>
      </c>
      <c r="O427" s="5" t="n">
        <v>5</v>
      </c>
      <c r="P427" s="5" t="n">
        <v>4</v>
      </c>
      <c r="Q427" s="5" t="n">
        <v>13</v>
      </c>
      <c r="R427" s="5" t="n">
        <v>4</v>
      </c>
      <c r="S427" s="5" t="n">
        <v>0</v>
      </c>
      <c r="T427" s="5" t="n">
        <v>0</v>
      </c>
      <c r="U427" s="5" t="n">
        <v>2</v>
      </c>
      <c r="V427" s="5" t="n">
        <v>6</v>
      </c>
      <c r="W427" s="5" t="n">
        <v>6</v>
      </c>
      <c r="X427" s="5" t="n">
        <v>0</v>
      </c>
      <c r="Y427" s="5" t="n">
        <v>0</v>
      </c>
      <c r="Z427" s="5" t="n">
        <v>0</v>
      </c>
      <c r="AA427" s="5" t="n">
        <v>0</v>
      </c>
      <c r="AB427" s="5" t="n">
        <v>47.933362</v>
      </c>
      <c r="AC427" s="5" t="inlineStr">
        <is>
          <t>Wie sichern Pflege- und Sozialträger Personal, Qualität und Versorgung in einer alternden Gesellschaft?</t>
        </is>
      </c>
      <c r="AD427" s="5" t="inlineStr">
        <is>
          <t>Pflege, Fachkräfte und Sozialwirtschaft: Bundesagentur für Arbeit, Regionaldirektion Rheinland-Pfalz-Saarland (implementation_anchor, 5) + Deutscher Gewerkschaftsbund (DGB) Rheinland-Pfalz/Saarland (context_actor, 4).</t>
        </is>
      </c>
      <c r="AE427" s="5" t="inlineStr">
        <is>
          <t>Bundesagentur für Arbeit, Regionaldirektion Rheinland-Pfalz-Saarland | Deutscher Gewerkschaftsbund (DGB) Rheinland-Pfalz/Saarland</t>
        </is>
      </c>
      <c r="AF427" s="5" t="inlineStr">
        <is>
          <t>pflege-fachkraefte-sozialwirtschaft-bundesagentur-für-arbeit-regionaldirektion-rheinland-pfalz-</t>
        </is>
      </c>
    </row>
    <row r="428">
      <c r="A428" s="5" t="inlineStr">
        <is>
          <t>C0427</t>
        </is>
      </c>
      <c r="B428" s="5" t="inlineStr">
        <is>
          <t>x_0427</t>
        </is>
      </c>
      <c r="C428" s="5" t="n">
        <v>0</v>
      </c>
      <c r="D428" s="5" t="inlineStr">
        <is>
          <t>Bundesagentur für Arbeit, Regionaldirektion Rheinland-Pfalz-Saarland</t>
        </is>
      </c>
      <c r="E428" s="5" t="inlineStr">
        <is>
          <t>IKK Südwest</t>
        </is>
      </c>
      <c r="F428" s="5" t="n">
        <v>13</v>
      </c>
      <c r="G428" s="5" t="n">
        <v>42</v>
      </c>
      <c r="H428" s="5" t="inlineStr">
        <is>
          <t>implementation_anchor</t>
        </is>
      </c>
      <c r="I428" t="inlineStr">
        <is>
          <t>public_policy_anchor</t>
        </is>
      </c>
      <c r="J428" s="5" t="inlineStr">
        <is>
          <t>context_actor</t>
        </is>
      </c>
      <c r="K428" t="inlineStr">
        <is>
          <t>health_social_anchor</t>
        </is>
      </c>
      <c r="L428" s="5" t="inlineStr">
        <is>
          <t>gesellschaft</t>
        </is>
      </c>
      <c r="M428" s="5" t="inlineStr">
        <is>
          <t>pflege_fachkraefte_sozialwirtschaft</t>
        </is>
      </c>
      <c r="N428" s="5" t="inlineStr">
        <is>
          <t>Pflege, Fachkräfte und Sozialwirtschaft</t>
        </is>
      </c>
      <c r="O428" s="5" t="n">
        <v>5</v>
      </c>
      <c r="P428" s="5" t="n">
        <v>4</v>
      </c>
      <c r="Q428" s="5" t="n">
        <v>13</v>
      </c>
      <c r="R428" s="5" t="n">
        <v>4</v>
      </c>
      <c r="S428" s="5" t="n">
        <v>0</v>
      </c>
      <c r="T428" s="5" t="n">
        <v>0</v>
      </c>
      <c r="U428" s="5" t="n">
        <v>2</v>
      </c>
      <c r="V428" s="5" t="n">
        <v>6</v>
      </c>
      <c r="W428" s="5" t="n">
        <v>6</v>
      </c>
      <c r="X428" s="5" t="n">
        <v>0</v>
      </c>
      <c r="Y428" s="5" t="n">
        <v>0</v>
      </c>
      <c r="Z428" s="5" t="n">
        <v>0</v>
      </c>
      <c r="AA428" s="5" t="n">
        <v>0</v>
      </c>
      <c r="AB428" s="5" t="n">
        <v>37.129023</v>
      </c>
      <c r="AC428" s="5" t="inlineStr">
        <is>
          <t>Wie sichern Pflege- und Sozialträger Personal, Qualität und Versorgung in einer alternden Gesellschaft?</t>
        </is>
      </c>
      <c r="AD428" s="5" t="inlineStr">
        <is>
          <t>Pflege, Fachkräfte und Sozialwirtschaft: Bundesagentur für Arbeit, Regionaldirektion Rheinland-Pfalz-Saarland (implementation_anchor, 5) + IKK Südwest (context_actor, 4).</t>
        </is>
      </c>
      <c r="AE428" s="5" t="inlineStr">
        <is>
          <t>Bundesagentur für Arbeit, Regionaldirektion Rheinland-Pfalz-Saarland | IKK Südwest</t>
        </is>
      </c>
      <c r="AF428" s="5" t="inlineStr">
        <is>
          <t>pflege-fachkraefte-sozialwirtschaft-bundesagentur-für-arbeit-regionaldirektion-rheinland-pfalz-</t>
        </is>
      </c>
    </row>
    <row r="429">
      <c r="A429" s="5" t="inlineStr">
        <is>
          <t>C0428</t>
        </is>
      </c>
      <c r="B429" s="5" t="inlineStr">
        <is>
          <t>x_0428</t>
        </is>
      </c>
      <c r="C429" s="5" t="n">
        <v>0</v>
      </c>
      <c r="D429" s="5" t="inlineStr">
        <is>
          <t>Bundesagentur für Arbeit, Regionaldirektion Rheinland-Pfalz-Saarland</t>
        </is>
      </c>
      <c r="E429" s="5" t="inlineStr">
        <is>
          <t>Kassenärztliche Vereinigung Rheinland-Pfalz</t>
        </is>
      </c>
      <c r="F429" s="5" t="n">
        <v>13</v>
      </c>
      <c r="G429" s="5" t="n">
        <v>54</v>
      </c>
      <c r="H429" s="5" t="inlineStr">
        <is>
          <t>implementation_anchor</t>
        </is>
      </c>
      <c r="I429" t="inlineStr">
        <is>
          <t>public_policy_anchor</t>
        </is>
      </c>
      <c r="J429" s="5" t="inlineStr">
        <is>
          <t>context_actor</t>
        </is>
      </c>
      <c r="K429" t="inlineStr">
        <is>
          <t>health_social_anchor</t>
        </is>
      </c>
      <c r="L429" s="5" t="inlineStr">
        <is>
          <t>gesellschaft</t>
        </is>
      </c>
      <c r="M429" s="5" t="inlineStr">
        <is>
          <t>pflege_fachkraefte_sozialwirtschaft</t>
        </is>
      </c>
      <c r="N429" s="5" t="inlineStr">
        <is>
          <t>Pflege, Fachkräfte und Sozialwirtschaft</t>
        </is>
      </c>
      <c r="O429" s="5" t="n">
        <v>5</v>
      </c>
      <c r="P429" s="5" t="n">
        <v>4</v>
      </c>
      <c r="Q429" s="5" t="n">
        <v>13</v>
      </c>
      <c r="R429" s="5" t="n">
        <v>4</v>
      </c>
      <c r="S429" s="5" t="n">
        <v>0</v>
      </c>
      <c r="T429" s="5" t="n">
        <v>0</v>
      </c>
      <c r="U429" s="5" t="n">
        <v>2</v>
      </c>
      <c r="V429" s="5" t="n">
        <v>6</v>
      </c>
      <c r="W429" s="5" t="n">
        <v>6</v>
      </c>
      <c r="X429" s="5" t="n">
        <v>0</v>
      </c>
      <c r="Y429" s="5" t="n">
        <v>0</v>
      </c>
      <c r="Z429" s="5" t="n">
        <v>0</v>
      </c>
      <c r="AA429" s="5" t="n">
        <v>0</v>
      </c>
      <c r="AB429" s="5" t="n">
        <v>37.129023</v>
      </c>
      <c r="AC429" s="5" t="inlineStr">
        <is>
          <t>Wie sichern Pflege- und Sozialträger Personal, Qualität und Versorgung in einer alternden Gesellschaft?</t>
        </is>
      </c>
      <c r="AD429" s="5" t="inlineStr">
        <is>
          <t>Pflege, Fachkräfte und Sozialwirtschaft: Bundesagentur für Arbeit, Regionaldirektion Rheinland-Pfalz-Saarland (implementation_anchor, 5) + Kassenärztliche Vereinigung Rheinland-Pfalz (context_actor, 4).</t>
        </is>
      </c>
      <c r="AE429" s="5" t="inlineStr">
        <is>
          <t>Bundesagentur für Arbeit, Regionaldirektion Rheinland-Pfalz-Saarland | Kassenärztliche Vereinigung Rheinland-Pfalz</t>
        </is>
      </c>
      <c r="AF429" s="5" t="inlineStr">
        <is>
          <t>pflege-fachkraefte-sozialwirtschaft-bundesagentur-für-arbeit-regionaldirektion-rheinland-pfalz-</t>
        </is>
      </c>
    </row>
    <row r="430">
      <c r="A430" s="5" t="inlineStr">
        <is>
          <t>C0429</t>
        </is>
      </c>
      <c r="B430" s="5" t="inlineStr">
        <is>
          <t>x_0429</t>
        </is>
      </c>
      <c r="C430" s="5" t="n">
        <v>0</v>
      </c>
      <c r="D430" s="5" t="inlineStr">
        <is>
          <t>Bundesagentur für Arbeit, Regionaldirektion Rheinland-Pfalz-Saarland</t>
        </is>
      </c>
      <c r="E430" s="5" t="inlineStr">
        <is>
          <t>Techniker Krankenkasse</t>
        </is>
      </c>
      <c r="F430" s="5" t="n">
        <v>13</v>
      </c>
      <c r="G430" s="5" t="n">
        <v>87</v>
      </c>
      <c r="H430" s="5" t="inlineStr">
        <is>
          <t>implementation_anchor</t>
        </is>
      </c>
      <c r="I430" t="inlineStr">
        <is>
          <t>public_policy_anchor</t>
        </is>
      </c>
      <c r="J430" s="5" t="inlineStr">
        <is>
          <t>context_actor</t>
        </is>
      </c>
      <c r="K430" t="inlineStr">
        <is>
          <t>health_social_anchor</t>
        </is>
      </c>
      <c r="L430" s="5" t="inlineStr">
        <is>
          <t>gesellschaft</t>
        </is>
      </c>
      <c r="M430" s="5" t="inlineStr">
        <is>
          <t>pflege_fachkraefte_sozialwirtschaft</t>
        </is>
      </c>
      <c r="N430" s="5" t="inlineStr">
        <is>
          <t>Pflege, Fachkräfte und Sozialwirtschaft</t>
        </is>
      </c>
      <c r="O430" s="5" t="n">
        <v>5</v>
      </c>
      <c r="P430" s="5" t="n">
        <v>4</v>
      </c>
      <c r="Q430" s="5" t="n">
        <v>13</v>
      </c>
      <c r="R430" s="5" t="n">
        <v>4</v>
      </c>
      <c r="S430" s="5" t="n">
        <v>0</v>
      </c>
      <c r="T430" s="5" t="n">
        <v>0</v>
      </c>
      <c r="U430" s="5" t="n">
        <v>2</v>
      </c>
      <c r="V430" s="5" t="n">
        <v>6</v>
      </c>
      <c r="W430" s="5" t="n">
        <v>6</v>
      </c>
      <c r="X430" s="5" t="n">
        <v>0</v>
      </c>
      <c r="Y430" s="5" t="n">
        <v>0</v>
      </c>
      <c r="Z430" s="5" t="n">
        <v>0</v>
      </c>
      <c r="AA430" s="5" t="n">
        <v>0</v>
      </c>
      <c r="AB430" s="5" t="n">
        <v>37.129023</v>
      </c>
      <c r="AC430" s="5" t="inlineStr">
        <is>
          <t>Wie sichern Pflege- und Sozialträger Personal, Qualität und Versorgung in einer alternden Gesellschaft?</t>
        </is>
      </c>
      <c r="AD430" s="5" t="inlineStr">
        <is>
          <t>Pflege, Fachkräfte und Sozialwirtschaft: Bundesagentur für Arbeit, Regionaldirektion Rheinland-Pfalz-Saarland (implementation_anchor, 5) + Techniker Krankenkasse (context_actor, 4).</t>
        </is>
      </c>
      <c r="AE430" s="5" t="inlineStr">
        <is>
          <t>Bundesagentur für Arbeit, Regionaldirektion Rheinland-Pfalz-Saarland | Techniker Krankenkasse</t>
        </is>
      </c>
      <c r="AF430" s="5" t="inlineStr">
        <is>
          <t>pflege-fachkraefte-sozialwirtschaft-bundesagentur-für-arbeit-regionaldirektion-rheinland-pfalz-</t>
        </is>
      </c>
    </row>
    <row r="431">
      <c r="A431" s="5" t="inlineStr">
        <is>
          <t>C0430</t>
        </is>
      </c>
      <c r="B431" s="5" t="inlineStr">
        <is>
          <t>x_0430</t>
        </is>
      </c>
      <c r="C431" s="5" t="n">
        <v>0</v>
      </c>
      <c r="D431" s="5" t="inlineStr">
        <is>
          <t>Caritasverband für die Diözese Speyer e.V.</t>
        </is>
      </c>
      <c r="E431" s="5" t="inlineStr">
        <is>
          <t>Deutscher Gewerkschaftsbund (DGB) Rheinland-Pfalz/Saarland</t>
        </is>
      </c>
      <c r="F431" s="5" t="n">
        <v>14</v>
      </c>
      <c r="G431" s="5" t="n">
        <v>20</v>
      </c>
      <c r="H431" s="5" t="inlineStr">
        <is>
          <t>implementation_anchor</t>
        </is>
      </c>
      <c r="I431" t="inlineStr">
        <is>
          <t>health_social_anchor</t>
        </is>
      </c>
      <c r="J431" s="5" t="inlineStr">
        <is>
          <t>context_actor</t>
        </is>
      </c>
      <c r="K431" t="inlineStr">
        <is>
          <t>chamber_association_anchor</t>
        </is>
      </c>
      <c r="L431" s="5" t="inlineStr">
        <is>
          <t>gesellschaft</t>
        </is>
      </c>
      <c r="M431" s="5" t="inlineStr">
        <is>
          <t>pflege_fachkraefte_sozialwirtschaft</t>
        </is>
      </c>
      <c r="N431" s="5" t="inlineStr">
        <is>
          <t>Pflege, Fachkräfte und Sozialwirtschaft</t>
        </is>
      </c>
      <c r="O431" s="5" t="n">
        <v>5</v>
      </c>
      <c r="P431" s="5" t="n">
        <v>4</v>
      </c>
      <c r="Q431" s="5" t="n">
        <v>13</v>
      </c>
      <c r="R431" s="5" t="n">
        <v>4</v>
      </c>
      <c r="S431" s="5" t="n">
        <v>0</v>
      </c>
      <c r="T431" s="5" t="n">
        <v>0</v>
      </c>
      <c r="U431" s="5" t="n">
        <v>2</v>
      </c>
      <c r="V431" s="5" t="n">
        <v>6</v>
      </c>
      <c r="W431" s="5" t="n">
        <v>6</v>
      </c>
      <c r="X431" s="5" t="n">
        <v>0</v>
      </c>
      <c r="Y431" s="5" t="n">
        <v>0</v>
      </c>
      <c r="Z431" s="5" t="n">
        <v>0</v>
      </c>
      <c r="AA431" s="5" t="n">
        <v>0</v>
      </c>
      <c r="AB431" s="5" t="n">
        <v>42.872902</v>
      </c>
      <c r="AC431" s="5" t="inlineStr">
        <is>
          <t>Wie sichern Pflege- und Sozialträger Personal, Qualität und Versorgung in einer alternden Gesellschaft?</t>
        </is>
      </c>
      <c r="AD431" s="5" t="inlineStr">
        <is>
          <t>Pflege, Fachkräfte und Sozialwirtschaft: Caritasverband für die Diözese Speyer e.V. (implementation_anchor, 5) + Deutscher Gewerkschaftsbund (DGB) Rheinland-Pfalz/Saarland (context_actor, 4).</t>
        </is>
      </c>
      <c r="AE431" s="5" t="inlineStr">
        <is>
          <t>Caritasverband für die Diözese Speyer e.V. | Deutscher Gewerkschaftsbund (DGB) Rheinland-Pfalz/Saarland</t>
        </is>
      </c>
      <c r="AF431" s="5" t="inlineStr">
        <is>
          <t>pflege-fachkraefte-sozialwirtschaft-caritasverband-für-die-diözese-speyer-e-v-deutscher-gewerks</t>
        </is>
      </c>
    </row>
    <row r="432">
      <c r="A432" s="5" t="inlineStr">
        <is>
          <t>C0431</t>
        </is>
      </c>
      <c r="B432" s="5" t="inlineStr">
        <is>
          <t>x_0431</t>
        </is>
      </c>
      <c r="C432" s="5" t="n">
        <v>0</v>
      </c>
      <c r="D432" s="5" t="inlineStr">
        <is>
          <t>Caritasverband für die Diözese Speyer e.V.</t>
        </is>
      </c>
      <c r="E432" s="5" t="inlineStr">
        <is>
          <t>IKK Südwest</t>
        </is>
      </c>
      <c r="F432" s="5" t="n">
        <v>14</v>
      </c>
      <c r="G432" s="5" t="n">
        <v>42</v>
      </c>
      <c r="H432" s="5" t="inlineStr">
        <is>
          <t>implementation_anchor</t>
        </is>
      </c>
      <c r="I432" t="inlineStr">
        <is>
          <t>health_social_anchor</t>
        </is>
      </c>
      <c r="J432" s="5" t="inlineStr">
        <is>
          <t>context_actor</t>
        </is>
      </c>
      <c r="K432" t="inlineStr">
        <is>
          <t>health_social_anchor</t>
        </is>
      </c>
      <c r="L432" s="5" t="inlineStr">
        <is>
          <t>gesellschaft</t>
        </is>
      </c>
      <c r="M432" s="5" t="inlineStr">
        <is>
          <t>pflege_fachkraefte_sozialwirtschaft</t>
        </is>
      </c>
      <c r="N432" s="5" t="inlineStr">
        <is>
          <t>Pflege, Fachkräfte und Sozialwirtschaft</t>
        </is>
      </c>
      <c r="O432" s="5" t="n">
        <v>5</v>
      </c>
      <c r="P432" s="5" t="n">
        <v>4</v>
      </c>
      <c r="Q432" s="5" t="n">
        <v>13</v>
      </c>
      <c r="R432" s="5" t="n">
        <v>4</v>
      </c>
      <c r="S432" s="5" t="n">
        <v>0</v>
      </c>
      <c r="T432" s="5" t="n">
        <v>0</v>
      </c>
      <c r="U432" s="5" t="n">
        <v>2</v>
      </c>
      <c r="V432" s="5" t="n">
        <v>6</v>
      </c>
      <c r="W432" s="5" t="n">
        <v>6</v>
      </c>
      <c r="X432" s="5" t="n">
        <v>0</v>
      </c>
      <c r="Y432" s="5" t="n">
        <v>0</v>
      </c>
      <c r="Z432" s="5" t="n">
        <v>0</v>
      </c>
      <c r="AA432" s="5" t="n">
        <v>0</v>
      </c>
      <c r="AB432" s="5" t="n">
        <v>30.31572</v>
      </c>
      <c r="AC432" s="5" t="inlineStr">
        <is>
          <t>Wie sichern Pflege- und Sozialträger Personal, Qualität und Versorgung in einer alternden Gesellschaft?</t>
        </is>
      </c>
      <c r="AD432" s="5" t="inlineStr">
        <is>
          <t>Pflege, Fachkräfte und Sozialwirtschaft: Caritasverband für die Diözese Speyer e.V. (implementation_anchor, 5) + IKK Südwest (context_actor, 4).</t>
        </is>
      </c>
      <c r="AE432" s="5" t="inlineStr">
        <is>
          <t>Caritasverband für die Diözese Speyer e.V. | IKK Südwest</t>
        </is>
      </c>
      <c r="AF432" s="5" t="inlineStr">
        <is>
          <t>pflege-fachkraefte-sozialwirtschaft-caritasverband-für-die-diözese-speyer-e-v-ikk-südwest</t>
        </is>
      </c>
    </row>
    <row r="433">
      <c r="A433" s="5" t="inlineStr">
        <is>
          <t>C0432</t>
        </is>
      </c>
      <c r="B433" s="5" t="inlineStr">
        <is>
          <t>x_0432</t>
        </is>
      </c>
      <c r="C433" s="5" t="n">
        <v>0</v>
      </c>
      <c r="D433" s="5" t="inlineStr">
        <is>
          <t>1. FSV Mainz 05 e.V.</t>
        </is>
      </c>
      <c r="E433" s="5" t="inlineStr">
        <is>
          <t>LOTTO Rheinland-Pfalz GmbH</t>
        </is>
      </c>
      <c r="F433" s="5" t="n">
        <v>1</v>
      </c>
      <c r="G433" s="5" t="n">
        <v>66</v>
      </c>
      <c r="H433" s="5" t="inlineStr">
        <is>
          <t>context_actor</t>
        </is>
      </c>
      <c r="I433" t="inlineStr">
        <is>
          <t>sports_regional_identity_anchor</t>
        </is>
      </c>
      <c r="J433" s="5" t="inlineStr">
        <is>
          <t>profit_anchor</t>
        </is>
      </c>
      <c r="K433" t="inlineStr">
        <is>
          <t>culture_foundation_anchor</t>
        </is>
      </c>
      <c r="L433" s="5" t="inlineStr">
        <is>
          <t>gesellschaft</t>
        </is>
      </c>
      <c r="M433" s="5" t="inlineStr">
        <is>
          <t>sport_region_identifikation</t>
        </is>
      </c>
      <c r="N433" s="5" t="inlineStr">
        <is>
          <t>Sport, Region und gesellschaftliche Identifikation</t>
        </is>
      </c>
      <c r="O433" s="5" t="n">
        <v>5</v>
      </c>
      <c r="P433" s="5" t="n">
        <v>4</v>
      </c>
      <c r="Q433" s="5" t="n">
        <v>13</v>
      </c>
      <c r="R433" s="5" t="n">
        <v>4</v>
      </c>
      <c r="S433" s="5" t="n">
        <v>0</v>
      </c>
      <c r="T433" s="5" t="n">
        <v>0</v>
      </c>
      <c r="U433" s="5" t="n">
        <v>2</v>
      </c>
      <c r="V433" s="5" t="n">
        <v>6</v>
      </c>
      <c r="W433" s="5" t="n">
        <v>6</v>
      </c>
      <c r="X433" s="5" t="n">
        <v>0</v>
      </c>
      <c r="Y433" s="5" t="n">
        <v>0</v>
      </c>
      <c r="Z433" s="5" t="n">
        <v>0</v>
      </c>
      <c r="AA433" s="5" t="n">
        <v>0</v>
      </c>
      <c r="AB433" s="5" t="n">
        <v>44.201217</v>
      </c>
      <c r="AC433" s="5" t="inlineStr">
        <is>
          <t>Wie können Sportvereine als regionale Plattformen für Bildung, Teilhabe, Gesundheit oder Standortbindung wirken?</t>
        </is>
      </c>
      <c r="AD433" s="5" t="inlineStr">
        <is>
          <t>Sport, Region und gesellschaftliche Identifikation: 1. FSV Mainz 05 e.V. (context_actor, 5) + LOTTO Rheinland-Pfalz GmbH (profit_anchor, 4).</t>
        </is>
      </c>
      <c r="AE433" s="5" t="inlineStr">
        <is>
          <t>1. FSV Mainz 05 e.V. | LOTTO Rheinland-Pfalz GmbH</t>
        </is>
      </c>
      <c r="AF433" s="5" t="inlineStr">
        <is>
          <t>sport-region-identifikation-1-fsv-mainz-05-e-v-lotto-rheinland-pfalz-gmbh</t>
        </is>
      </c>
    </row>
    <row r="434">
      <c r="A434" s="5" t="inlineStr">
        <is>
          <t>C0433</t>
        </is>
      </c>
      <c r="B434" s="5" t="inlineStr">
        <is>
          <t>x_0433</t>
        </is>
      </c>
      <c r="C434" s="5" t="n">
        <v>0</v>
      </c>
      <c r="D434" s="5" t="inlineStr">
        <is>
          <t>AOK Rheinland-Pfalz/Saarland</t>
        </is>
      </c>
      <c r="E434" s="5" t="inlineStr">
        <is>
          <t>Erster FC Kaiserslautern GmbH &amp; Co. KGaA</t>
        </is>
      </c>
      <c r="F434" s="5" t="n">
        <v>2</v>
      </c>
      <c r="G434" s="5" t="n">
        <v>27</v>
      </c>
      <c r="H434" s="5" t="inlineStr">
        <is>
          <t>context_actor</t>
        </is>
      </c>
      <c r="I434" t="inlineStr">
        <is>
          <t>health_social_anchor</t>
        </is>
      </c>
      <c r="J434" s="5" t="inlineStr">
        <is>
          <t>profit_anchor</t>
        </is>
      </c>
      <c r="K434" t="inlineStr">
        <is>
          <t>sports_regional_identity_anchor</t>
        </is>
      </c>
      <c r="L434" s="5" t="inlineStr">
        <is>
          <t>gesellschaft</t>
        </is>
      </c>
      <c r="M434" s="5" t="inlineStr">
        <is>
          <t>sport_region_identifikation</t>
        </is>
      </c>
      <c r="N434" s="5" t="inlineStr">
        <is>
          <t>Sport, Region und gesellschaftliche Identifikation</t>
        </is>
      </c>
      <c r="O434" s="5" t="n">
        <v>4</v>
      </c>
      <c r="P434" s="5" t="n">
        <v>5</v>
      </c>
      <c r="Q434" s="5" t="n">
        <v>13</v>
      </c>
      <c r="R434" s="5" t="n">
        <v>4</v>
      </c>
      <c r="S434" s="5" t="n">
        <v>0</v>
      </c>
      <c r="T434" s="5" t="n">
        <v>0</v>
      </c>
      <c r="U434" s="5" t="n">
        <v>2</v>
      </c>
      <c r="V434" s="5" t="n">
        <v>6</v>
      </c>
      <c r="W434" s="5" t="n">
        <v>6</v>
      </c>
      <c r="X434" s="5" t="n">
        <v>0</v>
      </c>
      <c r="Y434" s="5" t="n">
        <v>0</v>
      </c>
      <c r="Z434" s="5" t="n">
        <v>0</v>
      </c>
      <c r="AA434" s="5" t="n">
        <v>0</v>
      </c>
      <c r="AB434" s="5" t="n">
        <v>36.981392</v>
      </c>
      <c r="AC434" s="5" t="inlineStr">
        <is>
          <t>Wie können Sportvereine als regionale Plattformen für Bildung, Teilhabe, Gesundheit oder Standortbindung wirken?</t>
        </is>
      </c>
      <c r="AD434" s="5" t="inlineStr">
        <is>
          <t>Sport, Region und gesellschaftliche Identifikation: AOK Rheinland-Pfalz/Saarland (context_actor, 4) + Erster FC Kaiserslautern GmbH &amp; Co. KGaA (profit_anchor, 5).</t>
        </is>
      </c>
      <c r="AE434" s="5" t="inlineStr">
        <is>
          <t>AOK Rheinland-Pfalz/Saarland | Erster FC Kaiserslautern GmbH &amp; Co. KGaA</t>
        </is>
      </c>
      <c r="AF434" s="5" t="inlineStr">
        <is>
          <t>sport-region-identifikation-aok-rheinland-pfalz-saarland-erster-fc-kaiserslautern-gmbh-co-kgaa</t>
        </is>
      </c>
    </row>
    <row r="435">
      <c r="A435" s="5" t="inlineStr">
        <is>
          <t>C0434</t>
        </is>
      </c>
      <c r="B435" s="5" t="inlineStr">
        <is>
          <t>x_0434</t>
        </is>
      </c>
      <c r="C435" s="5" t="n">
        <v>0</v>
      </c>
      <c r="D435" s="5" t="inlineStr">
        <is>
          <t>Erster FC Kaiserslautern GmbH &amp; Co. KGaA</t>
        </is>
      </c>
      <c r="E435" s="5" t="inlineStr">
        <is>
          <t>IKK Südwest</t>
        </is>
      </c>
      <c r="F435" s="5" t="n">
        <v>27</v>
      </c>
      <c r="G435" s="5" t="n">
        <v>42</v>
      </c>
      <c r="H435" s="5" t="inlineStr">
        <is>
          <t>profit_anchor</t>
        </is>
      </c>
      <c r="I435" t="inlineStr">
        <is>
          <t>sports_regional_identity_anchor</t>
        </is>
      </c>
      <c r="J435" s="5" t="inlineStr">
        <is>
          <t>context_actor</t>
        </is>
      </c>
      <c r="K435" t="inlineStr">
        <is>
          <t>health_social_anchor</t>
        </is>
      </c>
      <c r="L435" s="5" t="inlineStr">
        <is>
          <t>gesellschaft</t>
        </is>
      </c>
      <c r="M435" s="5" t="inlineStr">
        <is>
          <t>sport_region_identifikation</t>
        </is>
      </c>
      <c r="N435" s="5" t="inlineStr">
        <is>
          <t>Sport, Region und gesellschaftliche Identifikation</t>
        </is>
      </c>
      <c r="O435" s="5" t="n">
        <v>5</v>
      </c>
      <c r="P435" s="5" t="n">
        <v>4</v>
      </c>
      <c r="Q435" s="5" t="n">
        <v>13</v>
      </c>
      <c r="R435" s="5" t="n">
        <v>4</v>
      </c>
      <c r="S435" s="5" t="n">
        <v>0</v>
      </c>
      <c r="T435" s="5" t="n">
        <v>0</v>
      </c>
      <c r="U435" s="5" t="n">
        <v>2</v>
      </c>
      <c r="V435" s="5" t="n">
        <v>6</v>
      </c>
      <c r="W435" s="5" t="n">
        <v>6</v>
      </c>
      <c r="X435" s="5" t="n">
        <v>0</v>
      </c>
      <c r="Y435" s="5" t="n">
        <v>0</v>
      </c>
      <c r="Z435" s="5" t="n">
        <v>0</v>
      </c>
      <c r="AA435" s="5" t="n">
        <v>0</v>
      </c>
      <c r="AB435" s="5" t="n">
        <v>36.981392</v>
      </c>
      <c r="AC435" s="5" t="inlineStr">
        <is>
          <t>Wie können Sportvereine als regionale Plattformen für Bildung, Teilhabe, Gesundheit oder Standortbindung wirken?</t>
        </is>
      </c>
      <c r="AD435" s="5" t="inlineStr">
        <is>
          <t>Sport, Region und gesellschaftliche Identifikation: Erster FC Kaiserslautern GmbH &amp; Co. KGaA (profit_anchor, 5) + IKK Südwest (context_actor, 4).</t>
        </is>
      </c>
      <c r="AE435" s="5" t="inlineStr">
        <is>
          <t>Erster FC Kaiserslautern GmbH &amp; Co. KGaA | IKK Südwest</t>
        </is>
      </c>
      <c r="AF435" s="5" t="inlineStr">
        <is>
          <t>sport-region-identifikation-erster-fc-kaiserslautern-gmbh-co-kgaa-ikk-südwest</t>
        </is>
      </c>
    </row>
    <row r="436">
      <c r="A436" s="5" t="inlineStr">
        <is>
          <t>C0435</t>
        </is>
      </c>
      <c r="B436" s="5" t="inlineStr">
        <is>
          <t>x_0435</t>
        </is>
      </c>
      <c r="C436" s="5" t="n">
        <v>0</v>
      </c>
      <c r="D436" s="5" t="inlineStr">
        <is>
          <t>Erster FC Kaiserslautern GmbH &amp; Co. KGaA</t>
        </is>
      </c>
      <c r="E436" s="5" t="inlineStr">
        <is>
          <t>RPR1.</t>
        </is>
      </c>
      <c r="F436" s="5" t="n">
        <v>27</v>
      </c>
      <c r="G436" s="5" t="n">
        <v>76</v>
      </c>
      <c r="H436" s="5" t="inlineStr">
        <is>
          <t>profit_anchor</t>
        </is>
      </c>
      <c r="I436" t="inlineStr">
        <is>
          <t>sports_regional_identity_anchor</t>
        </is>
      </c>
      <c r="J436" s="5" t="inlineStr">
        <is>
          <t>context_actor</t>
        </is>
      </c>
      <c r="K436" t="inlineStr">
        <is>
          <t>media_publicity_anchor</t>
        </is>
      </c>
      <c r="L436" s="5" t="inlineStr">
        <is>
          <t>gesellschaft</t>
        </is>
      </c>
      <c r="M436" s="5" t="inlineStr">
        <is>
          <t>sport_region_identifikation</t>
        </is>
      </c>
      <c r="N436" s="5" t="inlineStr">
        <is>
          <t>Sport, Region und gesellschaftliche Identifikation</t>
        </is>
      </c>
      <c r="O436" s="5" t="n">
        <v>5</v>
      </c>
      <c r="P436" s="5" t="n">
        <v>4</v>
      </c>
      <c r="Q436" s="5" t="n">
        <v>13</v>
      </c>
      <c r="R436" s="5" t="n">
        <v>4</v>
      </c>
      <c r="S436" s="5" t="n">
        <v>0</v>
      </c>
      <c r="T436" s="5" t="n">
        <v>0</v>
      </c>
      <c r="U436" s="5" t="n">
        <v>2</v>
      </c>
      <c r="V436" s="5" t="n">
        <v>6</v>
      </c>
      <c r="W436" s="5" t="n">
        <v>6</v>
      </c>
      <c r="X436" s="5" t="n">
        <v>0</v>
      </c>
      <c r="Y436" s="5" t="n">
        <v>0</v>
      </c>
      <c r="Z436" s="5" t="n">
        <v>0</v>
      </c>
      <c r="AA436" s="5" t="n">
        <v>0</v>
      </c>
      <c r="AB436" s="5" t="n">
        <v>44.201217</v>
      </c>
      <c r="AC436" s="5" t="inlineStr">
        <is>
          <t>Wie können Sportvereine als regionale Plattformen für Bildung, Teilhabe, Gesundheit oder Standortbindung wirken?</t>
        </is>
      </c>
      <c r="AD436" s="5" t="inlineStr">
        <is>
          <t>Sport, Region und gesellschaftliche Identifikation: Erster FC Kaiserslautern GmbH &amp; Co. KGaA (profit_anchor, 5) + RPR1. (context_actor, 4).</t>
        </is>
      </c>
      <c r="AE436" s="5" t="inlineStr">
        <is>
          <t>Erster FC Kaiserslautern GmbH &amp; Co. KGaA | RPR1.</t>
        </is>
      </c>
      <c r="AF436" s="5" t="inlineStr">
        <is>
          <t>sport-region-identifikation-erster-fc-kaiserslautern-gmbh-co-kgaa-rpr1</t>
        </is>
      </c>
    </row>
    <row r="437">
      <c r="A437" s="5" t="inlineStr">
        <is>
          <t>C0436</t>
        </is>
      </c>
      <c r="B437" s="5" t="inlineStr">
        <is>
          <t>x_0436</t>
        </is>
      </c>
      <c r="C437" s="5" t="n">
        <v>0</v>
      </c>
      <c r="D437" s="5" t="inlineStr">
        <is>
          <t>Erster FC Kaiserslautern GmbH &amp; Co. KGaA</t>
        </is>
      </c>
      <c r="E437" s="5" t="inlineStr">
        <is>
          <t>Techniker Krankenkasse</t>
        </is>
      </c>
      <c r="F437" s="5" t="n">
        <v>27</v>
      </c>
      <c r="G437" s="5" t="n">
        <v>87</v>
      </c>
      <c r="H437" s="5" t="inlineStr">
        <is>
          <t>profit_anchor</t>
        </is>
      </c>
      <c r="I437" t="inlineStr">
        <is>
          <t>sports_regional_identity_anchor</t>
        </is>
      </c>
      <c r="J437" s="5" t="inlineStr">
        <is>
          <t>context_actor</t>
        </is>
      </c>
      <c r="K437" t="inlineStr">
        <is>
          <t>health_social_anchor</t>
        </is>
      </c>
      <c r="L437" s="5" t="inlineStr">
        <is>
          <t>gesellschaft</t>
        </is>
      </c>
      <c r="M437" s="5" t="inlineStr">
        <is>
          <t>sport_region_identifikation</t>
        </is>
      </c>
      <c r="N437" s="5" t="inlineStr">
        <is>
          <t>Sport, Region und gesellschaftliche Identifikation</t>
        </is>
      </c>
      <c r="O437" s="5" t="n">
        <v>5</v>
      </c>
      <c r="P437" s="5" t="n">
        <v>4</v>
      </c>
      <c r="Q437" s="5" t="n">
        <v>13</v>
      </c>
      <c r="R437" s="5" t="n">
        <v>4</v>
      </c>
      <c r="S437" s="5" t="n">
        <v>0</v>
      </c>
      <c r="T437" s="5" t="n">
        <v>0</v>
      </c>
      <c r="U437" s="5" t="n">
        <v>2</v>
      </c>
      <c r="V437" s="5" t="n">
        <v>6</v>
      </c>
      <c r="W437" s="5" t="n">
        <v>6</v>
      </c>
      <c r="X437" s="5" t="n">
        <v>0</v>
      </c>
      <c r="Y437" s="5" t="n">
        <v>0</v>
      </c>
      <c r="Z437" s="5" t="n">
        <v>0</v>
      </c>
      <c r="AA437" s="5" t="n">
        <v>0</v>
      </c>
      <c r="AB437" s="5" t="n">
        <v>36.981392</v>
      </c>
      <c r="AC437" s="5" t="inlineStr">
        <is>
          <t>Wie können Sportvereine als regionale Plattformen für Bildung, Teilhabe, Gesundheit oder Standortbindung wirken?</t>
        </is>
      </c>
      <c r="AD437" s="5" t="inlineStr">
        <is>
          <t>Sport, Region und gesellschaftliche Identifikation: Erster FC Kaiserslautern GmbH &amp; Co. KGaA (profit_anchor, 5) + Techniker Krankenkasse (context_actor, 4).</t>
        </is>
      </c>
      <c r="AE437" s="5" t="inlineStr">
        <is>
          <t>Erster FC Kaiserslautern GmbH &amp; Co. KGaA | Techniker Krankenkasse</t>
        </is>
      </c>
      <c r="AF437" s="5" t="inlineStr">
        <is>
          <t>sport-region-identifikation-erster-fc-kaiserslautern-gmbh-co-kgaa-techniker-krankenkasse</t>
        </is>
      </c>
    </row>
    <row r="438">
      <c r="A438" s="5" t="inlineStr">
        <is>
          <t>C0437</t>
        </is>
      </c>
      <c r="B438" s="5" t="inlineStr">
        <is>
          <t>x_0437</t>
        </is>
      </c>
      <c r="C438" s="5" t="n">
        <v>0</v>
      </c>
      <c r="D438" s="5" t="inlineStr">
        <is>
          <t>BASF SE</t>
        </is>
      </c>
      <c r="E438" s="5" t="inlineStr">
        <is>
          <t>WHU – Otto Beisheim School of Management</t>
        </is>
      </c>
      <c r="F438" s="5" t="n">
        <v>6</v>
      </c>
      <c r="G438" s="5" t="n">
        <v>99</v>
      </c>
      <c r="H438" s="5" t="inlineStr">
        <is>
          <t>profit_anchor</t>
        </is>
      </c>
      <c r="I438" t="inlineStr">
        <is>
          <t>industry_anchor</t>
        </is>
      </c>
      <c r="J438" s="5" t="inlineStr">
        <is>
          <t>academic_support</t>
        </is>
      </c>
      <c r="K438" t="inlineStr">
        <is>
          <t>university_research</t>
        </is>
      </c>
      <c r="L438" s="5" t="inlineStr">
        <is>
          <t>wirtschaft</t>
        </is>
      </c>
      <c r="M438" s="5" t="inlineStr">
        <is>
          <t>standort_investition_transformation</t>
        </is>
      </c>
      <c r="N438" s="5" t="inlineStr">
        <is>
          <t>Standort, Investition und industrielle Transformation</t>
        </is>
      </c>
      <c r="O438" s="5" t="n">
        <v>5</v>
      </c>
      <c r="P438" s="5" t="n">
        <v>4</v>
      </c>
      <c r="Q438" s="5" t="n">
        <v>13</v>
      </c>
      <c r="R438" s="5" t="n">
        <v>4</v>
      </c>
      <c r="S438" s="5" t="n">
        <v>0</v>
      </c>
      <c r="T438" s="5" t="n">
        <v>0</v>
      </c>
      <c r="U438" s="5" t="n">
        <v>2</v>
      </c>
      <c r="V438" s="5" t="n">
        <v>6</v>
      </c>
      <c r="W438" s="5" t="n">
        <v>6</v>
      </c>
      <c r="X438" s="5" t="n">
        <v>0</v>
      </c>
      <c r="Y438" s="5" t="n">
        <v>0</v>
      </c>
      <c r="Z438" s="5" t="n">
        <v>0</v>
      </c>
      <c r="AA438" s="5" t="n">
        <v>0</v>
      </c>
      <c r="AB438" s="5" t="n">
        <v>26.593343</v>
      </c>
      <c r="AC438" s="5" t="inlineStr">
        <is>
          <t>Welche Standortbedingungen entscheiden darüber, ob Unternehmen in Rheinland-Pfalz investieren, modernisieren oder verlagern?</t>
        </is>
      </c>
      <c r="AD438" s="5" t="inlineStr">
        <is>
          <t>Standort, Investition und industrielle Transformation: BASF SE (profit_anchor, 5) + WHU – Otto Beisheim School of Management (academic_support, 4).</t>
        </is>
      </c>
      <c r="AE438" s="5" t="inlineStr">
        <is>
          <t>BASF SE | WHU – Otto Beisheim School of Management</t>
        </is>
      </c>
      <c r="AF438" s="5" t="inlineStr">
        <is>
          <t>standort-investition-transformation-basf-se-whu-otto-beisheim-school-of-management</t>
        </is>
      </c>
    </row>
    <row r="439">
      <c r="A439" s="5" t="inlineStr">
        <is>
          <t>C0438</t>
        </is>
      </c>
      <c r="B439" s="5" t="inlineStr">
        <is>
          <t>x_0438</t>
        </is>
      </c>
      <c r="C439" s="5" t="n">
        <v>0</v>
      </c>
      <c r="D439" s="5" t="inlineStr">
        <is>
          <t>Bitburger Braugruppe GmbH</t>
        </is>
      </c>
      <c r="E439" s="5" t="inlineStr">
        <is>
          <t>Investitions- und Strukturbank Rheinland-Pfalz (ISB)</t>
        </is>
      </c>
      <c r="F439" s="5" t="n">
        <v>10</v>
      </c>
      <c r="G439" s="5" t="n">
        <v>45</v>
      </c>
      <c r="H439" s="5" t="inlineStr">
        <is>
          <t>profit_anchor</t>
        </is>
      </c>
      <c r="I439" t="inlineStr">
        <is>
          <t>food_beverage_consumer_anchor</t>
        </is>
      </c>
      <c r="J439" s="5" t="inlineStr">
        <is>
          <t>context_actor</t>
        </is>
      </c>
      <c r="K439" t="inlineStr">
        <is>
          <t>bank_finance_anchor</t>
        </is>
      </c>
      <c r="L439" s="5" t="inlineStr">
        <is>
          <t>wirtschaft</t>
        </is>
      </c>
      <c r="M439" s="5" t="inlineStr">
        <is>
          <t>standort_investition_transformation</t>
        </is>
      </c>
      <c r="N439" s="5" t="inlineStr">
        <is>
          <t>Standort, Investition und industrielle Transformation</t>
        </is>
      </c>
      <c r="O439" s="5" t="n">
        <v>4</v>
      </c>
      <c r="P439" s="5" t="n">
        <v>5</v>
      </c>
      <c r="Q439" s="5" t="n">
        <v>13</v>
      </c>
      <c r="R439" s="5" t="n">
        <v>4</v>
      </c>
      <c r="S439" s="5" t="n">
        <v>0</v>
      </c>
      <c r="T439" s="5" t="n">
        <v>0</v>
      </c>
      <c r="U439" s="5" t="n">
        <v>2</v>
      </c>
      <c r="V439" s="5" t="n">
        <v>6</v>
      </c>
      <c r="W439" s="5" t="n">
        <v>6</v>
      </c>
      <c r="X439" s="5" t="n">
        <v>0</v>
      </c>
      <c r="Y439" s="5" t="n">
        <v>0</v>
      </c>
      <c r="Z439" s="5" t="n">
        <v>0</v>
      </c>
      <c r="AA439" s="5" t="n">
        <v>0</v>
      </c>
      <c r="AB439" s="5" t="n">
        <v>28.351853</v>
      </c>
      <c r="AC439" s="5" t="inlineStr">
        <is>
          <t>Welche Standortbedingungen entscheiden darüber, ob Unternehmen in Rheinland-Pfalz investieren, modernisieren oder verlagern?</t>
        </is>
      </c>
      <c r="AD439" s="5" t="inlineStr">
        <is>
          <t>Standort, Investition und industrielle Transformation: Bitburger Braugruppe GmbH (profit_anchor, 4) + Investitions- und Strukturbank Rheinland-Pfalz (ISB) (context_actor, 5).</t>
        </is>
      </c>
      <c r="AE439" s="5" t="inlineStr">
        <is>
          <t>Bitburger Braugruppe GmbH | Investitions- und Strukturbank Rheinland-Pfalz (ISB)</t>
        </is>
      </c>
      <c r="AF439" s="5" t="inlineStr">
        <is>
          <t>standort-investition-transformation-bitburger-braugruppe-gmbh-investitions-und-strukturbank-rhe</t>
        </is>
      </c>
    </row>
    <row r="440">
      <c r="A440" s="5" t="inlineStr">
        <is>
          <t>C0439</t>
        </is>
      </c>
      <c r="B440" s="5" t="inlineStr">
        <is>
          <t>x_0439</t>
        </is>
      </c>
      <c r="C440" s="5" t="n">
        <v>0</v>
      </c>
      <c r="D440" s="5" t="inlineStr">
        <is>
          <t>Boehringer Ingelheim Pharma GmbH &amp; Co. KG</t>
        </is>
      </c>
      <c r="E440" s="5" t="inlineStr">
        <is>
          <t>WHU – Otto Beisheim School of Management</t>
        </is>
      </c>
      <c r="F440" s="5" t="n">
        <v>11</v>
      </c>
      <c r="G440" s="5" t="n">
        <v>99</v>
      </c>
      <c r="H440" s="5" t="inlineStr">
        <is>
          <t>profit_anchor</t>
        </is>
      </c>
      <c r="I440" t="inlineStr">
        <is>
          <t>health_social_anchor</t>
        </is>
      </c>
      <c r="J440" s="5" t="inlineStr">
        <is>
          <t>academic_support</t>
        </is>
      </c>
      <c r="K440" t="inlineStr">
        <is>
          <t>university_research</t>
        </is>
      </c>
      <c r="L440" s="5" t="inlineStr">
        <is>
          <t>wirtschaft</t>
        </is>
      </c>
      <c r="M440" s="5" t="inlineStr">
        <is>
          <t>standort_investition_transformation</t>
        </is>
      </c>
      <c r="N440" s="5" t="inlineStr">
        <is>
          <t>Standort, Investition und industrielle Transformation</t>
        </is>
      </c>
      <c r="O440" s="5" t="n">
        <v>5</v>
      </c>
      <c r="P440" s="5" t="n">
        <v>4</v>
      </c>
      <c r="Q440" s="5" t="n">
        <v>13</v>
      </c>
      <c r="R440" s="5" t="n">
        <v>4</v>
      </c>
      <c r="S440" s="5" t="n">
        <v>0</v>
      </c>
      <c r="T440" s="5" t="n">
        <v>0</v>
      </c>
      <c r="U440" s="5" t="n">
        <v>2</v>
      </c>
      <c r="V440" s="5" t="n">
        <v>6</v>
      </c>
      <c r="W440" s="5" t="n">
        <v>6</v>
      </c>
      <c r="X440" s="5" t="n">
        <v>0</v>
      </c>
      <c r="Y440" s="5" t="n">
        <v>0</v>
      </c>
      <c r="Z440" s="5" t="n">
        <v>0</v>
      </c>
      <c r="AA440" s="5" t="n">
        <v>0</v>
      </c>
      <c r="AB440" s="5" t="n">
        <v>26.158883</v>
      </c>
      <c r="AC440" s="5" t="inlineStr">
        <is>
          <t>Welche Standortbedingungen entscheiden darüber, ob Unternehmen in Rheinland-Pfalz investieren, modernisieren oder verlagern?</t>
        </is>
      </c>
      <c r="AD440" s="5" t="inlineStr">
        <is>
          <t>Standort, Investition und industrielle Transformation: Boehringer Ingelheim Pharma GmbH &amp; Co. KG (profit_anchor, 5) + WHU – Otto Beisheim School of Management (academic_support, 4).</t>
        </is>
      </c>
      <c r="AE440" s="5" t="inlineStr">
        <is>
          <t>Boehringer Ingelheim Pharma GmbH &amp; Co. KG | WHU – Otto Beisheim School of Management</t>
        </is>
      </c>
      <c r="AF440" s="5" t="inlineStr">
        <is>
          <t>standort-investition-transformation-boehringer-ingelheim-pharma-gmbh-co-kg-whu-otto-beisheim-sc</t>
        </is>
      </c>
    </row>
    <row r="441">
      <c r="A441" s="5" t="inlineStr">
        <is>
          <t>C0440</t>
        </is>
      </c>
      <c r="B441" s="5" t="inlineStr">
        <is>
          <t>x_0440</t>
        </is>
      </c>
      <c r="C441" s="5" t="n">
        <v>0</v>
      </c>
      <c r="D441" s="5" t="inlineStr">
        <is>
          <t>Continental Automotive Technologies GmbH, Safety and Motion (SAM), Standort Rheinböllen</t>
        </is>
      </c>
      <c r="E441" s="5" t="inlineStr">
        <is>
          <t>Investitions- und Strukturbank Rheinland-Pfalz (ISB)</t>
        </is>
      </c>
      <c r="F441" s="5" t="n">
        <v>15</v>
      </c>
      <c r="G441" s="5" t="n">
        <v>45</v>
      </c>
      <c r="H441" s="5" t="inlineStr">
        <is>
          <t>profit_anchor</t>
        </is>
      </c>
      <c r="I441" t="inlineStr">
        <is>
          <t>industry_anchor</t>
        </is>
      </c>
      <c r="J441" s="5" t="inlineStr">
        <is>
          <t>context_actor</t>
        </is>
      </c>
      <c r="K441" t="inlineStr">
        <is>
          <t>bank_finance_anchor</t>
        </is>
      </c>
      <c r="L441" s="5" t="inlineStr">
        <is>
          <t>wirtschaft</t>
        </is>
      </c>
      <c r="M441" s="5" t="inlineStr">
        <is>
          <t>standort_investition_transformation</t>
        </is>
      </c>
      <c r="N441" s="5" t="inlineStr">
        <is>
          <t>Standort, Investition und industrielle Transformation</t>
        </is>
      </c>
      <c r="O441" s="5" t="n">
        <v>4</v>
      </c>
      <c r="P441" s="5" t="n">
        <v>5</v>
      </c>
      <c r="Q441" s="5" t="n">
        <v>13</v>
      </c>
      <c r="R441" s="5" t="n">
        <v>4</v>
      </c>
      <c r="S441" s="5" t="n">
        <v>0</v>
      </c>
      <c r="T441" s="5" t="n">
        <v>0</v>
      </c>
      <c r="U441" s="5" t="n">
        <v>2</v>
      </c>
      <c r="V441" s="5" t="n">
        <v>6</v>
      </c>
      <c r="W441" s="5" t="n">
        <v>6</v>
      </c>
      <c r="X441" s="5" t="n">
        <v>0</v>
      </c>
      <c r="Y441" s="5" t="n">
        <v>0</v>
      </c>
      <c r="Z441" s="5" t="n">
        <v>0</v>
      </c>
      <c r="AA441" s="5" t="n">
        <v>0</v>
      </c>
      <c r="AB441" s="5" t="n">
        <v>23.410772</v>
      </c>
      <c r="AC441" s="5" t="inlineStr">
        <is>
          <t>Welche Standortbedingungen entscheiden darüber, ob Unternehmen in Rheinland-Pfalz investieren, modernisieren oder verlagern?</t>
        </is>
      </c>
      <c r="AD441" s="5" t="inlineStr">
        <is>
          <t>Standort, Investition und industrielle Transformation: Continental Automotive Technologies GmbH, Safety and Motion (SAM), Standort Rheinböllen (profit_anchor, 4) + Investitions- und Strukturbank Rheinland-Pfalz (ISB) (context_actor, 5).</t>
        </is>
      </c>
      <c r="AE441" s="5" t="inlineStr">
        <is>
          <t>Continental Automotive Technologies GmbH, Safety and Motion (SAM), Standort Rheinböllen | Investitions- und Strukturbank Rheinland-Pfalz (ISB)</t>
        </is>
      </c>
      <c r="AF441" s="5" t="inlineStr">
        <is>
          <t>standort-investition-transformation-continental-automotive-technologies-gmbh-safety-and-motion-</t>
        </is>
      </c>
    </row>
    <row r="442">
      <c r="A442" s="5" t="inlineStr">
        <is>
          <t>C0441</t>
        </is>
      </c>
      <c r="B442" s="5" t="inlineStr">
        <is>
          <t>x_0441</t>
        </is>
      </c>
      <c r="C442" s="5" t="n">
        <v>0</v>
      </c>
      <c r="D442" s="5" t="inlineStr">
        <is>
          <t>Debeka Versicherungsgruppe</t>
        </is>
      </c>
      <c r="E442" s="5" t="inlineStr">
        <is>
          <t>Investitions- und Strukturbank Rheinland-Pfalz (ISB)</t>
        </is>
      </c>
      <c r="F442" s="5" t="n">
        <v>16</v>
      </c>
      <c r="G442" s="5" t="n">
        <v>45</v>
      </c>
      <c r="H442" s="5" t="inlineStr">
        <is>
          <t>profit_anchor</t>
        </is>
      </c>
      <c r="I442" t="inlineStr">
        <is>
          <t>bank_finance_anchor</t>
        </is>
      </c>
      <c r="J442" s="5" t="inlineStr">
        <is>
          <t>context_actor</t>
        </is>
      </c>
      <c r="K442" t="inlineStr">
        <is>
          <t>bank_finance_anchor</t>
        </is>
      </c>
      <c r="L442" s="5" t="inlineStr">
        <is>
          <t>wirtschaft</t>
        </is>
      </c>
      <c r="M442" s="5" t="inlineStr">
        <is>
          <t>standort_investition_transformation</t>
        </is>
      </c>
      <c r="N442" s="5" t="inlineStr">
        <is>
          <t>Standort, Investition und industrielle Transformation</t>
        </is>
      </c>
      <c r="O442" s="5" t="n">
        <v>4</v>
      </c>
      <c r="P442" s="5" t="n">
        <v>5</v>
      </c>
      <c r="Q442" s="5" t="n">
        <v>13</v>
      </c>
      <c r="R442" s="5" t="n">
        <v>4</v>
      </c>
      <c r="S442" s="5" t="n">
        <v>0</v>
      </c>
      <c r="T442" s="5" t="n">
        <v>0</v>
      </c>
      <c r="U442" s="5" t="n">
        <v>2</v>
      </c>
      <c r="V442" s="5" t="n">
        <v>6</v>
      </c>
      <c r="W442" s="5" t="n">
        <v>6</v>
      </c>
      <c r="X442" s="5" t="n">
        <v>0</v>
      </c>
      <c r="Y442" s="5" t="n">
        <v>0</v>
      </c>
      <c r="Z442" s="5" t="n">
        <v>0</v>
      </c>
      <c r="AA442" s="5" t="n">
        <v>0</v>
      </c>
      <c r="AB442" s="5" t="n">
        <v>25.881583</v>
      </c>
      <c r="AC442" s="5" t="inlineStr">
        <is>
          <t>Welche Standortbedingungen entscheiden darüber, ob Unternehmen in Rheinland-Pfalz investieren, modernisieren oder verlagern?</t>
        </is>
      </c>
      <c r="AD442" s="5" t="inlineStr">
        <is>
          <t>Standort, Investition und industrielle Transformation: Debeka Versicherungsgruppe (profit_anchor, 4) + Investitions- und Strukturbank Rheinland-Pfalz (ISB) (context_actor, 5).</t>
        </is>
      </c>
      <c r="AE442" s="5" t="inlineStr">
        <is>
          <t>Debeka Versicherungsgruppe | Investitions- und Strukturbank Rheinland-Pfalz (ISB)</t>
        </is>
      </c>
      <c r="AF442" s="5" t="inlineStr">
        <is>
          <t>standort-investition-transformation-debeka-versicherungsgruppe-investitions-und-strukturbank-rh</t>
        </is>
      </c>
    </row>
    <row r="443">
      <c r="A443" s="5" t="inlineStr">
        <is>
          <t>C0442</t>
        </is>
      </c>
      <c r="B443" s="5" t="inlineStr">
        <is>
          <t>x_0442</t>
        </is>
      </c>
      <c r="C443" s="5" t="n">
        <v>0</v>
      </c>
      <c r="D443" s="5" t="inlineStr">
        <is>
          <t>Eckes-Granini Deutschland GmbH</t>
        </is>
      </c>
      <c r="E443" s="5" t="inlineStr">
        <is>
          <t>Investitions- und Strukturbank Rheinland-Pfalz (ISB)</t>
        </is>
      </c>
      <c r="F443" s="5" t="n">
        <v>22</v>
      </c>
      <c r="G443" s="5" t="n">
        <v>45</v>
      </c>
      <c r="H443" s="5" t="inlineStr">
        <is>
          <t>profit_anchor</t>
        </is>
      </c>
      <c r="I443" t="inlineStr">
        <is>
          <t>food_beverage_consumer_anchor</t>
        </is>
      </c>
      <c r="J443" s="5" t="inlineStr">
        <is>
          <t>context_actor</t>
        </is>
      </c>
      <c r="K443" t="inlineStr">
        <is>
          <t>bank_finance_anchor</t>
        </is>
      </c>
      <c r="L443" s="5" t="inlineStr">
        <is>
          <t>wirtschaft</t>
        </is>
      </c>
      <c r="M443" s="5" t="inlineStr">
        <is>
          <t>standort_investition_transformation</t>
        </is>
      </c>
      <c r="N443" s="5" t="inlineStr">
        <is>
          <t>Standort, Investition und industrielle Transformation</t>
        </is>
      </c>
      <c r="O443" s="5" t="n">
        <v>4</v>
      </c>
      <c r="P443" s="5" t="n">
        <v>5</v>
      </c>
      <c r="Q443" s="5" t="n">
        <v>13</v>
      </c>
      <c r="R443" s="5" t="n">
        <v>4</v>
      </c>
      <c r="S443" s="5" t="n">
        <v>0</v>
      </c>
      <c r="T443" s="5" t="n">
        <v>0</v>
      </c>
      <c r="U443" s="5" t="n">
        <v>2</v>
      </c>
      <c r="V443" s="5" t="n">
        <v>6</v>
      </c>
      <c r="W443" s="5" t="n">
        <v>6</v>
      </c>
      <c r="X443" s="5" t="n">
        <v>0</v>
      </c>
      <c r="Y443" s="5" t="n">
        <v>0</v>
      </c>
      <c r="Z443" s="5" t="n">
        <v>0</v>
      </c>
      <c r="AA443" s="5" t="n">
        <v>0</v>
      </c>
      <c r="AB443" s="5" t="n">
        <v>28.351853</v>
      </c>
      <c r="AC443" s="5" t="inlineStr">
        <is>
          <t>Welche Standortbedingungen entscheiden darüber, ob Unternehmen in Rheinland-Pfalz investieren, modernisieren oder verlagern?</t>
        </is>
      </c>
      <c r="AD443" s="5" t="inlineStr">
        <is>
          <t>Standort, Investition und industrielle Transformation: Eckes-Granini Deutschland GmbH (profit_anchor, 4) + Investitions- und Strukturbank Rheinland-Pfalz (ISB) (context_actor, 5).</t>
        </is>
      </c>
      <c r="AE443" s="5" t="inlineStr">
        <is>
          <t>Eckes-Granini Deutschland GmbH | Investitions- und Strukturbank Rheinland-Pfalz (ISB)</t>
        </is>
      </c>
      <c r="AF443" s="5" t="inlineStr">
        <is>
          <t>standort-investition-transformation-eckes-granini-deutschland-gmbh-investitions-und-strukturban</t>
        </is>
      </c>
    </row>
    <row r="444">
      <c r="A444" s="5" t="inlineStr">
        <is>
          <t>C0443</t>
        </is>
      </c>
      <c r="B444" s="5" t="inlineStr">
        <is>
          <t>x_0443</t>
        </is>
      </c>
      <c r="C444" s="5" t="n">
        <v>0</v>
      </c>
      <c r="D444" s="5" t="inlineStr">
        <is>
          <t>Ernst &amp; Young GmbH</t>
        </is>
      </c>
      <c r="E444" s="5" t="inlineStr">
        <is>
          <t>Investitions- und Strukturbank Rheinland-Pfalz (ISB)</t>
        </is>
      </c>
      <c r="F444" s="5" t="n">
        <v>26</v>
      </c>
      <c r="G444" s="5" t="n">
        <v>45</v>
      </c>
      <c r="H444" s="5" t="inlineStr">
        <is>
          <t>profit_anchor</t>
        </is>
      </c>
      <c r="I444" t="inlineStr">
        <is>
          <t>professional_services_anchor</t>
        </is>
      </c>
      <c r="J444" s="5" t="inlineStr">
        <is>
          <t>context_actor</t>
        </is>
      </c>
      <c r="K444" t="inlineStr">
        <is>
          <t>bank_finance_anchor</t>
        </is>
      </c>
      <c r="L444" s="5" t="inlineStr">
        <is>
          <t>wirtschaft</t>
        </is>
      </c>
      <c r="M444" s="5" t="inlineStr">
        <is>
          <t>standort_investition_transformation</t>
        </is>
      </c>
      <c r="N444" s="5" t="inlineStr">
        <is>
          <t>Standort, Investition und industrielle Transformation</t>
        </is>
      </c>
      <c r="O444" s="5" t="n">
        <v>4</v>
      </c>
      <c r="P444" s="5" t="n">
        <v>5</v>
      </c>
      <c r="Q444" s="5" t="n">
        <v>13</v>
      </c>
      <c r="R444" s="5" t="n">
        <v>4</v>
      </c>
      <c r="S444" s="5" t="n">
        <v>0</v>
      </c>
      <c r="T444" s="5" t="n">
        <v>0</v>
      </c>
      <c r="U444" s="5" t="n">
        <v>2</v>
      </c>
      <c r="V444" s="5" t="n">
        <v>6</v>
      </c>
      <c r="W444" s="5" t="n">
        <v>6</v>
      </c>
      <c r="X444" s="5" t="n">
        <v>0</v>
      </c>
      <c r="Y444" s="5" t="n">
        <v>0</v>
      </c>
      <c r="Z444" s="5" t="n">
        <v>0</v>
      </c>
      <c r="AA444" s="5" t="n">
        <v>0</v>
      </c>
      <c r="AB444" s="5" t="n">
        <v>28.351853</v>
      </c>
      <c r="AC444" s="5" t="inlineStr">
        <is>
          <t>Welche Standortbedingungen entscheiden darüber, ob Unternehmen in Rheinland-Pfalz investieren, modernisieren oder verlagern?</t>
        </is>
      </c>
      <c r="AD444" s="5" t="inlineStr">
        <is>
          <t>Standort, Investition und industrielle Transformation: Ernst &amp; Young GmbH (profit_anchor, 4) + Investitions- und Strukturbank Rheinland-Pfalz (ISB) (context_actor, 5).</t>
        </is>
      </c>
      <c r="AE444" s="5" t="inlineStr">
        <is>
          <t>Ernst &amp; Young GmbH | Investitions- und Strukturbank Rheinland-Pfalz (ISB)</t>
        </is>
      </c>
      <c r="AF444" s="5" t="inlineStr">
        <is>
          <t>standort-investition-transformation-ernst-young-gmbh-investitions-und-strukturbank-rheinland-pf</t>
        </is>
      </c>
    </row>
    <row r="445">
      <c r="A445" s="5" t="inlineStr">
        <is>
          <t>C0444</t>
        </is>
      </c>
      <c r="B445" s="5" t="inlineStr">
        <is>
          <t>x_0444</t>
        </is>
      </c>
      <c r="C445" s="5" t="n">
        <v>0</v>
      </c>
      <c r="D445" s="5" t="inlineStr">
        <is>
          <t>GLOBUS Markthallen Holding GmbH &amp; Co. KG</t>
        </is>
      </c>
      <c r="E445" s="5" t="inlineStr">
        <is>
          <t>Investitions- und Strukturbank Rheinland-Pfalz (ISB)</t>
        </is>
      </c>
      <c r="F445" s="5" t="n">
        <v>31</v>
      </c>
      <c r="G445" s="5" t="n">
        <v>45</v>
      </c>
      <c r="H445" s="5" t="inlineStr">
        <is>
          <t>profit_anchor</t>
        </is>
      </c>
      <c r="I445" t="inlineStr">
        <is>
          <t>food_beverage_consumer_anchor</t>
        </is>
      </c>
      <c r="J445" s="5" t="inlineStr">
        <is>
          <t>context_actor</t>
        </is>
      </c>
      <c r="K445" t="inlineStr">
        <is>
          <t>bank_finance_anchor</t>
        </is>
      </c>
      <c r="L445" s="5" t="inlineStr">
        <is>
          <t>wirtschaft</t>
        </is>
      </c>
      <c r="M445" s="5" t="inlineStr">
        <is>
          <t>standort_investition_transformation</t>
        </is>
      </c>
      <c r="N445" s="5" t="inlineStr">
        <is>
          <t>Standort, Investition und industrielle Transformation</t>
        </is>
      </c>
      <c r="O445" s="5" t="n">
        <v>4</v>
      </c>
      <c r="P445" s="5" t="n">
        <v>5</v>
      </c>
      <c r="Q445" s="5" t="n">
        <v>13</v>
      </c>
      <c r="R445" s="5" t="n">
        <v>4</v>
      </c>
      <c r="S445" s="5" t="n">
        <v>0</v>
      </c>
      <c r="T445" s="5" t="n">
        <v>0</v>
      </c>
      <c r="U445" s="5" t="n">
        <v>2</v>
      </c>
      <c r="V445" s="5" t="n">
        <v>6</v>
      </c>
      <c r="W445" s="5" t="n">
        <v>6</v>
      </c>
      <c r="X445" s="5" t="n">
        <v>0</v>
      </c>
      <c r="Y445" s="5" t="n">
        <v>0</v>
      </c>
      <c r="Z445" s="5" t="n">
        <v>0</v>
      </c>
      <c r="AA445" s="5" t="n">
        <v>0</v>
      </c>
      <c r="AB445" s="5" t="n">
        <v>28.351853</v>
      </c>
      <c r="AC445" s="5" t="inlineStr">
        <is>
          <t>Welche Standortbedingungen entscheiden darüber, ob Unternehmen in Rheinland-Pfalz investieren, modernisieren oder verlagern?</t>
        </is>
      </c>
      <c r="AD445" s="5" t="inlineStr">
        <is>
          <t>Standort, Investition und industrielle Transformation: GLOBUS Markthallen Holding GmbH &amp; Co. KG (profit_anchor, 4) + Investitions- und Strukturbank Rheinland-Pfalz (ISB) (context_actor, 5).</t>
        </is>
      </c>
      <c r="AE445" s="5" t="inlineStr">
        <is>
          <t>GLOBUS Markthallen Holding GmbH &amp; Co. KG | Investitions- und Strukturbank Rheinland-Pfalz (ISB)</t>
        </is>
      </c>
      <c r="AF445" s="5" t="inlineStr">
        <is>
          <t>standort-investition-transformation-globus-markthallen-holding-gmbh-co-kg-investitions-und-stru</t>
        </is>
      </c>
    </row>
    <row r="446">
      <c r="A446" s="5" t="inlineStr">
        <is>
          <t>C0445</t>
        </is>
      </c>
      <c r="B446" s="5" t="inlineStr">
        <is>
          <t>x_0445</t>
        </is>
      </c>
      <c r="C446" s="5" t="n">
        <v>0</v>
      </c>
      <c r="D446" s="5" t="inlineStr">
        <is>
          <t>Investitions- und Strukturbank Rheinland-Pfalz (ISB)</t>
        </is>
      </c>
      <c r="E446" s="5" t="inlineStr">
        <is>
          <t>Joseph Vögele AG</t>
        </is>
      </c>
      <c r="F446" s="5" t="n">
        <v>45</v>
      </c>
      <c r="G446" s="5" t="n">
        <v>50</v>
      </c>
      <c r="H446" s="5" t="inlineStr">
        <is>
          <t>context_actor</t>
        </is>
      </c>
      <c r="I446" t="inlineStr">
        <is>
          <t>bank_finance_anchor</t>
        </is>
      </c>
      <c r="J446" s="5" t="inlineStr">
        <is>
          <t>profit_anchor</t>
        </is>
      </c>
      <c r="K446" t="inlineStr">
        <is>
          <t>construction_planning_anchor</t>
        </is>
      </c>
      <c r="L446" s="5" t="inlineStr">
        <is>
          <t>wirtschaft</t>
        </is>
      </c>
      <c r="M446" s="5" t="inlineStr">
        <is>
          <t>standort_investition_transformation</t>
        </is>
      </c>
      <c r="N446" s="5" t="inlineStr">
        <is>
          <t>Standort, Investition und industrielle Transformation</t>
        </is>
      </c>
      <c r="O446" s="5" t="n">
        <v>5</v>
      </c>
      <c r="P446" s="5" t="n">
        <v>4</v>
      </c>
      <c r="Q446" s="5" t="n">
        <v>13</v>
      </c>
      <c r="R446" s="5" t="n">
        <v>4</v>
      </c>
      <c r="S446" s="5" t="n">
        <v>0</v>
      </c>
      <c r="T446" s="5" t="n">
        <v>0</v>
      </c>
      <c r="U446" s="5" t="n">
        <v>2</v>
      </c>
      <c r="V446" s="5" t="n">
        <v>6</v>
      </c>
      <c r="W446" s="5" t="n">
        <v>6</v>
      </c>
      <c r="X446" s="5" t="n">
        <v>0</v>
      </c>
      <c r="Y446" s="5" t="n">
        <v>0</v>
      </c>
      <c r="Z446" s="5" t="n">
        <v>0</v>
      </c>
      <c r="AA446" s="5" t="n">
        <v>0</v>
      </c>
      <c r="AB446" s="5" t="n">
        <v>25.059735</v>
      </c>
      <c r="AC446" s="5" t="inlineStr">
        <is>
          <t>Welche Standortbedingungen entscheiden darüber, ob Unternehmen in Rheinland-Pfalz investieren, modernisieren oder verlagern?</t>
        </is>
      </c>
      <c r="AD446" s="5" t="inlineStr">
        <is>
          <t>Standort, Investition und industrielle Transformation: Investitions- und Strukturbank Rheinland-Pfalz (ISB) (context_actor, 5) + Joseph Vögele AG (profit_anchor, 4).</t>
        </is>
      </c>
      <c r="AE446" s="5" t="inlineStr">
        <is>
          <t>Investitions- und Strukturbank Rheinland-Pfalz (ISB) | Joseph Vögele AG</t>
        </is>
      </c>
      <c r="AF446" s="5" t="inlineStr">
        <is>
          <t>standort-investition-transformation-investitions-und-strukturbank-rheinland-pfalz-isb-joseph-vö</t>
        </is>
      </c>
    </row>
    <row r="447">
      <c r="A447" s="5" t="inlineStr">
        <is>
          <t>C0446</t>
        </is>
      </c>
      <c r="B447" s="5" t="inlineStr">
        <is>
          <t>x_0446</t>
        </is>
      </c>
      <c r="C447" s="5" t="n">
        <v>0</v>
      </c>
      <c r="D447" s="5" t="inlineStr">
        <is>
          <t>Investitions- und Strukturbank Rheinland-Pfalz (ISB)</t>
        </is>
      </c>
      <c r="E447" s="5" t="inlineStr">
        <is>
          <t>KPMG AG Wirtschaftsprüfungsgesellschaft</t>
        </is>
      </c>
      <c r="F447" s="5" t="n">
        <v>45</v>
      </c>
      <c r="G447" s="5" t="n">
        <v>56</v>
      </c>
      <c r="H447" s="5" t="inlineStr">
        <is>
          <t>context_actor</t>
        </is>
      </c>
      <c r="I447" t="inlineStr">
        <is>
          <t>bank_finance_anchor</t>
        </is>
      </c>
      <c r="J447" s="5" t="inlineStr">
        <is>
          <t>profit_anchor</t>
        </is>
      </c>
      <c r="K447" t="inlineStr">
        <is>
          <t>professional_services_anchor</t>
        </is>
      </c>
      <c r="L447" s="5" t="inlineStr">
        <is>
          <t>wirtschaft</t>
        </is>
      </c>
      <c r="M447" s="5" t="inlineStr">
        <is>
          <t>standort_investition_transformation</t>
        </is>
      </c>
      <c r="N447" s="5" t="inlineStr">
        <is>
          <t>Standort, Investition und industrielle Transformation</t>
        </is>
      </c>
      <c r="O447" s="5" t="n">
        <v>5</v>
      </c>
      <c r="P447" s="5" t="n">
        <v>4</v>
      </c>
      <c r="Q447" s="5" t="n">
        <v>13</v>
      </c>
      <c r="R447" s="5" t="n">
        <v>4</v>
      </c>
      <c r="S447" s="5" t="n">
        <v>0</v>
      </c>
      <c r="T447" s="5" t="n">
        <v>0</v>
      </c>
      <c r="U447" s="5" t="n">
        <v>2</v>
      </c>
      <c r="V447" s="5" t="n">
        <v>6</v>
      </c>
      <c r="W447" s="5" t="n">
        <v>6</v>
      </c>
      <c r="X447" s="5" t="n">
        <v>0</v>
      </c>
      <c r="Y447" s="5" t="n">
        <v>0</v>
      </c>
      <c r="Z447" s="5" t="n">
        <v>0</v>
      </c>
      <c r="AA447" s="5" t="n">
        <v>0</v>
      </c>
      <c r="AB447" s="5" t="n">
        <v>28.351853</v>
      </c>
      <c r="AC447" s="5" t="inlineStr">
        <is>
          <t>Welche Standortbedingungen entscheiden darüber, ob Unternehmen in Rheinland-Pfalz investieren, modernisieren oder verlagern?</t>
        </is>
      </c>
      <c r="AD447" s="5" t="inlineStr">
        <is>
          <t>Standort, Investition und industrielle Transformation: Investitions- und Strukturbank Rheinland-Pfalz (ISB) (context_actor, 5) + KPMG AG Wirtschaftsprüfungsgesellschaft (profit_anchor, 4).</t>
        </is>
      </c>
      <c r="AE447" s="5" t="inlineStr">
        <is>
          <t>Investitions- und Strukturbank Rheinland-Pfalz (ISB) | KPMG AG Wirtschaftsprüfungsgesellschaft</t>
        </is>
      </c>
      <c r="AF447" s="5" t="inlineStr">
        <is>
          <t>standort-investition-transformation-investitions-und-strukturbank-rheinland-pfalz-isb-kpmg-ag-w</t>
        </is>
      </c>
    </row>
    <row r="448">
      <c r="A448" s="5" t="inlineStr">
        <is>
          <t>C0447</t>
        </is>
      </c>
      <c r="B448" s="5" t="inlineStr">
        <is>
          <t>x_0447</t>
        </is>
      </c>
      <c r="C448" s="5" t="n">
        <v>0</v>
      </c>
      <c r="D448" s="5" t="inlineStr">
        <is>
          <t>Investitions- und Strukturbank Rheinland-Pfalz (ISB)</t>
        </is>
      </c>
      <c r="E448" s="5" t="inlineStr">
        <is>
          <t>KSB AG</t>
        </is>
      </c>
      <c r="F448" s="5" t="n">
        <v>45</v>
      </c>
      <c r="G448" s="5" t="n">
        <v>57</v>
      </c>
      <c r="H448" s="5" t="inlineStr">
        <is>
          <t>context_actor</t>
        </is>
      </c>
      <c r="I448" t="inlineStr">
        <is>
          <t>bank_finance_anchor</t>
        </is>
      </c>
      <c r="J448" s="5" t="inlineStr">
        <is>
          <t>profit_anchor</t>
        </is>
      </c>
      <c r="K448" t="inlineStr">
        <is>
          <t>industry_anchor</t>
        </is>
      </c>
      <c r="L448" s="5" t="inlineStr">
        <is>
          <t>wirtschaft</t>
        </is>
      </c>
      <c r="M448" s="5" t="inlineStr">
        <is>
          <t>standort_investition_transformation</t>
        </is>
      </c>
      <c r="N448" s="5" t="inlineStr">
        <is>
          <t>Standort, Investition und industrielle Transformation</t>
        </is>
      </c>
      <c r="O448" s="5" t="n">
        <v>5</v>
      </c>
      <c r="P448" s="5" t="n">
        <v>4</v>
      </c>
      <c r="Q448" s="5" t="n">
        <v>13</v>
      </c>
      <c r="R448" s="5" t="n">
        <v>4</v>
      </c>
      <c r="S448" s="5" t="n">
        <v>0</v>
      </c>
      <c r="T448" s="5" t="n">
        <v>0</v>
      </c>
      <c r="U448" s="5" t="n">
        <v>2</v>
      </c>
      <c r="V448" s="5" t="n">
        <v>6</v>
      </c>
      <c r="W448" s="5" t="n">
        <v>6</v>
      </c>
      <c r="X448" s="5" t="n">
        <v>0</v>
      </c>
      <c r="Y448" s="5" t="n">
        <v>0</v>
      </c>
      <c r="Z448" s="5" t="n">
        <v>0</v>
      </c>
      <c r="AA448" s="5" t="n">
        <v>0</v>
      </c>
      <c r="AB448" s="5" t="n">
        <v>23.410772</v>
      </c>
      <c r="AC448" s="5" t="inlineStr">
        <is>
          <t>Welche Standortbedingungen entscheiden darüber, ob Unternehmen in Rheinland-Pfalz investieren, modernisieren oder verlagern?</t>
        </is>
      </c>
      <c r="AD448" s="5" t="inlineStr">
        <is>
          <t>Standort, Investition und industrielle Transformation: Investitions- und Strukturbank Rheinland-Pfalz (ISB) (context_actor, 5) + KSB AG (profit_anchor, 4).</t>
        </is>
      </c>
      <c r="AE448" s="5" t="inlineStr">
        <is>
          <t>Investitions- und Strukturbank Rheinland-Pfalz (ISB) | KSB AG</t>
        </is>
      </c>
      <c r="AF448" s="5" t="inlineStr">
        <is>
          <t>standort-investition-transformation-investitions-und-strukturbank-rheinland-pfalz-isb-ksb-ag</t>
        </is>
      </c>
    </row>
    <row r="449">
      <c r="A449" s="5" t="inlineStr">
        <is>
          <t>C0448</t>
        </is>
      </c>
      <c r="B449" s="5" t="inlineStr">
        <is>
          <t>x_0448</t>
        </is>
      </c>
      <c r="C449" s="5" t="n">
        <v>0</v>
      </c>
      <c r="D449" s="5" t="inlineStr">
        <is>
          <t>Investitions- und Strukturbank Rheinland-Pfalz (ISB)</t>
        </is>
      </c>
      <c r="E449" s="5" t="inlineStr">
        <is>
          <t>Michelin Reifenwerke AG &amp; Co. KGaA</t>
        </is>
      </c>
      <c r="F449" s="5" t="n">
        <v>45</v>
      </c>
      <c r="G449" s="5" t="n">
        <v>69</v>
      </c>
      <c r="H449" s="5" t="inlineStr">
        <is>
          <t>context_actor</t>
        </is>
      </c>
      <c r="I449" t="inlineStr">
        <is>
          <t>bank_finance_anchor</t>
        </is>
      </c>
      <c r="J449" s="5" t="inlineStr">
        <is>
          <t>profit_anchor</t>
        </is>
      </c>
      <c r="K449" t="inlineStr">
        <is>
          <t>industry_anchor</t>
        </is>
      </c>
      <c r="L449" s="5" t="inlineStr">
        <is>
          <t>wirtschaft</t>
        </is>
      </c>
      <c r="M449" s="5" t="inlineStr">
        <is>
          <t>standort_investition_transformation</t>
        </is>
      </c>
      <c r="N449" s="5" t="inlineStr">
        <is>
          <t>Standort, Investition und industrielle Transformation</t>
        </is>
      </c>
      <c r="O449" s="5" t="n">
        <v>5</v>
      </c>
      <c r="P449" s="5" t="n">
        <v>4</v>
      </c>
      <c r="Q449" s="5" t="n">
        <v>13</v>
      </c>
      <c r="R449" s="5" t="n">
        <v>4</v>
      </c>
      <c r="S449" s="5" t="n">
        <v>0</v>
      </c>
      <c r="T449" s="5" t="n">
        <v>0</v>
      </c>
      <c r="U449" s="5" t="n">
        <v>2</v>
      </c>
      <c r="V449" s="5" t="n">
        <v>6</v>
      </c>
      <c r="W449" s="5" t="n">
        <v>6</v>
      </c>
      <c r="X449" s="5" t="n">
        <v>0</v>
      </c>
      <c r="Y449" s="5" t="n">
        <v>0</v>
      </c>
      <c r="Z449" s="5" t="n">
        <v>0</v>
      </c>
      <c r="AA449" s="5" t="n">
        <v>0</v>
      </c>
      <c r="AB449" s="5" t="n">
        <v>23.410772</v>
      </c>
      <c r="AC449" s="5" t="inlineStr">
        <is>
          <t>Welche Standortbedingungen entscheiden darüber, ob Unternehmen in Rheinland-Pfalz investieren, modernisieren oder verlagern?</t>
        </is>
      </c>
      <c r="AD449" s="5" t="inlineStr">
        <is>
          <t>Standort, Investition und industrielle Transformation: Investitions- und Strukturbank Rheinland-Pfalz (ISB) (context_actor, 5) + Michelin Reifenwerke AG &amp; Co. KGaA (profit_anchor, 4).</t>
        </is>
      </c>
      <c r="AE449" s="5" t="inlineStr">
        <is>
          <t>Investitions- und Strukturbank Rheinland-Pfalz (ISB) | Michelin Reifenwerke AG &amp; Co. KGaA</t>
        </is>
      </c>
      <c r="AF449" s="5" t="inlineStr">
        <is>
          <t>standort-investition-transformation-investitions-und-strukturbank-rheinland-pfalz-isb-michelin-</t>
        </is>
      </c>
    </row>
    <row r="450">
      <c r="A450" s="5" t="inlineStr">
        <is>
          <t>C0449</t>
        </is>
      </c>
      <c r="B450" s="5" t="inlineStr">
        <is>
          <t>x_0449</t>
        </is>
      </c>
      <c r="C450" s="5" t="n">
        <v>0</v>
      </c>
      <c r="D450" s="5" t="inlineStr">
        <is>
          <t>Investitions- und Strukturbank Rheinland-Pfalz (ISB)</t>
        </is>
      </c>
      <c r="E450" s="5" t="inlineStr">
        <is>
          <t>SIMONA AG</t>
        </is>
      </c>
      <c r="F450" s="5" t="n">
        <v>45</v>
      </c>
      <c r="G450" s="5" t="n">
        <v>80</v>
      </c>
      <c r="H450" s="5" t="inlineStr">
        <is>
          <t>context_actor</t>
        </is>
      </c>
      <c r="I450" t="inlineStr">
        <is>
          <t>bank_finance_anchor</t>
        </is>
      </c>
      <c r="J450" s="5" t="inlineStr">
        <is>
          <t>profit_anchor</t>
        </is>
      </c>
      <c r="K450" t="inlineStr">
        <is>
          <t>industry_anchor</t>
        </is>
      </c>
      <c r="L450" s="5" t="inlineStr">
        <is>
          <t>wirtschaft</t>
        </is>
      </c>
      <c r="M450" s="5" t="inlineStr">
        <is>
          <t>standort_investition_transformation</t>
        </is>
      </c>
      <c r="N450" s="5" t="inlineStr">
        <is>
          <t>Standort, Investition und industrielle Transformation</t>
        </is>
      </c>
      <c r="O450" s="5" t="n">
        <v>5</v>
      </c>
      <c r="P450" s="5" t="n">
        <v>4</v>
      </c>
      <c r="Q450" s="5" t="n">
        <v>13</v>
      </c>
      <c r="R450" s="5" t="n">
        <v>4</v>
      </c>
      <c r="S450" s="5" t="n">
        <v>0</v>
      </c>
      <c r="T450" s="5" t="n">
        <v>0</v>
      </c>
      <c r="U450" s="5" t="n">
        <v>2</v>
      </c>
      <c r="V450" s="5" t="n">
        <v>6</v>
      </c>
      <c r="W450" s="5" t="n">
        <v>6</v>
      </c>
      <c r="X450" s="5" t="n">
        <v>0</v>
      </c>
      <c r="Y450" s="5" t="n">
        <v>0</v>
      </c>
      <c r="Z450" s="5" t="n">
        <v>0</v>
      </c>
      <c r="AA450" s="5" t="n">
        <v>0</v>
      </c>
      <c r="AB450" s="5" t="n">
        <v>23.410772</v>
      </c>
      <c r="AC450" s="5" t="inlineStr">
        <is>
          <t>Welche Standortbedingungen entscheiden darüber, ob Unternehmen in Rheinland-Pfalz investieren, modernisieren oder verlagern?</t>
        </is>
      </c>
      <c r="AD450" s="5" t="inlineStr">
        <is>
          <t>Standort, Investition und industrielle Transformation: Investitions- und Strukturbank Rheinland-Pfalz (ISB) (context_actor, 5) + SIMONA AG (profit_anchor, 4).</t>
        </is>
      </c>
      <c r="AE450" s="5" t="inlineStr">
        <is>
          <t>Investitions- und Strukturbank Rheinland-Pfalz (ISB) | SIMONA AG</t>
        </is>
      </c>
      <c r="AF450" s="5" t="inlineStr">
        <is>
          <t>standort-investition-transformation-investitions-und-strukturbank-rheinland-pfalz-isb-simona-ag</t>
        </is>
      </c>
    </row>
    <row r="451">
      <c r="A451" s="5" t="inlineStr">
        <is>
          <t>C0450</t>
        </is>
      </c>
      <c r="B451" s="5" t="inlineStr">
        <is>
          <t>x_0450</t>
        </is>
      </c>
      <c r="C451" s="5" t="n">
        <v>0</v>
      </c>
      <c r="D451" s="5" t="inlineStr">
        <is>
          <t>Investitions- und Strukturbank Rheinland-Pfalz (ISB)</t>
        </is>
      </c>
      <c r="E451" s="5" t="inlineStr">
        <is>
          <t>Sparkassenverband Rheinland-Pfalz</t>
        </is>
      </c>
      <c r="F451" s="5" t="n">
        <v>45</v>
      </c>
      <c r="G451" s="5" t="n">
        <v>82</v>
      </c>
      <c r="H451" s="5" t="inlineStr">
        <is>
          <t>context_actor</t>
        </is>
      </c>
      <c r="I451" t="inlineStr">
        <is>
          <t>bank_finance_anchor</t>
        </is>
      </c>
      <c r="J451" s="5" t="inlineStr">
        <is>
          <t>profit_anchor</t>
        </is>
      </c>
      <c r="K451" t="inlineStr">
        <is>
          <t>bank_finance_anchor</t>
        </is>
      </c>
      <c r="L451" s="5" t="inlineStr">
        <is>
          <t>wirtschaft</t>
        </is>
      </c>
      <c r="M451" s="5" t="inlineStr">
        <is>
          <t>standort_investition_transformation</t>
        </is>
      </c>
      <c r="N451" s="5" t="inlineStr">
        <is>
          <t>Standort, Investition und industrielle Transformation</t>
        </is>
      </c>
      <c r="O451" s="5" t="n">
        <v>5</v>
      </c>
      <c r="P451" s="5" t="n">
        <v>4</v>
      </c>
      <c r="Q451" s="5" t="n">
        <v>13</v>
      </c>
      <c r="R451" s="5" t="n">
        <v>4</v>
      </c>
      <c r="S451" s="5" t="n">
        <v>0</v>
      </c>
      <c r="T451" s="5" t="n">
        <v>0</v>
      </c>
      <c r="U451" s="5" t="n">
        <v>2</v>
      </c>
      <c r="V451" s="5" t="n">
        <v>6</v>
      </c>
      <c r="W451" s="5" t="n">
        <v>6</v>
      </c>
      <c r="X451" s="5" t="n">
        <v>0</v>
      </c>
      <c r="Y451" s="5" t="n">
        <v>0</v>
      </c>
      <c r="Z451" s="5" t="n">
        <v>0</v>
      </c>
      <c r="AA451" s="5" t="n">
        <v>0</v>
      </c>
      <c r="AB451" s="5" t="n">
        <v>25.881583</v>
      </c>
      <c r="AC451" s="5" t="inlineStr">
        <is>
          <t>Welche Standortbedingungen entscheiden darüber, ob Unternehmen in Rheinland-Pfalz investieren, modernisieren oder verlagern?</t>
        </is>
      </c>
      <c r="AD451" s="5" t="inlineStr">
        <is>
          <t>Standort, Investition und industrielle Transformation: Investitions- und Strukturbank Rheinland-Pfalz (ISB) (context_actor, 5) + Sparkassenverband Rheinland-Pfalz (profit_anchor, 4).</t>
        </is>
      </c>
      <c r="AE451" s="5" t="inlineStr">
        <is>
          <t>Investitions- und Strukturbank Rheinland-Pfalz (ISB) | Sparkassenverband Rheinland-Pfalz</t>
        </is>
      </c>
      <c r="AF451" s="5" t="inlineStr">
        <is>
          <t>standort-investition-transformation-investitions-und-strukturbank-rheinland-pfalz-isb-sparkasse</t>
        </is>
      </c>
    </row>
    <row r="452">
      <c r="A452" s="5" t="inlineStr">
        <is>
          <t>C0451</t>
        </is>
      </c>
      <c r="B452" s="5" t="inlineStr">
        <is>
          <t>x_0451</t>
        </is>
      </c>
      <c r="C452" s="5" t="n">
        <v>0</v>
      </c>
      <c r="D452" s="5" t="inlineStr">
        <is>
          <t>Landesbank Baden-Württemberg (LBBW)</t>
        </is>
      </c>
      <c r="E452" s="5" t="inlineStr">
        <is>
          <t>WHU – Otto Beisheim School of Management</t>
        </is>
      </c>
      <c r="F452" s="5" t="n">
        <v>60</v>
      </c>
      <c r="G452" s="5" t="n">
        <v>99</v>
      </c>
      <c r="H452" s="5" t="inlineStr">
        <is>
          <t>profit_anchor</t>
        </is>
      </c>
      <c r="I452" t="inlineStr">
        <is>
          <t>bank_finance_anchor</t>
        </is>
      </c>
      <c r="J452" s="5" t="inlineStr">
        <is>
          <t>academic_support</t>
        </is>
      </c>
      <c r="K452" t="inlineStr">
        <is>
          <t>university_research</t>
        </is>
      </c>
      <c r="L452" s="5" t="inlineStr">
        <is>
          <t>wirtschaft</t>
        </is>
      </c>
      <c r="M452" s="5" t="inlineStr">
        <is>
          <t>standort_investition_transformation</t>
        </is>
      </c>
      <c r="N452" s="5" t="inlineStr">
        <is>
          <t>Standort, Investition und industrielle Transformation</t>
        </is>
      </c>
      <c r="O452" s="5" t="n">
        <v>5</v>
      </c>
      <c r="P452" s="5" t="n">
        <v>4</v>
      </c>
      <c r="Q452" s="5" t="n">
        <v>13</v>
      </c>
      <c r="R452" s="5" t="n">
        <v>4</v>
      </c>
      <c r="S452" s="5" t="n">
        <v>0</v>
      </c>
      <c r="T452" s="5" t="n">
        <v>0</v>
      </c>
      <c r="U452" s="5" t="n">
        <v>2</v>
      </c>
      <c r="V452" s="5" t="n">
        <v>6</v>
      </c>
      <c r="W452" s="5" t="n">
        <v>6</v>
      </c>
      <c r="X452" s="5" t="n">
        <v>0</v>
      </c>
      <c r="Y452" s="5" t="n">
        <v>0</v>
      </c>
      <c r="Z452" s="5" t="n">
        <v>0</v>
      </c>
      <c r="AA452" s="5" t="n">
        <v>0</v>
      </c>
      <c r="AB452" s="5" t="n">
        <v>29.400047</v>
      </c>
      <c r="AC452" s="5" t="inlineStr">
        <is>
          <t>Welche Standortbedingungen entscheiden darüber, ob Unternehmen in Rheinland-Pfalz investieren, modernisieren oder verlagern?</t>
        </is>
      </c>
      <c r="AD452" s="5" t="inlineStr">
        <is>
          <t>Standort, Investition und industrielle Transformation: Landesbank Baden-Württemberg (LBBW) (profit_anchor, 5) + WHU – Otto Beisheim School of Management (academic_support, 4).</t>
        </is>
      </c>
      <c r="AE452" s="5" t="inlineStr">
        <is>
          <t>Landesbank Baden-Württemberg (LBBW) | WHU – Otto Beisheim School of Management</t>
        </is>
      </c>
      <c r="AF452" s="5" t="inlineStr">
        <is>
          <t>standort-investition-transformation-landesbank-baden-württemberg-lbbw-whu-otto-beisheim-school-</t>
        </is>
      </c>
    </row>
    <row r="453">
      <c r="A453" s="5" t="inlineStr">
        <is>
          <t>C0452</t>
        </is>
      </c>
      <c r="B453" s="5" t="inlineStr">
        <is>
          <t>x_0452</t>
        </is>
      </c>
      <c r="C453" s="5" t="n">
        <v>0</v>
      </c>
      <c r="D453" s="5" t="inlineStr">
        <is>
          <t>Ministerium für Wirtschaft, Verkehr, Landwirtschaft und Weinbau</t>
        </is>
      </c>
      <c r="E453" s="5" t="inlineStr">
        <is>
          <t>WHU – Otto Beisheim School of Management</t>
        </is>
      </c>
      <c r="F453" s="5" t="n">
        <v>70</v>
      </c>
      <c r="G453" s="5" t="n">
        <v>99</v>
      </c>
      <c r="H453" s="5" t="inlineStr">
        <is>
          <t>profit_anchor</t>
        </is>
      </c>
      <c r="I453" t="inlineStr">
        <is>
          <t>public_policy_anchor</t>
        </is>
      </c>
      <c r="J453" s="5" t="inlineStr">
        <is>
          <t>academic_support</t>
        </is>
      </c>
      <c r="K453" t="inlineStr">
        <is>
          <t>university_research</t>
        </is>
      </c>
      <c r="L453" s="5" t="inlineStr">
        <is>
          <t>wirtschaft</t>
        </is>
      </c>
      <c r="M453" s="5" t="inlineStr">
        <is>
          <t>standort_investition_transformation</t>
        </is>
      </c>
      <c r="N453" s="5" t="inlineStr">
        <is>
          <t>Standort, Investition und industrielle Transformation</t>
        </is>
      </c>
      <c r="O453" s="5" t="n">
        <v>5</v>
      </c>
      <c r="P453" s="5" t="n">
        <v>4</v>
      </c>
      <c r="Q453" s="5" t="n">
        <v>13</v>
      </c>
      <c r="R453" s="5" t="n">
        <v>4</v>
      </c>
      <c r="S453" s="5" t="n">
        <v>0</v>
      </c>
      <c r="T453" s="5" t="n">
        <v>0</v>
      </c>
      <c r="U453" s="5" t="n">
        <v>2</v>
      </c>
      <c r="V453" s="5" t="n">
        <v>6</v>
      </c>
      <c r="W453" s="5" t="n">
        <v>6</v>
      </c>
      <c r="X453" s="5" t="n">
        <v>0</v>
      </c>
      <c r="Y453" s="5" t="n">
        <v>0</v>
      </c>
      <c r="Z453" s="5" t="n">
        <v>0</v>
      </c>
      <c r="AA453" s="5" t="n">
        <v>0</v>
      </c>
      <c r="AB453" s="5" t="n">
        <v>30.600539</v>
      </c>
      <c r="AC453" s="5" t="inlineStr">
        <is>
          <t>Welche Standortbedingungen entscheiden darüber, ob Unternehmen in Rheinland-Pfalz investieren, modernisieren oder verlagern?</t>
        </is>
      </c>
      <c r="AD453" s="5" t="inlineStr">
        <is>
          <t>Standort, Investition und industrielle Transformation: Ministerium für Wirtschaft, Verkehr, Landwirtschaft und Weinbau (profit_anchor, 5) + WHU – Otto Beisheim School of Management (academic_support, 4).</t>
        </is>
      </c>
      <c r="AE453" s="5" t="inlineStr">
        <is>
          <t>Ministerium für Wirtschaft, Verkehr, Landwirtschaft und Weinbau | WHU – Otto Beisheim School of Management</t>
        </is>
      </c>
      <c r="AF453" s="5" t="inlineStr">
        <is>
          <t>standort-investition-transformation-ministerium-für-wirtschaft-verkehr-landwirtschaft-und-weinb</t>
        </is>
      </c>
    </row>
    <row r="454">
      <c r="A454" s="5" t="inlineStr">
        <is>
          <t>C0453</t>
        </is>
      </c>
      <c r="B454" s="5" t="inlineStr">
        <is>
          <t>x_0453</t>
        </is>
      </c>
      <c r="C454" s="5" t="n">
        <v>0</v>
      </c>
      <c r="D454" s="5" t="inlineStr">
        <is>
          <t>SCHOTT AG</t>
        </is>
      </c>
      <c r="E454" s="5" t="inlineStr">
        <is>
          <t>WHU – Otto Beisheim School of Management</t>
        </is>
      </c>
      <c r="F454" s="5" t="n">
        <v>78</v>
      </c>
      <c r="G454" s="5" t="n">
        <v>99</v>
      </c>
      <c r="H454" s="5" t="inlineStr">
        <is>
          <t>profit_anchor</t>
        </is>
      </c>
      <c r="I454" t="inlineStr">
        <is>
          <t>industry_anchor</t>
        </is>
      </c>
      <c r="J454" s="5" t="inlineStr">
        <is>
          <t>academic_support</t>
        </is>
      </c>
      <c r="K454" t="inlineStr">
        <is>
          <t>university_research</t>
        </is>
      </c>
      <c r="L454" s="5" t="inlineStr">
        <is>
          <t>wirtschaft</t>
        </is>
      </c>
      <c r="M454" s="5" t="inlineStr">
        <is>
          <t>standort_investition_transformation</t>
        </is>
      </c>
      <c r="N454" s="5" t="inlineStr">
        <is>
          <t>Standort, Investition und industrielle Transformation</t>
        </is>
      </c>
      <c r="O454" s="5" t="n">
        <v>5</v>
      </c>
      <c r="P454" s="5" t="n">
        <v>4</v>
      </c>
      <c r="Q454" s="5" t="n">
        <v>13</v>
      </c>
      <c r="R454" s="5" t="n">
        <v>4</v>
      </c>
      <c r="S454" s="5" t="n">
        <v>0</v>
      </c>
      <c r="T454" s="5" t="n">
        <v>0</v>
      </c>
      <c r="U454" s="5" t="n">
        <v>2</v>
      </c>
      <c r="V454" s="5" t="n">
        <v>6</v>
      </c>
      <c r="W454" s="5" t="n">
        <v>6</v>
      </c>
      <c r="X454" s="5" t="n">
        <v>0</v>
      </c>
      <c r="Y454" s="5" t="n">
        <v>0</v>
      </c>
      <c r="Z454" s="5" t="n">
        <v>0</v>
      </c>
      <c r="AA454" s="5" t="n">
        <v>0</v>
      </c>
      <c r="AB454" s="5" t="n">
        <v>26.593343</v>
      </c>
      <c r="AC454" s="5" t="inlineStr">
        <is>
          <t>Welche Standortbedingungen entscheiden darüber, ob Unternehmen in Rheinland-Pfalz investieren, modernisieren oder verlagern?</t>
        </is>
      </c>
      <c r="AD454" s="5" t="inlineStr">
        <is>
          <t>Standort, Investition und industrielle Transformation: SCHOTT AG (profit_anchor, 5) + WHU – Otto Beisheim School of Management (academic_support, 4).</t>
        </is>
      </c>
      <c r="AE454" s="5" t="inlineStr">
        <is>
          <t>SCHOTT AG | WHU – Otto Beisheim School of Management</t>
        </is>
      </c>
      <c r="AF454" s="5" t="inlineStr">
        <is>
          <t>standort-investition-transformation-schott-ag-whu-otto-beisheim-school-of-management</t>
        </is>
      </c>
    </row>
    <row r="455">
      <c r="A455" s="5" t="inlineStr">
        <is>
          <t>C0454</t>
        </is>
      </c>
      <c r="B455" s="5" t="inlineStr">
        <is>
          <t>x_0454</t>
        </is>
      </c>
      <c r="C455" s="5" t="n">
        <v>0</v>
      </c>
      <c r="D455" s="5" t="inlineStr">
        <is>
          <t>thyssenkrupp Rasselstein GmbH</t>
        </is>
      </c>
      <c r="E455" s="5" t="inlineStr">
        <is>
          <t>WHU – Otto Beisheim School of Management</t>
        </is>
      </c>
      <c r="F455" s="5" t="n">
        <v>89</v>
      </c>
      <c r="G455" s="5" t="n">
        <v>99</v>
      </c>
      <c r="H455" s="5" t="inlineStr">
        <is>
          <t>profit_anchor</t>
        </is>
      </c>
      <c r="I455" t="inlineStr">
        <is>
          <t>industry_anchor</t>
        </is>
      </c>
      <c r="J455" s="5" t="inlineStr">
        <is>
          <t>academic_support</t>
        </is>
      </c>
      <c r="K455" t="inlineStr">
        <is>
          <t>university_research</t>
        </is>
      </c>
      <c r="L455" s="5" t="inlineStr">
        <is>
          <t>wirtschaft</t>
        </is>
      </c>
      <c r="M455" s="5" t="inlineStr">
        <is>
          <t>standort_investition_transformation</t>
        </is>
      </c>
      <c r="N455" s="5" t="inlineStr">
        <is>
          <t>Standort, Investition und industrielle Transformation</t>
        </is>
      </c>
      <c r="O455" s="5" t="n">
        <v>5</v>
      </c>
      <c r="P455" s="5" t="n">
        <v>4</v>
      </c>
      <c r="Q455" s="5" t="n">
        <v>13</v>
      </c>
      <c r="R455" s="5" t="n">
        <v>4</v>
      </c>
      <c r="S455" s="5" t="n">
        <v>0</v>
      </c>
      <c r="T455" s="5" t="n">
        <v>0</v>
      </c>
      <c r="U455" s="5" t="n">
        <v>2</v>
      </c>
      <c r="V455" s="5" t="n">
        <v>6</v>
      </c>
      <c r="W455" s="5" t="n">
        <v>6</v>
      </c>
      <c r="X455" s="5" t="n">
        <v>0</v>
      </c>
      <c r="Y455" s="5" t="n">
        <v>0</v>
      </c>
      <c r="Z455" s="5" t="n">
        <v>0</v>
      </c>
      <c r="AA455" s="5" t="n">
        <v>0</v>
      </c>
      <c r="AB455" s="5" t="n">
        <v>26.593343</v>
      </c>
      <c r="AC455" s="5" t="inlineStr">
        <is>
          <t>Welche Standortbedingungen entscheiden darüber, ob Unternehmen in Rheinland-Pfalz investieren, modernisieren oder verlagern?</t>
        </is>
      </c>
      <c r="AD455" s="5" t="inlineStr">
        <is>
          <t>Standort, Investition und industrielle Transformation: thyssenkrupp Rasselstein GmbH (profit_anchor, 5) + WHU – Otto Beisheim School of Management (academic_support, 4).</t>
        </is>
      </c>
      <c r="AE455" s="5" t="inlineStr">
        <is>
          <t>WHU – Otto Beisheim School of Management | thyssenkrupp Rasselstein GmbH</t>
        </is>
      </c>
      <c r="AF455" s="5" t="inlineStr">
        <is>
          <t>standort-investition-transformation-whu-otto-beisheim-school-of-management-thyssenkrupp-rassels</t>
        </is>
      </c>
    </row>
    <row r="456">
      <c r="A456" s="5" t="inlineStr">
        <is>
          <t>C0455</t>
        </is>
      </c>
      <c r="B456" s="5" t="inlineStr">
        <is>
          <t>x_0455</t>
        </is>
      </c>
      <c r="C456" s="5" t="n">
        <v>0</v>
      </c>
      <c r="D456" s="5" t="inlineStr">
        <is>
          <t>Barmherzige Brüder Trier gGmbH</t>
        </is>
      </c>
      <c r="E456" s="5" t="inlineStr">
        <is>
          <t>Bundesagentur für Arbeit, Regionaldirektion Rheinland-Pfalz-Saarland</t>
        </is>
      </c>
      <c r="F456" s="5" t="n">
        <v>5</v>
      </c>
      <c r="G456" s="5" t="n">
        <v>13</v>
      </c>
      <c r="H456" s="5" t="inlineStr">
        <is>
          <t>context_actor</t>
        </is>
      </c>
      <c r="I456" t="inlineStr">
        <is>
          <t>health_social_anchor</t>
        </is>
      </c>
      <c r="J456" s="5" t="inlineStr">
        <is>
          <t>implementation_anchor</t>
        </is>
      </c>
      <c r="K456" t="inlineStr">
        <is>
          <t>public_policy_anchor</t>
        </is>
      </c>
      <c r="L456" s="5" t="inlineStr">
        <is>
          <t>gesellschaft</t>
        </is>
      </c>
      <c r="M456" s="5" t="inlineStr">
        <is>
          <t>teilhabe_inklusion_arbeitsmarkt</t>
        </is>
      </c>
      <c r="N456" s="5" t="inlineStr">
        <is>
          <t>Teilhabe, Inklusion und Arbeitsmarkt</t>
        </is>
      </c>
      <c r="O456" s="5" t="n">
        <v>4</v>
      </c>
      <c r="P456" s="5" t="n">
        <v>5</v>
      </c>
      <c r="Q456" s="5" t="n">
        <v>13</v>
      </c>
      <c r="R456" s="5" t="n">
        <v>4</v>
      </c>
      <c r="S456" s="5" t="n">
        <v>0</v>
      </c>
      <c r="T456" s="5" t="n">
        <v>0</v>
      </c>
      <c r="U456" s="5" t="n">
        <v>2</v>
      </c>
      <c r="V456" s="5" t="n">
        <v>6</v>
      </c>
      <c r="W456" s="5" t="n">
        <v>6</v>
      </c>
      <c r="X456" s="5" t="n">
        <v>0</v>
      </c>
      <c r="Y456" s="5" t="n">
        <v>0</v>
      </c>
      <c r="Z456" s="5" t="n">
        <v>0</v>
      </c>
      <c r="AA456" s="5" t="n">
        <v>0</v>
      </c>
      <c r="AB456" s="5" t="n">
        <v>37.129023</v>
      </c>
      <c r="AC456" s="5" t="inlineStr">
        <is>
          <t>Wie können Menschen mit Familienpflichten, Behinderung oder schwierigen Erwerbsbiografien besser am Arbeitsmarkt teilnehmen?</t>
        </is>
      </c>
      <c r="AD456" s="5" t="inlineStr">
        <is>
          <t>Teilhabe, Inklusion und Arbeitsmarkt: Barmherzige Brüder Trier gGmbH (context_actor, 4) + Bundesagentur für Arbeit, Regionaldirektion Rheinland-Pfalz-Saarland (implementation_anchor, 5).</t>
        </is>
      </c>
      <c r="AE456" s="5" t="inlineStr">
        <is>
          <t>Barmherzige Brüder Trier gGmbH | Bundesagentur für Arbeit, Regionaldirektion Rheinland-Pfalz-Saarland</t>
        </is>
      </c>
      <c r="AF456" s="5" t="inlineStr">
        <is>
          <t>teilhabe-inklusion-arbeitsmarkt-barmherzige-brüder-trier-ggmbh-bundesagentur-für-arbeit-regiona</t>
        </is>
      </c>
    </row>
    <row r="457">
      <c r="A457" s="5" t="inlineStr">
        <is>
          <t>C0456</t>
        </is>
      </c>
      <c r="B457" s="5" t="inlineStr">
        <is>
          <t>x_0456</t>
        </is>
      </c>
      <c r="C457" s="5" t="n">
        <v>0</v>
      </c>
      <c r="D457" s="5" t="inlineStr">
        <is>
          <t>Barmherzige Brüder Trier gGmbH</t>
        </is>
      </c>
      <c r="E457" s="5" t="inlineStr">
        <is>
          <t>Caritasverband für die Diözese Speyer e.V.</t>
        </is>
      </c>
      <c r="F457" s="5" t="n">
        <v>5</v>
      </c>
      <c r="G457" s="5" t="n">
        <v>14</v>
      </c>
      <c r="H457" s="5" t="inlineStr">
        <is>
          <t>context_actor</t>
        </is>
      </c>
      <c r="I457" t="inlineStr">
        <is>
          <t>health_social_anchor</t>
        </is>
      </c>
      <c r="J457" s="5" t="inlineStr">
        <is>
          <t>implementation_anchor</t>
        </is>
      </c>
      <c r="K457" t="inlineStr">
        <is>
          <t>health_social_anchor</t>
        </is>
      </c>
      <c r="L457" s="5" t="inlineStr">
        <is>
          <t>gesellschaft</t>
        </is>
      </c>
      <c r="M457" s="5" t="inlineStr">
        <is>
          <t>teilhabe_inklusion_arbeitsmarkt</t>
        </is>
      </c>
      <c r="N457" s="5" t="inlineStr">
        <is>
          <t>Teilhabe, Inklusion und Arbeitsmarkt</t>
        </is>
      </c>
      <c r="O457" s="5" t="n">
        <v>4</v>
      </c>
      <c r="P457" s="5" t="n">
        <v>5</v>
      </c>
      <c r="Q457" s="5" t="n">
        <v>13</v>
      </c>
      <c r="R457" s="5" t="n">
        <v>4</v>
      </c>
      <c r="S457" s="5" t="n">
        <v>0</v>
      </c>
      <c r="T457" s="5" t="n">
        <v>0</v>
      </c>
      <c r="U457" s="5" t="n">
        <v>2</v>
      </c>
      <c r="V457" s="5" t="n">
        <v>6</v>
      </c>
      <c r="W457" s="5" t="n">
        <v>6</v>
      </c>
      <c r="X457" s="5" t="n">
        <v>0</v>
      </c>
      <c r="Y457" s="5" t="n">
        <v>0</v>
      </c>
      <c r="Z457" s="5" t="n">
        <v>0</v>
      </c>
      <c r="AA457" s="5" t="n">
        <v>0</v>
      </c>
      <c r="AB457" s="5" t="n">
        <v>30.31572</v>
      </c>
      <c r="AC457" s="5" t="inlineStr">
        <is>
          <t>Wie können Menschen mit Familienpflichten, Behinderung oder schwierigen Erwerbsbiografien besser am Arbeitsmarkt teilnehmen?</t>
        </is>
      </c>
      <c r="AD457" s="5" t="inlineStr">
        <is>
          <t>Teilhabe, Inklusion und Arbeitsmarkt: Barmherzige Brüder Trier gGmbH (context_actor, 4) + Caritasverband für die Diözese Speyer e.V. (implementation_anchor, 5).</t>
        </is>
      </c>
      <c r="AE457" s="5" t="inlineStr">
        <is>
          <t>Barmherzige Brüder Trier gGmbH | Caritasverband für die Diözese Speyer e.V.</t>
        </is>
      </c>
      <c r="AF457" s="5" t="inlineStr">
        <is>
          <t>teilhabe-inklusion-arbeitsmarkt-barmherzige-brüder-trier-ggmbh-caritasverband-für-die-diözese-s</t>
        </is>
      </c>
    </row>
    <row r="458">
      <c r="A458" s="5" t="inlineStr">
        <is>
          <t>C0457</t>
        </is>
      </c>
      <c r="B458" s="5" t="inlineStr">
        <is>
          <t>x_0457</t>
        </is>
      </c>
      <c r="C458" s="5" t="n">
        <v>0</v>
      </c>
      <c r="D458" s="5" t="inlineStr">
        <is>
          <t>Bundesagentur für Arbeit, Regionaldirektion Rheinland-Pfalz-Saarland</t>
        </is>
      </c>
      <c r="E458" s="5" t="inlineStr">
        <is>
          <t>Deutscher Gewerkschaftsbund (DGB) Rheinland-Pfalz/Saarland</t>
        </is>
      </c>
      <c r="F458" s="5" t="n">
        <v>13</v>
      </c>
      <c r="G458" s="5" t="n">
        <v>20</v>
      </c>
      <c r="H458" s="5" t="inlineStr">
        <is>
          <t>implementation_anchor</t>
        </is>
      </c>
      <c r="I458" t="inlineStr">
        <is>
          <t>public_policy_anchor</t>
        </is>
      </c>
      <c r="J458" s="5" t="inlineStr">
        <is>
          <t>context_actor</t>
        </is>
      </c>
      <c r="K458" t="inlineStr">
        <is>
          <t>chamber_association_anchor</t>
        </is>
      </c>
      <c r="L458" s="5" t="inlineStr">
        <is>
          <t>gesellschaft</t>
        </is>
      </c>
      <c r="M458" s="5" t="inlineStr">
        <is>
          <t>teilhabe_inklusion_arbeitsmarkt</t>
        </is>
      </c>
      <c r="N458" s="5" t="inlineStr">
        <is>
          <t>Teilhabe, Inklusion und Arbeitsmarkt</t>
        </is>
      </c>
      <c r="O458" s="5" t="n">
        <v>5</v>
      </c>
      <c r="P458" s="5" t="n">
        <v>4</v>
      </c>
      <c r="Q458" s="5" t="n">
        <v>13</v>
      </c>
      <c r="R458" s="5" t="n">
        <v>4</v>
      </c>
      <c r="S458" s="5" t="n">
        <v>0</v>
      </c>
      <c r="T458" s="5" t="n">
        <v>0</v>
      </c>
      <c r="U458" s="5" t="n">
        <v>2</v>
      </c>
      <c r="V458" s="5" t="n">
        <v>6</v>
      </c>
      <c r="W458" s="5" t="n">
        <v>6</v>
      </c>
      <c r="X458" s="5" t="n">
        <v>0</v>
      </c>
      <c r="Y458" s="5" t="n">
        <v>0</v>
      </c>
      <c r="Z458" s="5" t="n">
        <v>0</v>
      </c>
      <c r="AA458" s="5" t="n">
        <v>0</v>
      </c>
      <c r="AB458" s="5" t="n">
        <v>47.933362</v>
      </c>
      <c r="AC458" s="5" t="inlineStr">
        <is>
          <t>Wie können Menschen mit Familienpflichten, Behinderung oder schwierigen Erwerbsbiografien besser am Arbeitsmarkt teilnehmen?</t>
        </is>
      </c>
      <c r="AD458" s="5" t="inlineStr">
        <is>
          <t>Teilhabe, Inklusion und Arbeitsmarkt: Bundesagentur für Arbeit, Regionaldirektion Rheinland-Pfalz-Saarland (implementation_anchor, 5) + Deutscher Gewerkschaftsbund (DGB) Rheinland-Pfalz/Saarland (context_actor, 4).</t>
        </is>
      </c>
      <c r="AE458" s="5" t="inlineStr">
        <is>
          <t>Bundesagentur für Arbeit, Regionaldirektion Rheinland-Pfalz-Saarland | Deutscher Gewerkschaftsbund (DGB) Rheinland-Pfalz/Saarland</t>
        </is>
      </c>
      <c r="AF458" s="5" t="inlineStr">
        <is>
          <t>teilhabe-inklusion-arbeitsmarkt-bundesagentur-für-arbeit-regionaldirektion-rheinland-pfalz-saar</t>
        </is>
      </c>
    </row>
    <row r="459">
      <c r="A459" s="5" t="inlineStr">
        <is>
          <t>C0458</t>
        </is>
      </c>
      <c r="B459" s="5" t="inlineStr">
        <is>
          <t>x_0458</t>
        </is>
      </c>
      <c r="C459" s="5" t="n">
        <v>0</v>
      </c>
      <c r="D459" s="5" t="inlineStr">
        <is>
          <t>Bundesagentur für Arbeit, Regionaldirektion Rheinland-Pfalz-Saarland</t>
        </is>
      </c>
      <c r="E459" s="5" t="inlineStr">
        <is>
          <t>Evangelische Kirche der Pfalz</t>
        </is>
      </c>
      <c r="F459" s="5" t="n">
        <v>13</v>
      </c>
      <c r="G459" s="5" t="n">
        <v>28</v>
      </c>
      <c r="H459" s="5" t="inlineStr">
        <is>
          <t>implementation_anchor</t>
        </is>
      </c>
      <c r="I459" t="inlineStr">
        <is>
          <t>public_policy_anchor</t>
        </is>
      </c>
      <c r="J459" s="5" t="inlineStr">
        <is>
          <t>context_actor</t>
        </is>
      </c>
      <c r="K459" t="inlineStr">
        <is>
          <t>culture_foundation_anchor</t>
        </is>
      </c>
      <c r="L459" s="5" t="inlineStr">
        <is>
          <t>gesellschaft</t>
        </is>
      </c>
      <c r="M459" s="5" t="inlineStr">
        <is>
          <t>teilhabe_inklusion_arbeitsmarkt</t>
        </is>
      </c>
      <c r="N459" s="5" t="inlineStr">
        <is>
          <t>Teilhabe, Inklusion und Arbeitsmarkt</t>
        </is>
      </c>
      <c r="O459" s="5" t="n">
        <v>5</v>
      </c>
      <c r="P459" s="5" t="n">
        <v>4</v>
      </c>
      <c r="Q459" s="5" t="n">
        <v>13</v>
      </c>
      <c r="R459" s="5" t="n">
        <v>4</v>
      </c>
      <c r="S459" s="5" t="n">
        <v>0</v>
      </c>
      <c r="T459" s="5" t="n">
        <v>0</v>
      </c>
      <c r="U459" s="5" t="n">
        <v>2</v>
      </c>
      <c r="V459" s="5" t="n">
        <v>6</v>
      </c>
      <c r="W459" s="5" t="n">
        <v>6</v>
      </c>
      <c r="X459" s="5" t="n">
        <v>0</v>
      </c>
      <c r="Y459" s="5" t="n">
        <v>0</v>
      </c>
      <c r="Z459" s="5" t="n">
        <v>0</v>
      </c>
      <c r="AA459" s="5" t="n">
        <v>0</v>
      </c>
      <c r="AB459" s="5" t="n">
        <v>52.508367</v>
      </c>
      <c r="AC459" s="5" t="inlineStr">
        <is>
          <t>Wie können Menschen mit Familienpflichten, Behinderung oder schwierigen Erwerbsbiografien besser am Arbeitsmarkt teilnehmen?</t>
        </is>
      </c>
      <c r="AD459" s="5" t="inlineStr">
        <is>
          <t>Teilhabe, Inklusion und Arbeitsmarkt: Bundesagentur für Arbeit, Regionaldirektion Rheinland-Pfalz-Saarland (implementation_anchor, 5) + Evangelische Kirche der Pfalz (context_actor, 4).</t>
        </is>
      </c>
      <c r="AE459" s="5" t="inlineStr">
        <is>
          <t>Bundesagentur für Arbeit, Regionaldirektion Rheinland-Pfalz-Saarland | Evangelische Kirche der Pfalz</t>
        </is>
      </c>
      <c r="AF459" s="5" t="inlineStr">
        <is>
          <t>teilhabe-inklusion-arbeitsmarkt-bundesagentur-für-arbeit-regionaldirektion-rheinland-pfalz-saar</t>
        </is>
      </c>
    </row>
    <row r="460">
      <c r="A460" s="5" t="inlineStr">
        <is>
          <t>C0459</t>
        </is>
      </c>
      <c r="B460" s="5" t="inlineStr">
        <is>
          <t>x_0459</t>
        </is>
      </c>
      <c r="C460" s="5" t="n">
        <v>0</v>
      </c>
      <c r="D460" s="5" t="inlineStr">
        <is>
          <t>Caritasverband für die Diözese Speyer e.V.</t>
        </is>
      </c>
      <c r="E460" s="5" t="inlineStr">
        <is>
          <t>Deutscher Gewerkschaftsbund (DGB) Rheinland-Pfalz/Saarland</t>
        </is>
      </c>
      <c r="F460" s="5" t="n">
        <v>14</v>
      </c>
      <c r="G460" s="5" t="n">
        <v>20</v>
      </c>
      <c r="H460" s="5" t="inlineStr">
        <is>
          <t>implementation_anchor</t>
        </is>
      </c>
      <c r="I460" t="inlineStr">
        <is>
          <t>health_social_anchor</t>
        </is>
      </c>
      <c r="J460" s="5" t="inlineStr">
        <is>
          <t>context_actor</t>
        </is>
      </c>
      <c r="K460" t="inlineStr">
        <is>
          <t>chamber_association_anchor</t>
        </is>
      </c>
      <c r="L460" s="5" t="inlineStr">
        <is>
          <t>gesellschaft</t>
        </is>
      </c>
      <c r="M460" s="5" t="inlineStr">
        <is>
          <t>teilhabe_inklusion_arbeitsmarkt</t>
        </is>
      </c>
      <c r="N460" s="5" t="inlineStr">
        <is>
          <t>Teilhabe, Inklusion und Arbeitsmarkt</t>
        </is>
      </c>
      <c r="O460" s="5" t="n">
        <v>5</v>
      </c>
      <c r="P460" s="5" t="n">
        <v>4</v>
      </c>
      <c r="Q460" s="5" t="n">
        <v>13</v>
      </c>
      <c r="R460" s="5" t="n">
        <v>4</v>
      </c>
      <c r="S460" s="5" t="n">
        <v>0</v>
      </c>
      <c r="T460" s="5" t="n">
        <v>0</v>
      </c>
      <c r="U460" s="5" t="n">
        <v>2</v>
      </c>
      <c r="V460" s="5" t="n">
        <v>6</v>
      </c>
      <c r="W460" s="5" t="n">
        <v>6</v>
      </c>
      <c r="X460" s="5" t="n">
        <v>0</v>
      </c>
      <c r="Y460" s="5" t="n">
        <v>0</v>
      </c>
      <c r="Z460" s="5" t="n">
        <v>0</v>
      </c>
      <c r="AA460" s="5" t="n">
        <v>0</v>
      </c>
      <c r="AB460" s="5" t="n">
        <v>42.872902</v>
      </c>
      <c r="AC460" s="5" t="inlineStr">
        <is>
          <t>Wie können Menschen mit Familienpflichten, Behinderung oder schwierigen Erwerbsbiografien besser am Arbeitsmarkt teilnehmen?</t>
        </is>
      </c>
      <c r="AD460" s="5" t="inlineStr">
        <is>
          <t>Teilhabe, Inklusion und Arbeitsmarkt: Caritasverband für die Diözese Speyer e.V. (implementation_anchor, 5) + Deutscher Gewerkschaftsbund (DGB) Rheinland-Pfalz/Saarland (context_actor, 4).</t>
        </is>
      </c>
      <c r="AE460" s="5" t="inlineStr">
        <is>
          <t>Caritasverband für die Diözese Speyer e.V. | Deutscher Gewerkschaftsbund (DGB) Rheinland-Pfalz/Saarland</t>
        </is>
      </c>
      <c r="AF460" s="5" t="inlineStr">
        <is>
          <t>teilhabe-inklusion-arbeitsmarkt-caritasverband-für-die-diözese-speyer-e-v-deutscher-gewerkschaf</t>
        </is>
      </c>
    </row>
    <row r="461">
      <c r="A461" s="5" t="inlineStr">
        <is>
          <t>C0460</t>
        </is>
      </c>
      <c r="B461" s="5" t="inlineStr">
        <is>
          <t>x_0460</t>
        </is>
      </c>
      <c r="C461" s="5" t="n">
        <v>0</v>
      </c>
      <c r="D461" s="5" t="inlineStr">
        <is>
          <t>Caritasverband für die Diözese Speyer e.V.</t>
        </is>
      </c>
      <c r="E461" s="5" t="inlineStr">
        <is>
          <t>Evangelische Kirche der Pfalz</t>
        </is>
      </c>
      <c r="F461" s="5" t="n">
        <v>14</v>
      </c>
      <c r="G461" s="5" t="n">
        <v>28</v>
      </c>
      <c r="H461" s="5" t="inlineStr">
        <is>
          <t>implementation_anchor</t>
        </is>
      </c>
      <c r="I461" t="inlineStr">
        <is>
          <t>health_social_anchor</t>
        </is>
      </c>
      <c r="J461" s="5" t="inlineStr">
        <is>
          <t>context_actor</t>
        </is>
      </c>
      <c r="K461" t="inlineStr">
        <is>
          <t>culture_foundation_anchor</t>
        </is>
      </c>
      <c r="L461" s="5" t="inlineStr">
        <is>
          <t>gesellschaft</t>
        </is>
      </c>
      <c r="M461" s="5" t="inlineStr">
        <is>
          <t>teilhabe_inklusion_arbeitsmarkt</t>
        </is>
      </c>
      <c r="N461" s="5" t="inlineStr">
        <is>
          <t>Teilhabe, Inklusion und Arbeitsmarkt</t>
        </is>
      </c>
      <c r="O461" s="5" t="n">
        <v>5</v>
      </c>
      <c r="P461" s="5" t="n">
        <v>4</v>
      </c>
      <c r="Q461" s="5" t="n">
        <v>13</v>
      </c>
      <c r="R461" s="5" t="n">
        <v>4</v>
      </c>
      <c r="S461" s="5" t="n">
        <v>0</v>
      </c>
      <c r="T461" s="5" t="n">
        <v>0</v>
      </c>
      <c r="U461" s="5" t="n">
        <v>2</v>
      </c>
      <c r="V461" s="5" t="n">
        <v>6</v>
      </c>
      <c r="W461" s="5" t="n">
        <v>6</v>
      </c>
      <c r="X461" s="5" t="n">
        <v>0</v>
      </c>
      <c r="Y461" s="5" t="n">
        <v>0</v>
      </c>
      <c r="Z461" s="5" t="n">
        <v>0</v>
      </c>
      <c r="AA461" s="5" t="n">
        <v>0</v>
      </c>
      <c r="AB461" s="5" t="n">
        <v>47.933362</v>
      </c>
      <c r="AC461" s="5" t="inlineStr">
        <is>
          <t>Wie können Menschen mit Familienpflichten, Behinderung oder schwierigen Erwerbsbiografien besser am Arbeitsmarkt teilnehmen?</t>
        </is>
      </c>
      <c r="AD461" s="5" t="inlineStr">
        <is>
          <t>Teilhabe, Inklusion und Arbeitsmarkt: Caritasverband für die Diözese Speyer e.V. (implementation_anchor, 5) + Evangelische Kirche der Pfalz (context_actor, 4).</t>
        </is>
      </c>
      <c r="AE461" s="5" t="inlineStr">
        <is>
          <t>Caritasverband für die Diözese Speyer e.V. | Evangelische Kirche der Pfalz</t>
        </is>
      </c>
      <c r="AF461" s="5" t="inlineStr">
        <is>
          <t>teilhabe-inklusion-arbeitsmarkt-caritasverband-für-die-diözese-speyer-e-v-evangelische-kirche-d</t>
        </is>
      </c>
    </row>
    <row r="462">
      <c r="A462" s="5" t="inlineStr">
        <is>
          <t>C0461</t>
        </is>
      </c>
      <c r="B462" s="5" t="inlineStr">
        <is>
          <t>x_0461</t>
        </is>
      </c>
      <c r="C462" s="5" t="n">
        <v>0</v>
      </c>
      <c r="D462" s="5" t="inlineStr">
        <is>
          <t>JOBS FOR MOMS UG</t>
        </is>
      </c>
      <c r="E462" s="5" t="inlineStr">
        <is>
          <t>Leonardo PersonalKonzept GmbH</t>
        </is>
      </c>
      <c r="F462" s="5" t="n">
        <v>48</v>
      </c>
      <c r="G462" s="5" t="n">
        <v>64</v>
      </c>
      <c r="H462" s="5" t="inlineStr">
        <is>
          <t>context_actor</t>
        </is>
      </c>
      <c r="I462" t="inlineStr">
        <is>
          <t>professional_services_anchor</t>
        </is>
      </c>
      <c r="J462" s="5" t="inlineStr">
        <is>
          <t>profit_anchor</t>
        </is>
      </c>
      <c r="K462" t="inlineStr">
        <is>
          <t>professional_services_anchor</t>
        </is>
      </c>
      <c r="L462" s="5" t="inlineStr">
        <is>
          <t>gesellschaft</t>
        </is>
      </c>
      <c r="M462" s="5" t="inlineStr">
        <is>
          <t>teilhabe_inklusion_arbeitsmarkt</t>
        </is>
      </c>
      <c r="N462" s="5" t="inlineStr">
        <is>
          <t>Teilhabe, Inklusion und Arbeitsmarkt</t>
        </is>
      </c>
      <c r="O462" s="5" t="n">
        <v>5</v>
      </c>
      <c r="P462" s="5" t="n">
        <v>4</v>
      </c>
      <c r="Q462" s="5" t="n">
        <v>13</v>
      </c>
      <c r="R462" s="5" t="n">
        <v>4</v>
      </c>
      <c r="S462" s="5" t="n">
        <v>0</v>
      </c>
      <c r="T462" s="5" t="n">
        <v>0</v>
      </c>
      <c r="U462" s="5" t="n">
        <v>2</v>
      </c>
      <c r="V462" s="5" t="n">
        <v>6</v>
      </c>
      <c r="W462" s="5" t="n">
        <v>6</v>
      </c>
      <c r="X462" s="5" t="n">
        <v>0</v>
      </c>
      <c r="Y462" s="5" t="n">
        <v>0</v>
      </c>
      <c r="Z462" s="5" t="n">
        <v>0</v>
      </c>
      <c r="AA462" s="5" t="n">
        <v>0</v>
      </c>
      <c r="AB462" s="5" t="n">
        <v>30.623502</v>
      </c>
      <c r="AC462" s="5" t="inlineStr">
        <is>
          <t>Wie können Menschen mit Familienpflichten, Behinderung oder schwierigen Erwerbsbiografien besser am Arbeitsmarkt teilnehmen?</t>
        </is>
      </c>
      <c r="AD462" s="5" t="inlineStr">
        <is>
          <t>Teilhabe, Inklusion und Arbeitsmarkt: JOBS FOR MOMS UG (context_actor, 5) + Leonardo PersonalKonzept GmbH (profit_anchor, 4).</t>
        </is>
      </c>
      <c r="AE462" s="5" t="inlineStr">
        <is>
          <t>JOBS FOR MOMS UG | Leonardo PersonalKonzept GmbH</t>
        </is>
      </c>
      <c r="AF462" s="5" t="inlineStr">
        <is>
          <t>teilhabe-inklusion-arbeitsmarkt-jobs-for-moms-ug-leonardo-personalkonzept-gmbh</t>
        </is>
      </c>
    </row>
    <row r="463">
      <c r="A463" s="5" t="inlineStr">
        <is>
          <t>C0462</t>
        </is>
      </c>
      <c r="B463" s="5" t="inlineStr">
        <is>
          <t>x_0462</t>
        </is>
      </c>
      <c r="C463" s="5" t="n">
        <v>0</v>
      </c>
      <c r="D463" s="5" t="inlineStr">
        <is>
          <t>in.betrieb gGmbH</t>
        </is>
      </c>
      <c r="E463" s="5" t="inlineStr">
        <is>
          <t>Leonardo PersonalKonzept GmbH</t>
        </is>
      </c>
      <c r="F463" s="5" t="n">
        <v>43</v>
      </c>
      <c r="G463" s="5" t="n">
        <v>64</v>
      </c>
      <c r="H463" s="5" t="inlineStr">
        <is>
          <t>context_actor</t>
        </is>
      </c>
      <c r="I463" t="inlineStr">
        <is>
          <t>health_social_anchor</t>
        </is>
      </c>
      <c r="J463" s="5" t="inlineStr">
        <is>
          <t>profit_anchor</t>
        </is>
      </c>
      <c r="K463" t="inlineStr">
        <is>
          <t>professional_services_anchor</t>
        </is>
      </c>
      <c r="L463" s="5" t="inlineStr">
        <is>
          <t>gesellschaft</t>
        </is>
      </c>
      <c r="M463" s="5" t="inlineStr">
        <is>
          <t>teilhabe_inklusion_arbeitsmarkt</t>
        </is>
      </c>
      <c r="N463" s="5" t="inlineStr">
        <is>
          <t>Teilhabe, Inklusion und Arbeitsmarkt</t>
        </is>
      </c>
      <c r="O463" s="5" t="n">
        <v>5</v>
      </c>
      <c r="P463" s="5" t="n">
        <v>4</v>
      </c>
      <c r="Q463" s="5" t="n">
        <v>13</v>
      </c>
      <c r="R463" s="5" t="n">
        <v>4</v>
      </c>
      <c r="S463" s="5" t="n">
        <v>0</v>
      </c>
      <c r="T463" s="5" t="n">
        <v>0</v>
      </c>
      <c r="U463" s="5" t="n">
        <v>2</v>
      </c>
      <c r="V463" s="5" t="n">
        <v>6</v>
      </c>
      <c r="W463" s="5" t="n">
        <v>6</v>
      </c>
      <c r="X463" s="5" t="n">
        <v>0</v>
      </c>
      <c r="Y463" s="5" t="n">
        <v>0</v>
      </c>
      <c r="Z463" s="5" t="n">
        <v>0</v>
      </c>
      <c r="AA463" s="5" t="n">
        <v>0</v>
      </c>
      <c r="AB463" s="5" t="n">
        <v>25.773517</v>
      </c>
      <c r="AC463" s="5" t="inlineStr">
        <is>
          <t>Wie können Menschen mit Familienpflichten, Behinderung oder schwierigen Erwerbsbiografien besser am Arbeitsmarkt teilnehmen?</t>
        </is>
      </c>
      <c r="AD463" s="5" t="inlineStr">
        <is>
          <t>Teilhabe, Inklusion und Arbeitsmarkt: in.betrieb gGmbH (context_actor, 5) + Leonardo PersonalKonzept GmbH (profit_anchor, 4).</t>
        </is>
      </c>
      <c r="AE463" s="5" t="inlineStr">
        <is>
          <t>Leonardo PersonalKonzept GmbH | in.betrieb gGmbH</t>
        </is>
      </c>
      <c r="AF463" s="5" t="inlineStr">
        <is>
          <t>teilhabe-inklusion-arbeitsmarkt-leonardo-personalkonzept-gmbh-in-betrieb-ggmbh</t>
        </is>
      </c>
    </row>
    <row r="464">
      <c r="A464" s="5" t="inlineStr">
        <is>
          <t>C0463</t>
        </is>
      </c>
      <c r="B464" s="5" t="inlineStr">
        <is>
          <t>x_0463</t>
        </is>
      </c>
      <c r="C464" s="5" t="n">
        <v>0</v>
      </c>
      <c r="D464" s="5" t="inlineStr">
        <is>
          <t>Aturas GmbH</t>
        </is>
      </c>
      <c r="E464" s="5" t="inlineStr">
        <is>
          <t>Deutsche Universität für Verwaltungswissenschaften Speyer</t>
        </is>
      </c>
      <c r="F464" s="5" t="n">
        <v>4</v>
      </c>
      <c r="G464" s="5" t="n">
        <v>19</v>
      </c>
      <c r="H464" s="5" t="inlineStr">
        <is>
          <t>profit_anchor</t>
        </is>
      </c>
      <c r="I464" t="inlineStr">
        <is>
          <t>technology_digital_anchor</t>
        </is>
      </c>
      <c r="J464" s="5" t="inlineStr">
        <is>
          <t>academic_support</t>
        </is>
      </c>
      <c r="K464" t="inlineStr">
        <is>
          <t>university_research</t>
        </is>
      </c>
      <c r="L464" s="5" t="inlineStr">
        <is>
          <t>wissen</t>
        </is>
      </c>
      <c r="M464" s="5" t="inlineStr">
        <is>
          <t>verwaltungswissen_digitalisierung</t>
        </is>
      </c>
      <c r="N464" s="5" t="inlineStr">
        <is>
          <t>Verwaltungswissen und digitale Umsetzung</t>
        </is>
      </c>
      <c r="O464" s="5" t="n">
        <v>4</v>
      </c>
      <c r="P464" s="5" t="n">
        <v>5</v>
      </c>
      <c r="Q464" s="5" t="n">
        <v>13</v>
      </c>
      <c r="R464" s="5" t="n">
        <v>4</v>
      </c>
      <c r="S464" s="5" t="n">
        <v>0</v>
      </c>
      <c r="T464" s="5" t="n">
        <v>0</v>
      </c>
      <c r="U464" s="5" t="n">
        <v>2</v>
      </c>
      <c r="V464" s="5" t="n">
        <v>6</v>
      </c>
      <c r="W464" s="5" t="n">
        <v>6</v>
      </c>
      <c r="X464" s="5" t="n">
        <v>0</v>
      </c>
      <c r="Y464" s="5" t="n">
        <v>0</v>
      </c>
      <c r="Z464" s="5" t="n">
        <v>0</v>
      </c>
      <c r="AA464" s="5" t="n">
        <v>0</v>
      </c>
      <c r="AB464" s="5" t="n">
        <v>27.71863</v>
      </c>
      <c r="AC464" s="5" t="inlineStr">
        <is>
          <t>Wie wird Verwaltung bei Regulierung, Genehmigung, Digitalisierung und Umsetzung leistungsfähiger?</t>
        </is>
      </c>
      <c r="AD464" s="5" t="inlineStr">
        <is>
          <t>Verwaltungswissen und digitale Umsetzung: Aturas GmbH (profit_anchor, 4) + Deutsche Universität für Verwaltungswissenschaften Speyer (academic_support, 5).</t>
        </is>
      </c>
      <c r="AE464" s="5" t="inlineStr">
        <is>
          <t>Aturas GmbH | Deutsche Universität für Verwaltungswissenschaften Speyer</t>
        </is>
      </c>
      <c r="AF464" s="5" t="inlineStr">
        <is>
          <t>verwaltungswissen-digitalisierung-aturas-gmbh-deutsche-universität-für-verwaltungswissenschafte</t>
        </is>
      </c>
    </row>
    <row r="465">
      <c r="A465" s="5" t="inlineStr">
        <is>
          <t>C0464</t>
        </is>
      </c>
      <c r="B465" s="5" t="inlineStr">
        <is>
          <t>x_0464</t>
        </is>
      </c>
      <c r="C465" s="5" t="n">
        <v>0</v>
      </c>
      <c r="D465" s="5" t="inlineStr">
        <is>
          <t>Aturas GmbH</t>
        </is>
      </c>
      <c r="E465" s="5" t="inlineStr">
        <is>
          <t>Landkreistag Rheinland-Pfalz</t>
        </is>
      </c>
      <c r="F465" s="5" t="n">
        <v>4</v>
      </c>
      <c r="G465" s="5" t="n">
        <v>63</v>
      </c>
      <c r="H465" s="5" t="inlineStr">
        <is>
          <t>profit_anchor</t>
        </is>
      </c>
      <c r="I465" t="inlineStr">
        <is>
          <t>technology_digital_anchor</t>
        </is>
      </c>
      <c r="J465" s="5" t="inlineStr">
        <is>
          <t>context_actor</t>
        </is>
      </c>
      <c r="K465" t="inlineStr">
        <is>
          <t>public_policy_anchor</t>
        </is>
      </c>
      <c r="L465" s="5" t="inlineStr">
        <is>
          <t>wissen</t>
        </is>
      </c>
      <c r="M465" s="5" t="inlineStr">
        <is>
          <t>verwaltungswissen_digitalisierung</t>
        </is>
      </c>
      <c r="N465" s="5" t="inlineStr">
        <is>
          <t>Verwaltungswissen und digitale Umsetzung</t>
        </is>
      </c>
      <c r="O465" s="5" t="n">
        <v>4</v>
      </c>
      <c r="P465" s="5" t="n">
        <v>5</v>
      </c>
      <c r="Q465" s="5" t="n">
        <v>13</v>
      </c>
      <c r="R465" s="5" t="n">
        <v>4</v>
      </c>
      <c r="S465" s="5" t="n">
        <v>0</v>
      </c>
      <c r="T465" s="5" t="n">
        <v>0</v>
      </c>
      <c r="U465" s="5" t="n">
        <v>2</v>
      </c>
      <c r="V465" s="5" t="n">
        <v>6</v>
      </c>
      <c r="W465" s="5" t="n">
        <v>6</v>
      </c>
      <c r="X465" s="5" t="n">
        <v>0</v>
      </c>
      <c r="Y465" s="5" t="n">
        <v>0</v>
      </c>
      <c r="Z465" s="5" t="n">
        <v>0</v>
      </c>
      <c r="AA465" s="5" t="n">
        <v>0</v>
      </c>
      <c r="AB465" s="5" t="n">
        <v>25.519585</v>
      </c>
      <c r="AC465" s="5" t="inlineStr">
        <is>
          <t>Wie wird Verwaltung bei Regulierung, Genehmigung, Digitalisierung und Umsetzung leistungsfähiger?</t>
        </is>
      </c>
      <c r="AD465" s="5" t="inlineStr">
        <is>
          <t>Verwaltungswissen und digitale Umsetzung: Aturas GmbH (profit_anchor, 4) + Landkreistag Rheinland-Pfalz (context_actor, 5).</t>
        </is>
      </c>
      <c r="AE465" s="5" t="inlineStr">
        <is>
          <t>Aturas GmbH | Landkreistag Rheinland-Pfalz</t>
        </is>
      </c>
      <c r="AF465" s="5" t="inlineStr">
        <is>
          <t>verwaltungswissen-digitalisierung-aturas-gmbh-landkreistag-rheinland-pfalz</t>
        </is>
      </c>
    </row>
    <row r="466">
      <c r="A466" s="5" t="inlineStr">
        <is>
          <t>C0465</t>
        </is>
      </c>
      <c r="B466" s="5" t="inlineStr">
        <is>
          <t>x_0465</t>
        </is>
      </c>
      <c r="C466" s="5" t="n">
        <v>0</v>
      </c>
      <c r="D466" s="5" t="inlineStr">
        <is>
          <t>Aturas GmbH</t>
        </is>
      </c>
      <c r="E466" s="5" t="inlineStr">
        <is>
          <t>Staatskanzlei des Landes Rheinland-Pfalz</t>
        </is>
      </c>
      <c r="F466" s="5" t="n">
        <v>4</v>
      </c>
      <c r="G466" s="5" t="n">
        <v>83</v>
      </c>
      <c r="H466" s="5" t="inlineStr">
        <is>
          <t>profit_anchor</t>
        </is>
      </c>
      <c r="I466" t="inlineStr">
        <is>
          <t>technology_digital_anchor</t>
        </is>
      </c>
      <c r="J466" s="5" t="inlineStr">
        <is>
          <t>context_actor</t>
        </is>
      </c>
      <c r="K466" t="inlineStr">
        <is>
          <t>public_policy_anchor</t>
        </is>
      </c>
      <c r="L466" s="5" t="inlineStr">
        <is>
          <t>wissen</t>
        </is>
      </c>
      <c r="M466" s="5" t="inlineStr">
        <is>
          <t>verwaltungswissen_digitalisierung</t>
        </is>
      </c>
      <c r="N466" s="5" t="inlineStr">
        <is>
          <t>Verwaltungswissen und digitale Umsetzung</t>
        </is>
      </c>
      <c r="O466" s="5" t="n">
        <v>4</v>
      </c>
      <c r="P466" s="5" t="n">
        <v>5</v>
      </c>
      <c r="Q466" s="5" t="n">
        <v>13</v>
      </c>
      <c r="R466" s="5" t="n">
        <v>4</v>
      </c>
      <c r="S466" s="5" t="n">
        <v>0</v>
      </c>
      <c r="T466" s="5" t="n">
        <v>0</v>
      </c>
      <c r="U466" s="5" t="n">
        <v>2</v>
      </c>
      <c r="V466" s="5" t="n">
        <v>6</v>
      </c>
      <c r="W466" s="5" t="n">
        <v>6</v>
      </c>
      <c r="X466" s="5" t="n">
        <v>0</v>
      </c>
      <c r="Y466" s="5" t="n">
        <v>0</v>
      </c>
      <c r="Z466" s="5" t="n">
        <v>0</v>
      </c>
      <c r="AA466" s="5" t="n">
        <v>0</v>
      </c>
      <c r="AB466" s="5" t="n">
        <v>25.519585</v>
      </c>
      <c r="AC466" s="5" t="inlineStr">
        <is>
          <t>Wie wird Verwaltung bei Regulierung, Genehmigung, Digitalisierung und Umsetzung leistungsfähiger?</t>
        </is>
      </c>
      <c r="AD466" s="5" t="inlineStr">
        <is>
          <t>Verwaltungswissen und digitale Umsetzung: Aturas GmbH (profit_anchor, 4) + Staatskanzlei des Landes Rheinland-Pfalz (context_actor, 5).</t>
        </is>
      </c>
      <c r="AE466" s="5" t="inlineStr">
        <is>
          <t>Aturas GmbH | Staatskanzlei des Landes Rheinland-Pfalz</t>
        </is>
      </c>
      <c r="AF466" s="5" t="inlineStr">
        <is>
          <t>verwaltungswissen-digitalisierung-aturas-gmbh-staatskanzlei-des-landes-rheinland-pfalz</t>
        </is>
      </c>
    </row>
    <row r="467">
      <c r="A467" s="5" t="inlineStr">
        <is>
          <t>C0466</t>
        </is>
      </c>
      <c r="B467" s="5" t="inlineStr">
        <is>
          <t>x_0466</t>
        </is>
      </c>
      <c r="C467" s="5" t="n">
        <v>0</v>
      </c>
      <c r="D467" s="5" t="inlineStr">
        <is>
          <t>Aturas GmbH</t>
        </is>
      </c>
      <c r="E467" s="5" t="inlineStr">
        <is>
          <t>Städtetag Rheinland-Pfalz</t>
        </is>
      </c>
      <c r="F467" s="5" t="n">
        <v>4</v>
      </c>
      <c r="G467" s="5" t="n">
        <v>85</v>
      </c>
      <c r="H467" s="5" t="inlineStr">
        <is>
          <t>profit_anchor</t>
        </is>
      </c>
      <c r="I467" t="inlineStr">
        <is>
          <t>technology_digital_anchor</t>
        </is>
      </c>
      <c r="J467" s="5" t="inlineStr">
        <is>
          <t>context_actor</t>
        </is>
      </c>
      <c r="K467" t="inlineStr">
        <is>
          <t>public_policy_anchor</t>
        </is>
      </c>
      <c r="L467" s="5" t="inlineStr">
        <is>
          <t>wissen</t>
        </is>
      </c>
      <c r="M467" s="5" t="inlineStr">
        <is>
          <t>verwaltungswissen_digitalisierung</t>
        </is>
      </c>
      <c r="N467" s="5" t="inlineStr">
        <is>
          <t>Verwaltungswissen und digitale Umsetzung</t>
        </is>
      </c>
      <c r="O467" s="5" t="n">
        <v>4</v>
      </c>
      <c r="P467" s="5" t="n">
        <v>5</v>
      </c>
      <c r="Q467" s="5" t="n">
        <v>13</v>
      </c>
      <c r="R467" s="5" t="n">
        <v>4</v>
      </c>
      <c r="S467" s="5" t="n">
        <v>0</v>
      </c>
      <c r="T467" s="5" t="n">
        <v>0</v>
      </c>
      <c r="U467" s="5" t="n">
        <v>2</v>
      </c>
      <c r="V467" s="5" t="n">
        <v>6</v>
      </c>
      <c r="W467" s="5" t="n">
        <v>6</v>
      </c>
      <c r="X467" s="5" t="n">
        <v>0</v>
      </c>
      <c r="Y467" s="5" t="n">
        <v>0</v>
      </c>
      <c r="Z467" s="5" t="n">
        <v>0</v>
      </c>
      <c r="AA467" s="5" t="n">
        <v>0</v>
      </c>
      <c r="AB467" s="5" t="n">
        <v>25.519585</v>
      </c>
      <c r="AC467" s="5" t="inlineStr">
        <is>
          <t>Wie wird Verwaltung bei Regulierung, Genehmigung, Digitalisierung und Umsetzung leistungsfähiger?</t>
        </is>
      </c>
      <c r="AD467" s="5" t="inlineStr">
        <is>
          <t>Verwaltungswissen und digitale Umsetzung: Aturas GmbH (profit_anchor, 4) + Städtetag Rheinland-Pfalz (context_actor, 5).</t>
        </is>
      </c>
      <c r="AE467" s="5" t="inlineStr">
        <is>
          <t>Aturas GmbH | Städtetag Rheinland-Pfalz</t>
        </is>
      </c>
      <c r="AF467" s="5" t="inlineStr">
        <is>
          <t>verwaltungswissen-digitalisierung-aturas-gmbh-städtetag-rheinland-pfalz</t>
        </is>
      </c>
    </row>
    <row r="468">
      <c r="A468" s="5" t="inlineStr">
        <is>
          <t>C0467</t>
        </is>
      </c>
      <c r="B468" s="5" t="inlineStr">
        <is>
          <t>x_0467</t>
        </is>
      </c>
      <c r="C468" s="5" t="n">
        <v>0</v>
      </c>
      <c r="D468" s="5" t="inlineStr">
        <is>
          <t>Empolis Information Management GmbH</t>
        </is>
      </c>
      <c r="E468" s="5" t="inlineStr">
        <is>
          <t>Universität Koblenz</t>
        </is>
      </c>
      <c r="F468" s="5" t="n">
        <v>23</v>
      </c>
      <c r="G468" s="5" t="n">
        <v>92</v>
      </c>
      <c r="H468" s="5" t="inlineStr">
        <is>
          <t>profit_anchor</t>
        </is>
      </c>
      <c r="I468" t="inlineStr">
        <is>
          <t>technology_digital_anchor</t>
        </is>
      </c>
      <c r="J468" s="5" t="inlineStr">
        <is>
          <t>academic_support</t>
        </is>
      </c>
      <c r="K468" t="inlineStr">
        <is>
          <t>university_research</t>
        </is>
      </c>
      <c r="L468" s="5" t="inlineStr">
        <is>
          <t>wissen</t>
        </is>
      </c>
      <c r="M468" s="5" t="inlineStr">
        <is>
          <t>verwaltungswissen_digitalisierung</t>
        </is>
      </c>
      <c r="N468" s="5" t="inlineStr">
        <is>
          <t>Verwaltungswissen und digitale Umsetzung</t>
        </is>
      </c>
      <c r="O468" s="5" t="n">
        <v>5</v>
      </c>
      <c r="P468" s="5" t="n">
        <v>4</v>
      </c>
      <c r="Q468" s="5" t="n">
        <v>13</v>
      </c>
      <c r="R468" s="5" t="n">
        <v>4</v>
      </c>
      <c r="S468" s="5" t="n">
        <v>0</v>
      </c>
      <c r="T468" s="5" t="n">
        <v>0</v>
      </c>
      <c r="U468" s="5" t="n">
        <v>2</v>
      </c>
      <c r="V468" s="5" t="n">
        <v>6</v>
      </c>
      <c r="W468" s="5" t="n">
        <v>6</v>
      </c>
      <c r="X468" s="5" t="n">
        <v>0</v>
      </c>
      <c r="Y468" s="5" t="n">
        <v>0</v>
      </c>
      <c r="Z468" s="5" t="n">
        <v>0</v>
      </c>
      <c r="AA468" s="5" t="n">
        <v>0</v>
      </c>
      <c r="AB468" s="5" t="n">
        <v>27.71863</v>
      </c>
      <c r="AC468" s="5" t="inlineStr">
        <is>
          <t>Wie wird Verwaltung bei Regulierung, Genehmigung, Digitalisierung und Umsetzung leistungsfähiger?</t>
        </is>
      </c>
      <c r="AD468" s="5" t="inlineStr">
        <is>
          <t>Verwaltungswissen und digitale Umsetzung: Empolis Information Management GmbH (profit_anchor, 5) + Universität Koblenz (academic_support, 4).</t>
        </is>
      </c>
      <c r="AE468" s="5" t="inlineStr">
        <is>
          <t>Empolis Information Management GmbH | Universität Koblenz</t>
        </is>
      </c>
      <c r="AF468" s="5" t="inlineStr">
        <is>
          <t>verwaltungswissen-digitalisierung-empolis-information-management-gmbh-universität-koblenz</t>
        </is>
      </c>
    </row>
    <row r="469">
      <c r="A469" s="5" t="inlineStr">
        <is>
          <t>C0468</t>
        </is>
      </c>
      <c r="B469" s="5" t="inlineStr">
        <is>
          <t>x_0468</t>
        </is>
      </c>
      <c r="C469" s="5" t="n">
        <v>0</v>
      </c>
      <c r="D469" s="5" t="inlineStr">
        <is>
          <t>Ministerium für Wirtschaft, Verkehr, Landwirtschaft und Weinbau</t>
        </is>
      </c>
      <c r="E469" s="5" t="inlineStr">
        <is>
          <t>Universität Koblenz</t>
        </is>
      </c>
      <c r="F469" s="5" t="n">
        <v>70</v>
      </c>
      <c r="G469" s="5" t="n">
        <v>92</v>
      </c>
      <c r="H469" s="5" t="inlineStr">
        <is>
          <t>profit_anchor</t>
        </is>
      </c>
      <c r="I469" t="inlineStr">
        <is>
          <t>public_policy_anchor</t>
        </is>
      </c>
      <c r="J469" s="5" t="inlineStr">
        <is>
          <t>academic_support</t>
        </is>
      </c>
      <c r="K469" t="inlineStr">
        <is>
          <t>university_research</t>
        </is>
      </c>
      <c r="L469" s="5" t="inlineStr">
        <is>
          <t>wissen</t>
        </is>
      </c>
      <c r="M469" s="5" t="inlineStr">
        <is>
          <t>verwaltungswissen_digitalisierung</t>
        </is>
      </c>
      <c r="N469" s="5" t="inlineStr">
        <is>
          <t>Verwaltungswissen und digitale Umsetzung</t>
        </is>
      </c>
      <c r="O469" s="5" t="n">
        <v>5</v>
      </c>
      <c r="P469" s="5" t="n">
        <v>4</v>
      </c>
      <c r="Q469" s="5" t="n">
        <v>13</v>
      </c>
      <c r="R469" s="5" t="n">
        <v>4</v>
      </c>
      <c r="S469" s="5" t="n">
        <v>0</v>
      </c>
      <c r="T469" s="5" t="n">
        <v>0</v>
      </c>
      <c r="U469" s="5" t="n">
        <v>2</v>
      </c>
      <c r="V469" s="5" t="n">
        <v>6</v>
      </c>
      <c r="W469" s="5" t="n">
        <v>6</v>
      </c>
      <c r="X469" s="5" t="n">
        <v>0</v>
      </c>
      <c r="Y469" s="5" t="n">
        <v>0</v>
      </c>
      <c r="Z469" s="5" t="n">
        <v>0</v>
      </c>
      <c r="AA469" s="5" t="n">
        <v>0</v>
      </c>
      <c r="AB469" s="5" t="n">
        <v>30.600539</v>
      </c>
      <c r="AC469" s="5" t="inlineStr">
        <is>
          <t>Wie wird Verwaltung bei Regulierung, Genehmigung, Digitalisierung und Umsetzung leistungsfähiger?</t>
        </is>
      </c>
      <c r="AD469" s="5" t="inlineStr">
        <is>
          <t>Verwaltungswissen und digitale Umsetzung: Ministerium für Wirtschaft, Verkehr, Landwirtschaft und Weinbau (profit_anchor, 5) + Universität Koblenz (academic_support, 4).</t>
        </is>
      </c>
      <c r="AE469" s="5" t="inlineStr">
        <is>
          <t>Ministerium für Wirtschaft, Verkehr, Landwirtschaft und Weinbau | Universität Koblenz</t>
        </is>
      </c>
      <c r="AF469" s="5" t="inlineStr">
        <is>
          <t>verwaltungswissen-digitalisierung-ministerium-für-wirtschaft-verkehr-landwirtschaft-und-weinbau</t>
        </is>
      </c>
    </row>
    <row r="470">
      <c r="A470" s="5" t="inlineStr">
        <is>
          <t>C0469</t>
        </is>
      </c>
      <c r="B470" s="5" t="inlineStr">
        <is>
          <t>x_0469</t>
        </is>
      </c>
      <c r="C470" s="5" t="n">
        <v>0</v>
      </c>
      <c r="D470" s="5" t="inlineStr">
        <is>
          <t>Hochschule Trier</t>
        </is>
      </c>
      <c r="E470" s="5" t="inlineStr">
        <is>
          <t>KSB AG</t>
        </is>
      </c>
      <c r="F470" s="5" t="n">
        <v>40</v>
      </c>
      <c r="G470" s="5" t="n">
        <v>57</v>
      </c>
      <c r="H470" s="5" t="inlineStr">
        <is>
          <t>academic_support</t>
        </is>
      </c>
      <c r="I470" t="inlineStr">
        <is>
          <t>university_applied_sciences</t>
        </is>
      </c>
      <c r="J470" s="5" t="inlineStr">
        <is>
          <t>profit_anchor</t>
        </is>
      </c>
      <c r="K470" t="inlineStr">
        <is>
          <t>industry_anchor</t>
        </is>
      </c>
      <c r="L470" s="5" t="inlineStr">
        <is>
          <t>nachhaltigkeit</t>
        </is>
      </c>
      <c r="M470" s="5" t="inlineStr">
        <is>
          <t>wasser_umwelttechnik_resilienz</t>
        </is>
      </c>
      <c r="N470" s="5" t="inlineStr">
        <is>
          <t>Wasser, Umwelttechnik und kommunale Resilienz</t>
        </is>
      </c>
      <c r="O470" s="5" t="n">
        <v>4</v>
      </c>
      <c r="P470" s="5" t="n">
        <v>5</v>
      </c>
      <c r="Q470" s="5" t="n">
        <v>13</v>
      </c>
      <c r="R470" s="5" t="n">
        <v>4</v>
      </c>
      <c r="S470" s="5" t="n">
        <v>0</v>
      </c>
      <c r="T470" s="5" t="n">
        <v>0</v>
      </c>
      <c r="U470" s="5" t="n">
        <v>2</v>
      </c>
      <c r="V470" s="5" t="n">
        <v>6</v>
      </c>
      <c r="W470" s="5" t="n">
        <v>6</v>
      </c>
      <c r="X470" s="5" t="n">
        <v>0</v>
      </c>
      <c r="Y470" s="5" t="n">
        <v>0</v>
      </c>
      <c r="Z470" s="5" t="n">
        <v>0</v>
      </c>
      <c r="AA470" s="5" t="n">
        <v>0</v>
      </c>
      <c r="AB470" s="5" t="n">
        <v>23.453124</v>
      </c>
      <c r="AC470" s="5" t="inlineStr">
        <is>
          <t>Wie können Kommunen und Infrastrukturträger Wasser-, Abwasser- und Umwelttechnik digitaler und resilienter steuern?</t>
        </is>
      </c>
      <c r="AD470" s="5" t="inlineStr">
        <is>
          <t>Wasser, Umwelttechnik und kommunale Resilienz: Hochschule Trier (academic_support, 4) + KSB AG (profit_anchor, 5).</t>
        </is>
      </c>
      <c r="AE470" s="5" t="inlineStr">
        <is>
          <t>Hochschule Trier | KSB AG</t>
        </is>
      </c>
      <c r="AF470" s="5" t="inlineStr">
        <is>
          <t>wasser-umwelttechnik-resilienz-hochschule-trier-ksb-ag</t>
        </is>
      </c>
    </row>
    <row r="471">
      <c r="A471" s="5" t="inlineStr">
        <is>
          <t>C0470</t>
        </is>
      </c>
      <c r="B471" s="5" t="inlineStr">
        <is>
          <t>x_0470</t>
        </is>
      </c>
      <c r="C471" s="5" t="n">
        <v>0</v>
      </c>
      <c r="D471" s="5" t="inlineStr">
        <is>
          <t>Hochschule Trier</t>
        </is>
      </c>
      <c r="E471" s="5" t="inlineStr">
        <is>
          <t>Zahnen Technik GmbH</t>
        </is>
      </c>
      <c r="F471" s="5" t="n">
        <v>40</v>
      </c>
      <c r="G471" s="5" t="n">
        <v>101</v>
      </c>
      <c r="H471" s="5" t="inlineStr">
        <is>
          <t>academic_support</t>
        </is>
      </c>
      <c r="I471" t="inlineStr">
        <is>
          <t>university_applied_sciences</t>
        </is>
      </c>
      <c r="J471" s="5" t="inlineStr">
        <is>
          <t>profit_anchor</t>
        </is>
      </c>
      <c r="K471" t="inlineStr">
        <is>
          <t>energy_infrastructure_anchor</t>
        </is>
      </c>
      <c r="L471" s="5" t="inlineStr">
        <is>
          <t>nachhaltigkeit</t>
        </is>
      </c>
      <c r="M471" s="5" t="inlineStr">
        <is>
          <t>wasser_umwelttechnik_resilienz</t>
        </is>
      </c>
      <c r="N471" s="5" t="inlineStr">
        <is>
          <t>Wasser, Umwelttechnik und kommunale Resilienz</t>
        </is>
      </c>
      <c r="O471" s="5" t="n">
        <v>4</v>
      </c>
      <c r="P471" s="5" t="n">
        <v>5</v>
      </c>
      <c r="Q471" s="5" t="n">
        <v>13</v>
      </c>
      <c r="R471" s="5" t="n">
        <v>4</v>
      </c>
      <c r="S471" s="5" t="n">
        <v>0</v>
      </c>
      <c r="T471" s="5" t="n">
        <v>0</v>
      </c>
      <c r="U471" s="5" t="n">
        <v>2</v>
      </c>
      <c r="V471" s="5" t="n">
        <v>6</v>
      </c>
      <c r="W471" s="5" t="n">
        <v>6</v>
      </c>
      <c r="X471" s="5" t="n">
        <v>0</v>
      </c>
      <c r="Y471" s="5" t="n">
        <v>0</v>
      </c>
      <c r="Z471" s="5" t="n">
        <v>0</v>
      </c>
      <c r="AA471" s="5" t="n">
        <v>0</v>
      </c>
      <c r="AB471" s="5" t="n">
        <v>24.721763</v>
      </c>
      <c r="AC471" s="5" t="inlineStr">
        <is>
          <t>Wie können Kommunen und Infrastrukturträger Wasser-, Abwasser- und Umwelttechnik digitaler und resilienter steuern?</t>
        </is>
      </c>
      <c r="AD471" s="5" t="inlineStr">
        <is>
          <t>Wasser, Umwelttechnik und kommunale Resilienz: Hochschule Trier (academic_support, 4) + Zahnen Technik GmbH (profit_anchor, 5).</t>
        </is>
      </c>
      <c r="AE471" s="5" t="inlineStr">
        <is>
          <t>Hochschule Trier | Zahnen Technik GmbH</t>
        </is>
      </c>
      <c r="AF471" s="5" t="inlineStr">
        <is>
          <t>wasser-umwelttechnik-resilienz-hochschule-trier-zahnen-technik-gmbh</t>
        </is>
      </c>
    </row>
    <row r="472">
      <c r="A472" s="5" t="inlineStr">
        <is>
          <t>C0471</t>
        </is>
      </c>
      <c r="B472" s="5" t="inlineStr">
        <is>
          <t>x_0471</t>
        </is>
      </c>
      <c r="C472" s="5" t="n">
        <v>0</v>
      </c>
      <c r="D472" s="5" t="inlineStr">
        <is>
          <t>Barmherzige Brüder Trier gGmbH</t>
        </is>
      </c>
      <c r="E472" s="5" t="inlineStr">
        <is>
          <t>Bundesagentur für Arbeit, Regionaldirektion Rheinland-Pfalz-Saarland</t>
        </is>
      </c>
      <c r="F472" s="5" t="n">
        <v>5</v>
      </c>
      <c r="G472" s="5" t="n">
        <v>13</v>
      </c>
      <c r="H472" s="5" t="inlineStr">
        <is>
          <t>context_actor</t>
        </is>
      </c>
      <c r="I472" t="inlineStr">
        <is>
          <t>health_social_anchor</t>
        </is>
      </c>
      <c r="J472" s="5" t="inlineStr">
        <is>
          <t>implementation_anchor</t>
        </is>
      </c>
      <c r="K472" t="inlineStr">
        <is>
          <t>public_policy_anchor</t>
        </is>
      </c>
      <c r="L472" s="5" t="inlineStr">
        <is>
          <t>wissen</t>
        </is>
      </c>
      <c r="M472" s="5" t="inlineStr">
        <is>
          <t>weiterbildung_lebenslanges_lernen</t>
        </is>
      </c>
      <c r="N472" s="5" t="inlineStr">
        <is>
          <t>Weiterbildung und lebenslanges Lernen</t>
        </is>
      </c>
      <c r="O472" s="5" t="n">
        <v>4</v>
      </c>
      <c r="P472" s="5" t="n">
        <v>5</v>
      </c>
      <c r="Q472" s="5" t="n">
        <v>13</v>
      </c>
      <c r="R472" s="5" t="n">
        <v>4</v>
      </c>
      <c r="S472" s="5" t="n">
        <v>0</v>
      </c>
      <c r="T472" s="5" t="n">
        <v>0</v>
      </c>
      <c r="U472" s="5" t="n">
        <v>2</v>
      </c>
      <c r="V472" s="5" t="n">
        <v>6</v>
      </c>
      <c r="W472" s="5" t="n">
        <v>6</v>
      </c>
      <c r="X472" s="5" t="n">
        <v>0</v>
      </c>
      <c r="Y472" s="5" t="n">
        <v>0</v>
      </c>
      <c r="Z472" s="5" t="n">
        <v>0</v>
      </c>
      <c r="AA472" s="5" t="n">
        <v>0</v>
      </c>
      <c r="AB472" s="5" t="n">
        <v>37.129023</v>
      </c>
      <c r="AC472" s="5" t="inlineStr">
        <is>
          <t>Wie können Beschäftigte, Verwaltung und Unternehmen Weiterbildung in reale Transformationsprozesse integrieren?</t>
        </is>
      </c>
      <c r="AD472" s="5" t="inlineStr">
        <is>
          <t>Weiterbildung und lebenslanges Lernen: Barmherzige Brüder Trier gGmbH (context_actor, 4) + Bundesagentur für Arbeit, Regionaldirektion Rheinland-Pfalz-Saarland (implementation_anchor, 5).</t>
        </is>
      </c>
      <c r="AE472" s="5" t="inlineStr">
        <is>
          <t>Barmherzige Brüder Trier gGmbH | Bundesagentur für Arbeit, Regionaldirektion Rheinland-Pfalz-Saarland</t>
        </is>
      </c>
      <c r="AF472" s="5" t="inlineStr">
        <is>
          <t>weiterbildung-lebenslanges-lernen-barmherzige-brüder-trier-ggmbh-bundesagentur-für-arbeit-regio</t>
        </is>
      </c>
    </row>
    <row r="473">
      <c r="A473" s="5" t="inlineStr">
        <is>
          <t>C0472</t>
        </is>
      </c>
      <c r="B473" s="5" t="inlineStr">
        <is>
          <t>x_0472</t>
        </is>
      </c>
      <c r="C473" s="5" t="n">
        <v>0</v>
      </c>
      <c r="D473" s="5" t="inlineStr">
        <is>
          <t>Barmherzige Brüder Trier gGmbH</t>
        </is>
      </c>
      <c r="E473" s="5" t="inlineStr">
        <is>
          <t>Handwerkskammern Rheinland-Pfalz</t>
        </is>
      </c>
      <c r="F473" s="5" t="n">
        <v>5</v>
      </c>
      <c r="G473" s="5" t="n">
        <v>32</v>
      </c>
      <c r="H473" s="5" t="inlineStr">
        <is>
          <t>context_actor</t>
        </is>
      </c>
      <c r="I473" t="inlineStr">
        <is>
          <t>health_social_anchor</t>
        </is>
      </c>
      <c r="J473" s="5" t="inlineStr">
        <is>
          <t>implementation_anchor</t>
        </is>
      </c>
      <c r="K473" t="inlineStr">
        <is>
          <t>chamber_association_anchor</t>
        </is>
      </c>
      <c r="L473" s="5" t="inlineStr">
        <is>
          <t>wissen</t>
        </is>
      </c>
      <c r="M473" s="5" t="inlineStr">
        <is>
          <t>weiterbildung_lebenslanges_lernen</t>
        </is>
      </c>
      <c r="N473" s="5" t="inlineStr">
        <is>
          <t>Weiterbildung und lebenslanges Lernen</t>
        </is>
      </c>
      <c r="O473" s="5" t="n">
        <v>4</v>
      </c>
      <c r="P473" s="5" t="n">
        <v>5</v>
      </c>
      <c r="Q473" s="5" t="n">
        <v>13</v>
      </c>
      <c r="R473" s="5" t="n">
        <v>4</v>
      </c>
      <c r="S473" s="5" t="n">
        <v>0</v>
      </c>
      <c r="T473" s="5" t="n">
        <v>0</v>
      </c>
      <c r="U473" s="5" t="n">
        <v>2</v>
      </c>
      <c r="V473" s="5" t="n">
        <v>6</v>
      </c>
      <c r="W473" s="5" t="n">
        <v>6</v>
      </c>
      <c r="X473" s="5" t="n">
        <v>0</v>
      </c>
      <c r="Y473" s="5" t="n">
        <v>0</v>
      </c>
      <c r="Z473" s="5" t="n">
        <v>0</v>
      </c>
      <c r="AA473" s="5" t="n">
        <v>0</v>
      </c>
      <c r="AB473" s="5" t="n">
        <v>42.872902</v>
      </c>
      <c r="AC473" s="5" t="inlineStr">
        <is>
          <t>Wie können Beschäftigte, Verwaltung und Unternehmen Weiterbildung in reale Transformationsprozesse integrieren?</t>
        </is>
      </c>
      <c r="AD473" s="5" t="inlineStr">
        <is>
          <t>Weiterbildung und lebenslanges Lernen: Barmherzige Brüder Trier gGmbH (context_actor, 4) + Handwerkskammern Rheinland-Pfalz (implementation_anchor, 5).</t>
        </is>
      </c>
      <c r="AE473" s="5" t="inlineStr">
        <is>
          <t>Barmherzige Brüder Trier gGmbH | Handwerkskammern Rheinland-Pfalz</t>
        </is>
      </c>
      <c r="AF473" s="5" t="inlineStr">
        <is>
          <t>weiterbildung-lebenslanges-lernen-barmherzige-brüder-trier-ggmbh-handwerkskammern-rheinland-pfa</t>
        </is>
      </c>
    </row>
    <row r="474">
      <c r="A474" s="5" t="inlineStr">
        <is>
          <t>C0473</t>
        </is>
      </c>
      <c r="B474" s="5" t="inlineStr">
        <is>
          <t>x_0473</t>
        </is>
      </c>
      <c r="C474" s="5" t="n">
        <v>0</v>
      </c>
      <c r="D474" s="5" t="inlineStr">
        <is>
          <t>Bundesagentur für Arbeit, Regionaldirektion Rheinland-Pfalz-Saarland</t>
        </is>
      </c>
      <c r="E474" s="5" t="inlineStr">
        <is>
          <t>Deutscher Gewerkschaftsbund (DGB) Rheinland-Pfalz/Saarland</t>
        </is>
      </c>
      <c r="F474" s="5" t="n">
        <v>13</v>
      </c>
      <c r="G474" s="5" t="n">
        <v>20</v>
      </c>
      <c r="H474" s="5" t="inlineStr">
        <is>
          <t>implementation_anchor</t>
        </is>
      </c>
      <c r="I474" t="inlineStr">
        <is>
          <t>public_policy_anchor</t>
        </is>
      </c>
      <c r="J474" s="5" t="inlineStr">
        <is>
          <t>context_actor</t>
        </is>
      </c>
      <c r="K474" t="inlineStr">
        <is>
          <t>chamber_association_anchor</t>
        </is>
      </c>
      <c r="L474" s="5" t="inlineStr">
        <is>
          <t>wissen</t>
        </is>
      </c>
      <c r="M474" s="5" t="inlineStr">
        <is>
          <t>weiterbildung_lebenslanges_lernen</t>
        </is>
      </c>
      <c r="N474" s="5" t="inlineStr">
        <is>
          <t>Weiterbildung und lebenslanges Lernen</t>
        </is>
      </c>
      <c r="O474" s="5" t="n">
        <v>5</v>
      </c>
      <c r="P474" s="5" t="n">
        <v>4</v>
      </c>
      <c r="Q474" s="5" t="n">
        <v>13</v>
      </c>
      <c r="R474" s="5" t="n">
        <v>4</v>
      </c>
      <c r="S474" s="5" t="n">
        <v>0</v>
      </c>
      <c r="T474" s="5" t="n">
        <v>0</v>
      </c>
      <c r="U474" s="5" t="n">
        <v>2</v>
      </c>
      <c r="V474" s="5" t="n">
        <v>6</v>
      </c>
      <c r="W474" s="5" t="n">
        <v>6</v>
      </c>
      <c r="X474" s="5" t="n">
        <v>0</v>
      </c>
      <c r="Y474" s="5" t="n">
        <v>0</v>
      </c>
      <c r="Z474" s="5" t="n">
        <v>0</v>
      </c>
      <c r="AA474" s="5" t="n">
        <v>0</v>
      </c>
      <c r="AB474" s="5" t="n">
        <v>47.933362</v>
      </c>
      <c r="AC474" s="5" t="inlineStr">
        <is>
          <t>Wie können Beschäftigte, Verwaltung und Unternehmen Weiterbildung in reale Transformationsprozesse integrieren?</t>
        </is>
      </c>
      <c r="AD474" s="5" t="inlineStr">
        <is>
          <t>Weiterbildung und lebenslanges Lernen: Bundesagentur für Arbeit, Regionaldirektion Rheinland-Pfalz-Saarland (implementation_anchor, 5) + Deutscher Gewerkschaftsbund (DGB) Rheinland-Pfalz/Saarland (context_actor, 4).</t>
        </is>
      </c>
      <c r="AE474" s="5" t="inlineStr">
        <is>
          <t>Bundesagentur für Arbeit, Regionaldirektion Rheinland-Pfalz-Saarland | Deutscher Gewerkschaftsbund (DGB) Rheinland-Pfalz/Saarland</t>
        </is>
      </c>
      <c r="AF474" s="5" t="inlineStr">
        <is>
          <t>weiterbildung-lebenslanges-lernen-bundesagentur-für-arbeit-regionaldirektion-rheinland-pfalz-sa</t>
        </is>
      </c>
    </row>
    <row r="475">
      <c r="A475" s="5" t="inlineStr">
        <is>
          <t>C0474</t>
        </is>
      </c>
      <c r="B475" s="5" t="inlineStr">
        <is>
          <t>x_0474</t>
        </is>
      </c>
      <c r="C475" s="5" t="n">
        <v>0</v>
      </c>
      <c r="D475" s="5" t="inlineStr">
        <is>
          <t>Bundesagentur für Arbeit, Regionaldirektion Rheinland-Pfalz-Saarland</t>
        </is>
      </c>
      <c r="E475" s="5" t="inlineStr">
        <is>
          <t>JOBS FOR MOMS UG</t>
        </is>
      </c>
      <c r="F475" s="5" t="n">
        <v>13</v>
      </c>
      <c r="G475" s="5" t="n">
        <v>48</v>
      </c>
      <c r="H475" s="5" t="inlineStr">
        <is>
          <t>implementation_anchor</t>
        </is>
      </c>
      <c r="I475" t="inlineStr">
        <is>
          <t>public_policy_anchor</t>
        </is>
      </c>
      <c r="J475" s="5" t="inlineStr">
        <is>
          <t>context_actor</t>
        </is>
      </c>
      <c r="K475" t="inlineStr">
        <is>
          <t>professional_services_anchor</t>
        </is>
      </c>
      <c r="L475" s="5" t="inlineStr">
        <is>
          <t>wissen</t>
        </is>
      </c>
      <c r="M475" s="5" t="inlineStr">
        <is>
          <t>weiterbildung_lebenslanges_lernen</t>
        </is>
      </c>
      <c r="N475" s="5" t="inlineStr">
        <is>
          <t>Weiterbildung und lebenslanges Lernen</t>
        </is>
      </c>
      <c r="O475" s="5" t="n">
        <v>5</v>
      </c>
      <c r="P475" s="5" t="n">
        <v>4</v>
      </c>
      <c r="Q475" s="5" t="n">
        <v>13</v>
      </c>
      <c r="R475" s="5" t="n">
        <v>4</v>
      </c>
      <c r="S475" s="5" t="n">
        <v>0</v>
      </c>
      <c r="T475" s="5" t="n">
        <v>0</v>
      </c>
      <c r="U475" s="5" t="n">
        <v>2</v>
      </c>
      <c r="V475" s="5" t="n">
        <v>6</v>
      </c>
      <c r="W475" s="5" t="n">
        <v>6</v>
      </c>
      <c r="X475" s="5" t="n">
        <v>0</v>
      </c>
      <c r="Y475" s="5" t="n">
        <v>0</v>
      </c>
      <c r="Z475" s="5" t="n">
        <v>0</v>
      </c>
      <c r="AA475" s="5" t="n">
        <v>0</v>
      </c>
      <c r="AB475" s="5" t="n">
        <v>44.965479</v>
      </c>
      <c r="AC475" s="5" t="inlineStr">
        <is>
          <t>Wie können Beschäftigte, Verwaltung und Unternehmen Weiterbildung in reale Transformationsprozesse integrieren?</t>
        </is>
      </c>
      <c r="AD475" s="5" t="inlineStr">
        <is>
          <t>Weiterbildung und lebenslanges Lernen: Bundesagentur für Arbeit, Regionaldirektion Rheinland-Pfalz-Saarland (implementation_anchor, 5) + JOBS FOR MOMS UG (context_actor, 4).</t>
        </is>
      </c>
      <c r="AE475" s="5" t="inlineStr">
        <is>
          <t>Bundesagentur für Arbeit, Regionaldirektion Rheinland-Pfalz-Saarland | JOBS FOR MOMS UG</t>
        </is>
      </c>
      <c r="AF475" s="5" t="inlineStr">
        <is>
          <t>weiterbildung-lebenslanges-lernen-bundesagentur-für-arbeit-regionaldirektion-rheinland-pfalz-sa</t>
        </is>
      </c>
    </row>
    <row r="476">
      <c r="A476" s="5" t="inlineStr">
        <is>
          <t>C0475</t>
        </is>
      </c>
      <c r="B476" s="5" t="inlineStr">
        <is>
          <t>x_0475</t>
        </is>
      </c>
      <c r="C476" s="5" t="n">
        <v>0</v>
      </c>
      <c r="D476" s="5" t="inlineStr">
        <is>
          <t>Deutscher Gewerkschaftsbund (DGB) Rheinland-Pfalz/Saarland</t>
        </is>
      </c>
      <c r="E476" s="5" t="inlineStr">
        <is>
          <t>Handwerkskammern Rheinland-Pfalz</t>
        </is>
      </c>
      <c r="F476" s="5" t="n">
        <v>20</v>
      </c>
      <c r="G476" s="5" t="n">
        <v>32</v>
      </c>
      <c r="H476" s="5" t="inlineStr">
        <is>
          <t>context_actor</t>
        </is>
      </c>
      <c r="I476" t="inlineStr">
        <is>
          <t>chamber_association_anchor</t>
        </is>
      </c>
      <c r="J476" s="5" t="inlineStr">
        <is>
          <t>implementation_anchor</t>
        </is>
      </c>
      <c r="K476" t="inlineStr">
        <is>
          <t>chamber_association_anchor</t>
        </is>
      </c>
      <c r="L476" s="5" t="inlineStr">
        <is>
          <t>wissen</t>
        </is>
      </c>
      <c r="M476" s="5" t="inlineStr">
        <is>
          <t>weiterbildung_lebenslanges_lernen</t>
        </is>
      </c>
      <c r="N476" s="5" t="inlineStr">
        <is>
          <t>Weiterbildung und lebenslanges Lernen</t>
        </is>
      </c>
      <c r="O476" s="5" t="n">
        <v>4</v>
      </c>
      <c r="P476" s="5" t="n">
        <v>5</v>
      </c>
      <c r="Q476" s="5" t="n">
        <v>13</v>
      </c>
      <c r="R476" s="5" t="n">
        <v>4</v>
      </c>
      <c r="S476" s="5" t="n">
        <v>0</v>
      </c>
      <c r="T476" s="5" t="n">
        <v>0</v>
      </c>
      <c r="U476" s="5" t="n">
        <v>2</v>
      </c>
      <c r="V476" s="5" t="n">
        <v>6</v>
      </c>
      <c r="W476" s="5" t="n">
        <v>6</v>
      </c>
      <c r="X476" s="5" t="n">
        <v>0</v>
      </c>
      <c r="Y476" s="5" t="n">
        <v>0</v>
      </c>
      <c r="Z476" s="5" t="n">
        <v>0</v>
      </c>
      <c r="AA476" s="5" t="n">
        <v>0</v>
      </c>
      <c r="AB476" s="5" t="n">
        <v>52.508367</v>
      </c>
      <c r="AC476" s="5" t="inlineStr">
        <is>
          <t>Wie können Beschäftigte, Verwaltung und Unternehmen Weiterbildung in reale Transformationsprozesse integrieren?</t>
        </is>
      </c>
      <c r="AD476" s="5" t="inlineStr">
        <is>
          <t>Weiterbildung und lebenslanges Lernen: Deutscher Gewerkschaftsbund (DGB) Rheinland-Pfalz/Saarland (context_actor, 4) + Handwerkskammern Rheinland-Pfalz (implementation_anchor, 5).</t>
        </is>
      </c>
      <c r="AE476" s="5" t="inlineStr">
        <is>
          <t>Deutscher Gewerkschaftsbund (DGB) Rheinland-Pfalz/Saarland | Handwerkskammern Rheinland-Pfalz</t>
        </is>
      </c>
      <c r="AF476" s="5" t="inlineStr">
        <is>
          <t>weiterbildung-lebenslanges-lernen-deutscher-gewerkschaftsbund-dgb-rheinland-pfalz-saarland-hand</t>
        </is>
      </c>
    </row>
    <row r="477">
      <c r="A477" s="5" t="inlineStr">
        <is>
          <t>C0476</t>
        </is>
      </c>
      <c r="B477" s="5" t="inlineStr">
        <is>
          <t>x_0476</t>
        </is>
      </c>
      <c r="C477" s="5" t="n">
        <v>0</v>
      </c>
      <c r="D477" s="5" t="inlineStr">
        <is>
          <t>Handwerkskammern Rheinland-Pfalz</t>
        </is>
      </c>
      <c r="E477" s="5" t="inlineStr">
        <is>
          <t>JOBS FOR MOMS UG</t>
        </is>
      </c>
      <c r="F477" s="5" t="n">
        <v>32</v>
      </c>
      <c r="G477" s="5" t="n">
        <v>48</v>
      </c>
      <c r="H477" s="5" t="inlineStr">
        <is>
          <t>implementation_anchor</t>
        </is>
      </c>
      <c r="I477" t="inlineStr">
        <is>
          <t>chamber_association_anchor</t>
        </is>
      </c>
      <c r="J477" s="5" t="inlineStr">
        <is>
          <t>context_actor</t>
        </is>
      </c>
      <c r="K477" t="inlineStr">
        <is>
          <t>professional_services_anchor</t>
        </is>
      </c>
      <c r="L477" s="5" t="inlineStr">
        <is>
          <t>wissen</t>
        </is>
      </c>
      <c r="M477" s="5" t="inlineStr">
        <is>
          <t>weiterbildung_lebenslanges_lernen</t>
        </is>
      </c>
      <c r="N477" s="5" t="inlineStr">
        <is>
          <t>Weiterbildung und lebenslanges Lernen</t>
        </is>
      </c>
      <c r="O477" s="5" t="n">
        <v>5</v>
      </c>
      <c r="P477" s="5" t="n">
        <v>4</v>
      </c>
      <c r="Q477" s="5" t="n">
        <v>13</v>
      </c>
      <c r="R477" s="5" t="n">
        <v>4</v>
      </c>
      <c r="S477" s="5" t="n">
        <v>0</v>
      </c>
      <c r="T477" s="5" t="n">
        <v>0</v>
      </c>
      <c r="U477" s="5" t="n">
        <v>2</v>
      </c>
      <c r="V477" s="5" t="n">
        <v>6</v>
      </c>
      <c r="W477" s="5" t="n">
        <v>6</v>
      </c>
      <c r="X477" s="5" t="n">
        <v>0</v>
      </c>
      <c r="Y477" s="5" t="n">
        <v>0</v>
      </c>
      <c r="Z477" s="5" t="n">
        <v>0</v>
      </c>
      <c r="AA477" s="5" t="n">
        <v>0</v>
      </c>
      <c r="AB477" s="5" t="n">
        <v>49.813811</v>
      </c>
      <c r="AC477" s="5" t="inlineStr">
        <is>
          <t>Wie können Beschäftigte, Verwaltung und Unternehmen Weiterbildung in reale Transformationsprozesse integrieren?</t>
        </is>
      </c>
      <c r="AD477" s="5" t="inlineStr">
        <is>
          <t>Weiterbildung und lebenslanges Lernen: Handwerkskammern Rheinland-Pfalz (implementation_anchor, 5) + JOBS FOR MOMS UG (context_actor, 4).</t>
        </is>
      </c>
      <c r="AE477" s="5" t="inlineStr">
        <is>
          <t>Handwerkskammern Rheinland-Pfalz | JOBS FOR MOMS UG</t>
        </is>
      </c>
      <c r="AF477" s="5" t="inlineStr">
        <is>
          <t>weiterbildung-lebenslanges-lernen-handwerkskammern-rheinland-pfalz-jobs-for-moms-ug</t>
        </is>
      </c>
    </row>
    <row r="478">
      <c r="A478" s="5" t="inlineStr">
        <is>
          <t>C0477</t>
        </is>
      </c>
      <c r="B478" s="5" t="inlineStr">
        <is>
          <t>x_0477</t>
        </is>
      </c>
      <c r="C478" s="5" t="n">
        <v>0</v>
      </c>
      <c r="D478" s="5" t="inlineStr">
        <is>
          <t>Deutsche Universität für Verwaltungswissenschaften Speyer</t>
        </is>
      </c>
      <c r="E478" s="5" t="inlineStr">
        <is>
          <t>Erster FC Kaiserslautern GmbH &amp; Co. KGaA</t>
        </is>
      </c>
      <c r="F478" s="5" t="n">
        <v>19</v>
      </c>
      <c r="G478" s="5" t="n">
        <v>27</v>
      </c>
      <c r="H478" s="5" t="inlineStr">
        <is>
          <t>academic_support</t>
        </is>
      </c>
      <c r="I478" t="inlineStr">
        <is>
          <t>university_research</t>
        </is>
      </c>
      <c r="J478" s="5" t="inlineStr">
        <is>
          <t>profit_anchor</t>
        </is>
      </c>
      <c r="K478" t="inlineStr">
        <is>
          <t>sports_regional_identity_anchor</t>
        </is>
      </c>
      <c r="L478" s="5" t="inlineStr">
        <is>
          <t>gesellschaft</t>
        </is>
      </c>
      <c r="M478" s="5" t="inlineStr">
        <is>
          <t>demokratie_medien_zusammenhalt</t>
        </is>
      </c>
      <c r="N478" s="5" t="inlineStr">
        <is>
          <t>Demokratie, Medien und gesellschaftlicher Zusammenhalt</t>
        </is>
      </c>
      <c r="O478" s="5" t="n">
        <v>5</v>
      </c>
      <c r="P478" s="5" t="n">
        <v>3</v>
      </c>
      <c r="Q478" s="5" t="n">
        <v>12</v>
      </c>
      <c r="R478" s="5" t="n">
        <v>4</v>
      </c>
      <c r="S478" s="5" t="n">
        <v>0</v>
      </c>
      <c r="T478" s="5" t="n">
        <v>0</v>
      </c>
      <c r="U478" s="5" t="n">
        <v>2</v>
      </c>
      <c r="V478" s="5" t="n">
        <v>6</v>
      </c>
      <c r="W478" s="5" t="n">
        <v>6</v>
      </c>
      <c r="X478" s="5" t="n">
        <v>0</v>
      </c>
      <c r="Y478" s="5" t="n">
        <v>0</v>
      </c>
      <c r="Z478" s="5" t="n">
        <v>0</v>
      </c>
      <c r="AA478" s="5" t="n">
        <v>0</v>
      </c>
      <c r="AB478" s="5" t="n">
        <v>42.677487</v>
      </c>
      <c r="AC478" s="5" t="inlineStr">
        <is>
          <t>Wie stärken Medien, Bildung, Kirchen, Wissenschaft und Zivilgesellschaft Vertrauen und demokratische Orientierung?</t>
        </is>
      </c>
      <c r="AD478" s="5" t="inlineStr">
        <is>
          <t>Demokratie, Medien und gesellschaftlicher Zusammenhalt: Deutsche Universität für Verwaltungswissenschaften Speyer (academic_support, 5) + Erster FC Kaiserslautern GmbH &amp; Co. KGaA (profit_anchor, 3).</t>
        </is>
      </c>
      <c r="AE478" s="5" t="inlineStr">
        <is>
          <t>Deutsche Universität für Verwaltungswissenschaften Speyer | Erster FC Kaiserslautern GmbH &amp; Co. KGaA</t>
        </is>
      </c>
      <c r="AF478" s="5" t="inlineStr">
        <is>
          <t>demokratie-medien-zusammenhalt-deutsche-universität-für-verwaltungswissenschaften-speyer-erster</t>
        </is>
      </c>
    </row>
    <row r="479">
      <c r="A479" s="5" t="inlineStr">
        <is>
          <t>C0478</t>
        </is>
      </c>
      <c r="B479" s="5" t="inlineStr">
        <is>
          <t>x_0478</t>
        </is>
      </c>
      <c r="C479" s="5" t="n">
        <v>0</v>
      </c>
      <c r="D479" s="5" t="inlineStr">
        <is>
          <t>Entwicklungsagentur Rheinland-Pfalz e.V.</t>
        </is>
      </c>
      <c r="E479" s="5" t="inlineStr">
        <is>
          <t>Evangelische Kirche der Pfalz</t>
        </is>
      </c>
      <c r="F479" s="5" t="n">
        <v>25</v>
      </c>
      <c r="G479" s="5" t="n">
        <v>28</v>
      </c>
      <c r="H479" s="5" t="inlineStr">
        <is>
          <t>implementation_anchor</t>
        </is>
      </c>
      <c r="I479" t="inlineStr">
        <is>
          <t>public_policy_anchor</t>
        </is>
      </c>
      <c r="J479" s="5" t="inlineStr">
        <is>
          <t>context_actor</t>
        </is>
      </c>
      <c r="K479" t="inlineStr">
        <is>
          <t>culture_foundation_anchor</t>
        </is>
      </c>
      <c r="L479" s="5" t="inlineStr">
        <is>
          <t>gesellschaft</t>
        </is>
      </c>
      <c r="M479" s="5" t="inlineStr">
        <is>
          <t>demokratie_medien_zusammenhalt</t>
        </is>
      </c>
      <c r="N479" s="5" t="inlineStr">
        <is>
          <t>Demokratie, Medien und gesellschaftlicher Zusammenhalt</t>
        </is>
      </c>
      <c r="O479" s="5" t="n">
        <v>3</v>
      </c>
      <c r="P479" s="5" t="n">
        <v>5</v>
      </c>
      <c r="Q479" s="5" t="n">
        <v>12</v>
      </c>
      <c r="R479" s="5" t="n">
        <v>4</v>
      </c>
      <c r="S479" s="5" t="n">
        <v>0</v>
      </c>
      <c r="T479" s="5" t="n">
        <v>0</v>
      </c>
      <c r="U479" s="5" t="n">
        <v>2</v>
      </c>
      <c r="V479" s="5" t="n">
        <v>6</v>
      </c>
      <c r="W479" s="5" t="n">
        <v>6</v>
      </c>
      <c r="X479" s="5" t="n">
        <v>0</v>
      </c>
      <c r="Y479" s="5" t="n">
        <v>0</v>
      </c>
      <c r="Z479" s="5" t="n">
        <v>0</v>
      </c>
      <c r="AA479" s="5" t="n">
        <v>0</v>
      </c>
      <c r="AB479" s="5" t="n">
        <v>50.814549</v>
      </c>
      <c r="AC479" s="5" t="inlineStr">
        <is>
          <t>Wie stärken Medien, Bildung, Kirchen, Wissenschaft und Zivilgesellschaft Vertrauen und demokratische Orientierung?</t>
        </is>
      </c>
      <c r="AD479" s="5" t="inlineStr">
        <is>
          <t>Demokratie, Medien und gesellschaftlicher Zusammenhalt: Entwicklungsagentur Rheinland-Pfalz e.V. (implementation_anchor, 3) + Evangelische Kirche der Pfalz (context_actor, 5).</t>
        </is>
      </c>
      <c r="AE479" s="5" t="inlineStr">
        <is>
          <t>Entwicklungsagentur Rheinland-Pfalz e.V. | Evangelische Kirche der Pfalz</t>
        </is>
      </c>
      <c r="AF479" s="5" t="inlineStr">
        <is>
          <t>demokratie-medien-zusammenhalt-entwicklungsagentur-rheinland-pfalz-e-v-evangelische-kirche-der-</t>
        </is>
      </c>
    </row>
    <row r="480">
      <c r="A480" s="5" t="inlineStr">
        <is>
          <t>C0479</t>
        </is>
      </c>
      <c r="B480" s="5" t="inlineStr">
        <is>
          <t>x_0479</t>
        </is>
      </c>
      <c r="C480" s="5" t="n">
        <v>0</v>
      </c>
      <c r="D480" s="5" t="inlineStr">
        <is>
          <t>Entwicklungsagentur Rheinland-Pfalz e.V.</t>
        </is>
      </c>
      <c r="E480" s="5" t="inlineStr">
        <is>
          <t>RPR1.</t>
        </is>
      </c>
      <c r="F480" s="5" t="n">
        <v>25</v>
      </c>
      <c r="G480" s="5" t="n">
        <v>76</v>
      </c>
      <c r="H480" s="5" t="inlineStr">
        <is>
          <t>implementation_anchor</t>
        </is>
      </c>
      <c r="I480" t="inlineStr">
        <is>
          <t>public_policy_anchor</t>
        </is>
      </c>
      <c r="J480" s="5" t="inlineStr">
        <is>
          <t>context_actor</t>
        </is>
      </c>
      <c r="K480" t="inlineStr">
        <is>
          <t>media_publicity_anchor</t>
        </is>
      </c>
      <c r="L480" s="5" t="inlineStr">
        <is>
          <t>gesellschaft</t>
        </is>
      </c>
      <c r="M480" s="5" t="inlineStr">
        <is>
          <t>demokratie_medien_zusammenhalt</t>
        </is>
      </c>
      <c r="N480" s="5" t="inlineStr">
        <is>
          <t>Demokratie, Medien und gesellschaftlicher Zusammenhalt</t>
        </is>
      </c>
      <c r="O480" s="5" t="n">
        <v>3</v>
      </c>
      <c r="P480" s="5" t="n">
        <v>5</v>
      </c>
      <c r="Q480" s="5" t="n">
        <v>12</v>
      </c>
      <c r="R480" s="5" t="n">
        <v>4</v>
      </c>
      <c r="S480" s="5" t="n">
        <v>0</v>
      </c>
      <c r="T480" s="5" t="n">
        <v>0</v>
      </c>
      <c r="U480" s="5" t="n">
        <v>2</v>
      </c>
      <c r="V480" s="5" t="n">
        <v>6</v>
      </c>
      <c r="W480" s="5" t="n">
        <v>6</v>
      </c>
      <c r="X480" s="5" t="n">
        <v>0</v>
      </c>
      <c r="Y480" s="5" t="n">
        <v>0</v>
      </c>
      <c r="Z480" s="5" t="n">
        <v>0</v>
      </c>
      <c r="AA480" s="5" t="n">
        <v>0</v>
      </c>
      <c r="AB480" s="5" t="n">
        <v>50.814549</v>
      </c>
      <c r="AC480" s="5" t="inlineStr">
        <is>
          <t>Wie stärken Medien, Bildung, Kirchen, Wissenschaft und Zivilgesellschaft Vertrauen und demokratische Orientierung?</t>
        </is>
      </c>
      <c r="AD480" s="5" t="inlineStr">
        <is>
          <t>Demokratie, Medien und gesellschaftlicher Zusammenhalt: Entwicklungsagentur Rheinland-Pfalz e.V. (implementation_anchor, 3) + RPR1. (context_actor, 5).</t>
        </is>
      </c>
      <c r="AE480" s="5" t="inlineStr">
        <is>
          <t>Entwicklungsagentur Rheinland-Pfalz e.V. | RPR1.</t>
        </is>
      </c>
      <c r="AF480" s="5" t="inlineStr">
        <is>
          <t>demokratie-medien-zusammenhalt-entwicklungsagentur-rheinland-pfalz-e-v-rpr1</t>
        </is>
      </c>
    </row>
    <row r="481">
      <c r="A481" s="5" t="inlineStr">
        <is>
          <t>C0480</t>
        </is>
      </c>
      <c r="B481" s="5" t="inlineStr">
        <is>
          <t>x_0480</t>
        </is>
      </c>
      <c r="C481" s="5" t="n">
        <v>0</v>
      </c>
      <c r="D481" s="5" t="inlineStr">
        <is>
          <t>Entwicklungsagentur Rheinland-Pfalz e.V.</t>
        </is>
      </c>
      <c r="E481" s="5" t="inlineStr">
        <is>
          <t>SWR – Südwestrundfunk</t>
        </is>
      </c>
      <c r="F481" s="5" t="n">
        <v>25</v>
      </c>
      <c r="G481" s="5" t="n">
        <v>86</v>
      </c>
      <c r="H481" s="5" t="inlineStr">
        <is>
          <t>implementation_anchor</t>
        </is>
      </c>
      <c r="I481" t="inlineStr">
        <is>
          <t>public_policy_anchor</t>
        </is>
      </c>
      <c r="J481" s="5" t="inlineStr">
        <is>
          <t>context_actor</t>
        </is>
      </c>
      <c r="K481" t="inlineStr">
        <is>
          <t>media_publicity_anchor</t>
        </is>
      </c>
      <c r="L481" s="5" t="inlineStr">
        <is>
          <t>gesellschaft</t>
        </is>
      </c>
      <c r="M481" s="5" t="inlineStr">
        <is>
          <t>demokratie_medien_zusammenhalt</t>
        </is>
      </c>
      <c r="N481" s="5" t="inlineStr">
        <is>
          <t>Demokratie, Medien und gesellschaftlicher Zusammenhalt</t>
        </is>
      </c>
      <c r="O481" s="5" t="n">
        <v>3</v>
      </c>
      <c r="P481" s="5" t="n">
        <v>5</v>
      </c>
      <c r="Q481" s="5" t="n">
        <v>12</v>
      </c>
      <c r="R481" s="5" t="n">
        <v>4</v>
      </c>
      <c r="S481" s="5" t="n">
        <v>0</v>
      </c>
      <c r="T481" s="5" t="n">
        <v>0</v>
      </c>
      <c r="U481" s="5" t="n">
        <v>2</v>
      </c>
      <c r="V481" s="5" t="n">
        <v>6</v>
      </c>
      <c r="W481" s="5" t="n">
        <v>6</v>
      </c>
      <c r="X481" s="5" t="n">
        <v>0</v>
      </c>
      <c r="Y481" s="5" t="n">
        <v>0</v>
      </c>
      <c r="Z481" s="5" t="n">
        <v>0</v>
      </c>
      <c r="AA481" s="5" t="n">
        <v>0</v>
      </c>
      <c r="AB481" s="5" t="n">
        <v>50.814549</v>
      </c>
      <c r="AC481" s="5" t="inlineStr">
        <is>
          <t>Wie stärken Medien, Bildung, Kirchen, Wissenschaft und Zivilgesellschaft Vertrauen und demokratische Orientierung?</t>
        </is>
      </c>
      <c r="AD481" s="5" t="inlineStr">
        <is>
          <t>Demokratie, Medien und gesellschaftlicher Zusammenhalt: Entwicklungsagentur Rheinland-Pfalz e.V. (implementation_anchor, 3) + SWR – Südwestrundfunk (context_actor, 5).</t>
        </is>
      </c>
      <c r="AE481" s="5" t="inlineStr">
        <is>
          <t>Entwicklungsagentur Rheinland-Pfalz e.V. | SWR – Südwestrundfunk</t>
        </is>
      </c>
      <c r="AF481" s="5" t="inlineStr">
        <is>
          <t>demokratie-medien-zusammenhalt-entwicklungsagentur-rheinland-pfalz-e-v-swr-südwestrundfunk</t>
        </is>
      </c>
    </row>
    <row r="482">
      <c r="A482" s="5" t="inlineStr">
        <is>
          <t>C0481</t>
        </is>
      </c>
      <c r="B482" s="5" t="inlineStr">
        <is>
          <t>x_0481</t>
        </is>
      </c>
      <c r="C482" s="5" t="n">
        <v>0</v>
      </c>
      <c r="D482" s="5" t="inlineStr">
        <is>
          <t>Entwicklungsagentur Rheinland-Pfalz e.V.</t>
        </is>
      </c>
      <c r="E482" s="5" t="inlineStr">
        <is>
          <t>Staatskanzlei des Landes Rheinland-Pfalz</t>
        </is>
      </c>
      <c r="F482" s="5" t="n">
        <v>25</v>
      </c>
      <c r="G482" s="5" t="n">
        <v>83</v>
      </c>
      <c r="H482" s="5" t="inlineStr">
        <is>
          <t>implementation_anchor</t>
        </is>
      </c>
      <c r="I482" t="inlineStr">
        <is>
          <t>public_policy_anchor</t>
        </is>
      </c>
      <c r="J482" s="5" t="inlineStr">
        <is>
          <t>context_actor</t>
        </is>
      </c>
      <c r="K482" t="inlineStr">
        <is>
          <t>public_policy_anchor</t>
        </is>
      </c>
      <c r="L482" s="5" t="inlineStr">
        <is>
          <t>gesellschaft</t>
        </is>
      </c>
      <c r="M482" s="5" t="inlineStr">
        <is>
          <t>demokratie_medien_zusammenhalt</t>
        </is>
      </c>
      <c r="N482" s="5" t="inlineStr">
        <is>
          <t>Demokratie, Medien und gesellschaftlicher Zusammenhalt</t>
        </is>
      </c>
      <c r="O482" s="5" t="n">
        <v>3</v>
      </c>
      <c r="P482" s="5" t="n">
        <v>5</v>
      </c>
      <c r="Q482" s="5" t="n">
        <v>12</v>
      </c>
      <c r="R482" s="5" t="n">
        <v>4</v>
      </c>
      <c r="S482" s="5" t="n">
        <v>0</v>
      </c>
      <c r="T482" s="5" t="n">
        <v>0</v>
      </c>
      <c r="U482" s="5" t="n">
        <v>2</v>
      </c>
      <c r="V482" s="5" t="n">
        <v>6</v>
      </c>
      <c r="W482" s="5" t="n">
        <v>6</v>
      </c>
      <c r="X482" s="5" t="n">
        <v>0</v>
      </c>
      <c r="Y482" s="5" t="n">
        <v>0</v>
      </c>
      <c r="Z482" s="5" t="n">
        <v>0</v>
      </c>
      <c r="AA482" s="5" t="n">
        <v>0</v>
      </c>
      <c r="AB482" s="5" t="n">
        <v>41.489906</v>
      </c>
      <c r="AC482" s="5" t="inlineStr">
        <is>
          <t>Wie stärken Medien, Bildung, Kirchen, Wissenschaft und Zivilgesellschaft Vertrauen und demokratische Orientierung?</t>
        </is>
      </c>
      <c r="AD482" s="5" t="inlineStr">
        <is>
          <t>Demokratie, Medien und gesellschaftlicher Zusammenhalt: Entwicklungsagentur Rheinland-Pfalz e.V. (implementation_anchor, 3) + Staatskanzlei des Landes Rheinland-Pfalz (context_actor, 5).</t>
        </is>
      </c>
      <c r="AE482" s="5" t="inlineStr">
        <is>
          <t>Entwicklungsagentur Rheinland-Pfalz e.V. | Staatskanzlei des Landes Rheinland-Pfalz</t>
        </is>
      </c>
      <c r="AF482" s="5" t="inlineStr">
        <is>
          <t>demokratie-medien-zusammenhalt-entwicklungsagentur-rheinland-pfalz-e-v-staatskanzlei-des-landes</t>
        </is>
      </c>
    </row>
    <row r="483">
      <c r="A483" s="5" t="inlineStr">
        <is>
          <t>C0482</t>
        </is>
      </c>
      <c r="B483" s="5" t="inlineStr">
        <is>
          <t>x_0482</t>
        </is>
      </c>
      <c r="C483" s="5" t="n">
        <v>0</v>
      </c>
      <c r="D483" s="5" t="inlineStr">
        <is>
          <t>Entwicklungsagentur Rheinland-Pfalz e.V.</t>
        </is>
      </c>
      <c r="E483" s="5" t="inlineStr">
        <is>
          <t>ZDF – Zweites Deutsches Fernsehen</t>
        </is>
      </c>
      <c r="F483" s="5" t="n">
        <v>25</v>
      </c>
      <c r="G483" s="5" t="n">
        <v>102</v>
      </c>
      <c r="H483" s="5" t="inlineStr">
        <is>
          <t>implementation_anchor</t>
        </is>
      </c>
      <c r="I483" t="inlineStr">
        <is>
          <t>public_policy_anchor</t>
        </is>
      </c>
      <c r="J483" s="5" t="inlineStr">
        <is>
          <t>context_actor</t>
        </is>
      </c>
      <c r="K483" t="inlineStr">
        <is>
          <t>media_publicity_anchor</t>
        </is>
      </c>
      <c r="L483" s="5" t="inlineStr">
        <is>
          <t>gesellschaft</t>
        </is>
      </c>
      <c r="M483" s="5" t="inlineStr">
        <is>
          <t>demokratie_medien_zusammenhalt</t>
        </is>
      </c>
      <c r="N483" s="5" t="inlineStr">
        <is>
          <t>Demokratie, Medien und gesellschaftlicher Zusammenhalt</t>
        </is>
      </c>
      <c r="O483" s="5" t="n">
        <v>3</v>
      </c>
      <c r="P483" s="5" t="n">
        <v>5</v>
      </c>
      <c r="Q483" s="5" t="n">
        <v>12</v>
      </c>
      <c r="R483" s="5" t="n">
        <v>4</v>
      </c>
      <c r="S483" s="5" t="n">
        <v>0</v>
      </c>
      <c r="T483" s="5" t="n">
        <v>0</v>
      </c>
      <c r="U483" s="5" t="n">
        <v>2</v>
      </c>
      <c r="V483" s="5" t="n">
        <v>6</v>
      </c>
      <c r="W483" s="5" t="n">
        <v>6</v>
      </c>
      <c r="X483" s="5" t="n">
        <v>0</v>
      </c>
      <c r="Y483" s="5" t="n">
        <v>0</v>
      </c>
      <c r="Z483" s="5" t="n">
        <v>0</v>
      </c>
      <c r="AA483" s="5" t="n">
        <v>0</v>
      </c>
      <c r="AB483" s="5" t="n">
        <v>50.814549</v>
      </c>
      <c r="AC483" s="5" t="inlineStr">
        <is>
          <t>Wie stärken Medien, Bildung, Kirchen, Wissenschaft und Zivilgesellschaft Vertrauen und demokratische Orientierung?</t>
        </is>
      </c>
      <c r="AD483" s="5" t="inlineStr">
        <is>
          <t>Demokratie, Medien und gesellschaftlicher Zusammenhalt: Entwicklungsagentur Rheinland-Pfalz e.V. (implementation_anchor, 3) + ZDF – Zweites Deutsches Fernsehen (context_actor, 5).</t>
        </is>
      </c>
      <c r="AE483" s="5" t="inlineStr">
        <is>
          <t>Entwicklungsagentur Rheinland-Pfalz e.V. | ZDF – Zweites Deutsches Fernsehen</t>
        </is>
      </c>
      <c r="AF483" s="5" t="inlineStr">
        <is>
          <t>demokratie-medien-zusammenhalt-entwicklungsagentur-rheinland-pfalz-e-v-zdf-zweites-deutsches-fe</t>
        </is>
      </c>
    </row>
    <row r="484">
      <c r="A484" s="5" t="inlineStr">
        <is>
          <t>C0483</t>
        </is>
      </c>
      <c r="B484" s="5" t="inlineStr">
        <is>
          <t>x_0483</t>
        </is>
      </c>
      <c r="C484" s="5" t="n">
        <v>0</v>
      </c>
      <c r="D484" s="5" t="inlineStr">
        <is>
          <t>Erster FC Kaiserslautern GmbH &amp; Co. KGaA</t>
        </is>
      </c>
      <c r="E484" s="5" t="inlineStr">
        <is>
          <t>Evangelische Kirche der Pfalz</t>
        </is>
      </c>
      <c r="F484" s="5" t="n">
        <v>27</v>
      </c>
      <c r="G484" s="5" t="n">
        <v>28</v>
      </c>
      <c r="H484" s="5" t="inlineStr">
        <is>
          <t>profit_anchor</t>
        </is>
      </c>
      <c r="I484" t="inlineStr">
        <is>
          <t>sports_regional_identity_anchor</t>
        </is>
      </c>
      <c r="J484" s="5" t="inlineStr">
        <is>
          <t>context_actor</t>
        </is>
      </c>
      <c r="K484" t="inlineStr">
        <is>
          <t>culture_foundation_anchor</t>
        </is>
      </c>
      <c r="L484" s="5" t="inlineStr">
        <is>
          <t>gesellschaft</t>
        </is>
      </c>
      <c r="M484" s="5" t="inlineStr">
        <is>
          <t>demokratie_medien_zusammenhalt</t>
        </is>
      </c>
      <c r="N484" s="5" t="inlineStr">
        <is>
          <t>Demokratie, Medien und gesellschaftlicher Zusammenhalt</t>
        </is>
      </c>
      <c r="O484" s="5" t="n">
        <v>3</v>
      </c>
      <c r="P484" s="5" t="n">
        <v>5</v>
      </c>
      <c r="Q484" s="5" t="n">
        <v>12</v>
      </c>
      <c r="R484" s="5" t="n">
        <v>4</v>
      </c>
      <c r="S484" s="5" t="n">
        <v>0</v>
      </c>
      <c r="T484" s="5" t="n">
        <v>0</v>
      </c>
      <c r="U484" s="5" t="n">
        <v>2</v>
      </c>
      <c r="V484" s="5" t="n">
        <v>6</v>
      </c>
      <c r="W484" s="5" t="n">
        <v>6</v>
      </c>
      <c r="X484" s="5" t="n">
        <v>0</v>
      </c>
      <c r="Y484" s="5" t="n">
        <v>0</v>
      </c>
      <c r="Z484" s="5" t="n">
        <v>0</v>
      </c>
      <c r="AA484" s="5" t="n">
        <v>0</v>
      </c>
      <c r="AB484" s="5" t="n">
        <v>42.775372</v>
      </c>
      <c r="AC484" s="5" t="inlineStr">
        <is>
          <t>Wie stärken Medien, Bildung, Kirchen, Wissenschaft und Zivilgesellschaft Vertrauen und demokratische Orientierung?</t>
        </is>
      </c>
      <c r="AD484" s="5" t="inlineStr">
        <is>
          <t>Demokratie, Medien und gesellschaftlicher Zusammenhalt: Erster FC Kaiserslautern GmbH &amp; Co. KGaA (profit_anchor, 3) + Evangelische Kirche der Pfalz (context_actor, 5).</t>
        </is>
      </c>
      <c r="AE484" s="5" t="inlineStr">
        <is>
          <t>Erster FC Kaiserslautern GmbH &amp; Co. KGaA | Evangelische Kirche der Pfalz</t>
        </is>
      </c>
      <c r="AF484" s="5" t="inlineStr">
        <is>
          <t>demokratie-medien-zusammenhalt-erster-fc-kaiserslautern-gmbh-co-kgaa-evangelische-kirche-der-pf</t>
        </is>
      </c>
    </row>
    <row r="485">
      <c r="A485" s="5" t="inlineStr">
        <is>
          <t>C0484</t>
        </is>
      </c>
      <c r="B485" s="5" t="inlineStr">
        <is>
          <t>x_0484</t>
        </is>
      </c>
      <c r="C485" s="5" t="n">
        <v>0</v>
      </c>
      <c r="D485" s="5" t="inlineStr">
        <is>
          <t>Erster FC Kaiserslautern GmbH &amp; Co. KGaA</t>
        </is>
      </c>
      <c r="E485" s="5" t="inlineStr">
        <is>
          <t>RPR1.</t>
        </is>
      </c>
      <c r="F485" s="5" t="n">
        <v>27</v>
      </c>
      <c r="G485" s="5" t="n">
        <v>76</v>
      </c>
      <c r="H485" s="5" t="inlineStr">
        <is>
          <t>profit_anchor</t>
        </is>
      </c>
      <c r="I485" t="inlineStr">
        <is>
          <t>sports_regional_identity_anchor</t>
        </is>
      </c>
      <c r="J485" s="5" t="inlineStr">
        <is>
          <t>context_actor</t>
        </is>
      </c>
      <c r="K485" t="inlineStr">
        <is>
          <t>media_publicity_anchor</t>
        </is>
      </c>
      <c r="L485" s="5" t="inlineStr">
        <is>
          <t>gesellschaft</t>
        </is>
      </c>
      <c r="M485" s="5" t="inlineStr">
        <is>
          <t>demokratie_medien_zusammenhalt</t>
        </is>
      </c>
      <c r="N485" s="5" t="inlineStr">
        <is>
          <t>Demokratie, Medien und gesellschaftlicher Zusammenhalt</t>
        </is>
      </c>
      <c r="O485" s="5" t="n">
        <v>3</v>
      </c>
      <c r="P485" s="5" t="n">
        <v>5</v>
      </c>
      <c r="Q485" s="5" t="n">
        <v>12</v>
      </c>
      <c r="R485" s="5" t="n">
        <v>4</v>
      </c>
      <c r="S485" s="5" t="n">
        <v>0</v>
      </c>
      <c r="T485" s="5" t="n">
        <v>0</v>
      </c>
      <c r="U485" s="5" t="n">
        <v>2</v>
      </c>
      <c r="V485" s="5" t="n">
        <v>6</v>
      </c>
      <c r="W485" s="5" t="n">
        <v>6</v>
      </c>
      <c r="X485" s="5" t="n">
        <v>0</v>
      </c>
      <c r="Y485" s="5" t="n">
        <v>0</v>
      </c>
      <c r="Z485" s="5" t="n">
        <v>0</v>
      </c>
      <c r="AA485" s="5" t="n">
        <v>0</v>
      </c>
      <c r="AB485" s="5" t="n">
        <v>42.775372</v>
      </c>
      <c r="AC485" s="5" t="inlineStr">
        <is>
          <t>Wie stärken Medien, Bildung, Kirchen, Wissenschaft und Zivilgesellschaft Vertrauen und demokratische Orientierung?</t>
        </is>
      </c>
      <c r="AD485" s="5" t="inlineStr">
        <is>
          <t>Demokratie, Medien und gesellschaftlicher Zusammenhalt: Erster FC Kaiserslautern GmbH &amp; Co. KGaA (profit_anchor, 3) + RPR1. (context_actor, 5).</t>
        </is>
      </c>
      <c r="AE485" s="5" t="inlineStr">
        <is>
          <t>Erster FC Kaiserslautern GmbH &amp; Co. KGaA | RPR1.</t>
        </is>
      </c>
      <c r="AF485" s="5" t="inlineStr">
        <is>
          <t>demokratie-medien-zusammenhalt-erster-fc-kaiserslautern-gmbh-co-kgaa-rpr1</t>
        </is>
      </c>
    </row>
    <row r="486">
      <c r="A486" s="5" t="inlineStr">
        <is>
          <t>C0485</t>
        </is>
      </c>
      <c r="B486" s="5" t="inlineStr">
        <is>
          <t>x_0485</t>
        </is>
      </c>
      <c r="C486" s="5" t="n">
        <v>0</v>
      </c>
      <c r="D486" s="5" t="inlineStr">
        <is>
          <t>Erster FC Kaiserslautern GmbH &amp; Co. KGaA</t>
        </is>
      </c>
      <c r="E486" s="5" t="inlineStr">
        <is>
          <t>SWR – Südwestrundfunk</t>
        </is>
      </c>
      <c r="F486" s="5" t="n">
        <v>27</v>
      </c>
      <c r="G486" s="5" t="n">
        <v>86</v>
      </c>
      <c r="H486" s="5" t="inlineStr">
        <is>
          <t>profit_anchor</t>
        </is>
      </c>
      <c r="I486" t="inlineStr">
        <is>
          <t>sports_regional_identity_anchor</t>
        </is>
      </c>
      <c r="J486" s="5" t="inlineStr">
        <is>
          <t>context_actor</t>
        </is>
      </c>
      <c r="K486" t="inlineStr">
        <is>
          <t>media_publicity_anchor</t>
        </is>
      </c>
      <c r="L486" s="5" t="inlineStr">
        <is>
          <t>gesellschaft</t>
        </is>
      </c>
      <c r="M486" s="5" t="inlineStr">
        <is>
          <t>demokratie_medien_zusammenhalt</t>
        </is>
      </c>
      <c r="N486" s="5" t="inlineStr">
        <is>
          <t>Demokratie, Medien und gesellschaftlicher Zusammenhalt</t>
        </is>
      </c>
      <c r="O486" s="5" t="n">
        <v>3</v>
      </c>
      <c r="P486" s="5" t="n">
        <v>5</v>
      </c>
      <c r="Q486" s="5" t="n">
        <v>12</v>
      </c>
      <c r="R486" s="5" t="n">
        <v>4</v>
      </c>
      <c r="S486" s="5" t="n">
        <v>0</v>
      </c>
      <c r="T486" s="5" t="n">
        <v>0</v>
      </c>
      <c r="U486" s="5" t="n">
        <v>2</v>
      </c>
      <c r="V486" s="5" t="n">
        <v>6</v>
      </c>
      <c r="W486" s="5" t="n">
        <v>6</v>
      </c>
      <c r="X486" s="5" t="n">
        <v>0</v>
      </c>
      <c r="Y486" s="5" t="n">
        <v>0</v>
      </c>
      <c r="Z486" s="5" t="n">
        <v>0</v>
      </c>
      <c r="AA486" s="5" t="n">
        <v>0</v>
      </c>
      <c r="AB486" s="5" t="n">
        <v>42.775372</v>
      </c>
      <c r="AC486" s="5" t="inlineStr">
        <is>
          <t>Wie stärken Medien, Bildung, Kirchen, Wissenschaft und Zivilgesellschaft Vertrauen und demokratische Orientierung?</t>
        </is>
      </c>
      <c r="AD486" s="5" t="inlineStr">
        <is>
          <t>Demokratie, Medien und gesellschaftlicher Zusammenhalt: Erster FC Kaiserslautern GmbH &amp; Co. KGaA (profit_anchor, 3) + SWR – Südwestrundfunk (context_actor, 5).</t>
        </is>
      </c>
      <c r="AE486" s="5" t="inlineStr">
        <is>
          <t>Erster FC Kaiserslautern GmbH &amp; Co. KGaA | SWR – Südwestrundfunk</t>
        </is>
      </c>
      <c r="AF486" s="5" t="inlineStr">
        <is>
          <t>demokratie-medien-zusammenhalt-erster-fc-kaiserslautern-gmbh-co-kgaa-swr-südwestrundfunk</t>
        </is>
      </c>
    </row>
    <row r="487">
      <c r="A487" s="5" t="inlineStr">
        <is>
          <t>C0486</t>
        </is>
      </c>
      <c r="B487" s="5" t="inlineStr">
        <is>
          <t>x_0486</t>
        </is>
      </c>
      <c r="C487" s="5" t="n">
        <v>0</v>
      </c>
      <c r="D487" s="5" t="inlineStr">
        <is>
          <t>Erster FC Kaiserslautern GmbH &amp; Co. KGaA</t>
        </is>
      </c>
      <c r="E487" s="5" t="inlineStr">
        <is>
          <t>Staatskanzlei des Landes Rheinland-Pfalz</t>
        </is>
      </c>
      <c r="F487" s="5" t="n">
        <v>27</v>
      </c>
      <c r="G487" s="5" t="n">
        <v>83</v>
      </c>
      <c r="H487" s="5" t="inlineStr">
        <is>
          <t>profit_anchor</t>
        </is>
      </c>
      <c r="I487" t="inlineStr">
        <is>
          <t>sports_regional_identity_anchor</t>
        </is>
      </c>
      <c r="J487" s="5" t="inlineStr">
        <is>
          <t>context_actor</t>
        </is>
      </c>
      <c r="K487" t="inlineStr">
        <is>
          <t>public_policy_anchor</t>
        </is>
      </c>
      <c r="L487" s="5" t="inlineStr">
        <is>
          <t>gesellschaft</t>
        </is>
      </c>
      <c r="M487" s="5" t="inlineStr">
        <is>
          <t>demokratie_medien_zusammenhalt</t>
        </is>
      </c>
      <c r="N487" s="5" t="inlineStr">
        <is>
          <t>Demokratie, Medien und gesellschaftlicher Zusammenhalt</t>
        </is>
      </c>
      <c r="O487" s="5" t="n">
        <v>3</v>
      </c>
      <c r="P487" s="5" t="n">
        <v>5</v>
      </c>
      <c r="Q487" s="5" t="n">
        <v>12</v>
      </c>
      <c r="R487" s="5" t="n">
        <v>4</v>
      </c>
      <c r="S487" s="5" t="n">
        <v>0</v>
      </c>
      <c r="T487" s="5" t="n">
        <v>0</v>
      </c>
      <c r="U487" s="5" t="n">
        <v>2</v>
      </c>
      <c r="V487" s="5" t="n">
        <v>6</v>
      </c>
      <c r="W487" s="5" t="n">
        <v>6</v>
      </c>
      <c r="X487" s="5" t="n">
        <v>0</v>
      </c>
      <c r="Y487" s="5" t="n">
        <v>0</v>
      </c>
      <c r="Z487" s="5" t="n">
        <v>0</v>
      </c>
      <c r="AA487" s="5" t="n">
        <v>0</v>
      </c>
      <c r="AB487" s="5" t="n">
        <v>38.259455</v>
      </c>
      <c r="AC487" s="5" t="inlineStr">
        <is>
          <t>Wie stärken Medien, Bildung, Kirchen, Wissenschaft und Zivilgesellschaft Vertrauen und demokratische Orientierung?</t>
        </is>
      </c>
      <c r="AD487" s="5" t="inlineStr">
        <is>
          <t>Demokratie, Medien und gesellschaftlicher Zusammenhalt: Erster FC Kaiserslautern GmbH &amp; Co. KGaA (profit_anchor, 3) + Staatskanzlei des Landes Rheinland-Pfalz (context_actor, 5).</t>
        </is>
      </c>
      <c r="AE487" s="5" t="inlineStr">
        <is>
          <t>Erster FC Kaiserslautern GmbH &amp; Co. KGaA | Staatskanzlei des Landes Rheinland-Pfalz</t>
        </is>
      </c>
      <c r="AF487" s="5" t="inlineStr">
        <is>
          <t>demokratie-medien-zusammenhalt-erster-fc-kaiserslautern-gmbh-co-kgaa-staatskanzlei-des-landes-r</t>
        </is>
      </c>
    </row>
    <row r="488">
      <c r="A488" s="5" t="inlineStr">
        <is>
          <t>C0487</t>
        </is>
      </c>
      <c r="B488" s="5" t="inlineStr">
        <is>
          <t>x_0487</t>
        </is>
      </c>
      <c r="C488" s="5" t="n">
        <v>0</v>
      </c>
      <c r="D488" s="5" t="inlineStr">
        <is>
          <t>Erster FC Kaiserslautern GmbH &amp; Co. KGaA</t>
        </is>
      </c>
      <c r="E488" s="5" t="inlineStr">
        <is>
          <t>ZDF – Zweites Deutsches Fernsehen</t>
        </is>
      </c>
      <c r="F488" s="5" t="n">
        <v>27</v>
      </c>
      <c r="G488" s="5" t="n">
        <v>102</v>
      </c>
      <c r="H488" s="5" t="inlineStr">
        <is>
          <t>profit_anchor</t>
        </is>
      </c>
      <c r="I488" t="inlineStr">
        <is>
          <t>sports_regional_identity_anchor</t>
        </is>
      </c>
      <c r="J488" s="5" t="inlineStr">
        <is>
          <t>context_actor</t>
        </is>
      </c>
      <c r="K488" t="inlineStr">
        <is>
          <t>media_publicity_anchor</t>
        </is>
      </c>
      <c r="L488" s="5" t="inlineStr">
        <is>
          <t>gesellschaft</t>
        </is>
      </c>
      <c r="M488" s="5" t="inlineStr">
        <is>
          <t>demokratie_medien_zusammenhalt</t>
        </is>
      </c>
      <c r="N488" s="5" t="inlineStr">
        <is>
          <t>Demokratie, Medien und gesellschaftlicher Zusammenhalt</t>
        </is>
      </c>
      <c r="O488" s="5" t="n">
        <v>3</v>
      </c>
      <c r="P488" s="5" t="n">
        <v>5</v>
      </c>
      <c r="Q488" s="5" t="n">
        <v>12</v>
      </c>
      <c r="R488" s="5" t="n">
        <v>4</v>
      </c>
      <c r="S488" s="5" t="n">
        <v>0</v>
      </c>
      <c r="T488" s="5" t="n">
        <v>0</v>
      </c>
      <c r="U488" s="5" t="n">
        <v>2</v>
      </c>
      <c r="V488" s="5" t="n">
        <v>6</v>
      </c>
      <c r="W488" s="5" t="n">
        <v>6</v>
      </c>
      <c r="X488" s="5" t="n">
        <v>0</v>
      </c>
      <c r="Y488" s="5" t="n">
        <v>0</v>
      </c>
      <c r="Z488" s="5" t="n">
        <v>0</v>
      </c>
      <c r="AA488" s="5" t="n">
        <v>0</v>
      </c>
      <c r="AB488" s="5" t="n">
        <v>42.775372</v>
      </c>
      <c r="AC488" s="5" t="inlineStr">
        <is>
          <t>Wie stärken Medien, Bildung, Kirchen, Wissenschaft und Zivilgesellschaft Vertrauen und demokratische Orientierung?</t>
        </is>
      </c>
      <c r="AD488" s="5" t="inlineStr">
        <is>
          <t>Demokratie, Medien und gesellschaftlicher Zusammenhalt: Erster FC Kaiserslautern GmbH &amp; Co. KGaA (profit_anchor, 3) + ZDF – Zweites Deutsches Fernsehen (context_actor, 5).</t>
        </is>
      </c>
      <c r="AE488" s="5" t="inlineStr">
        <is>
          <t>Erster FC Kaiserslautern GmbH &amp; Co. KGaA | ZDF – Zweites Deutsches Fernsehen</t>
        </is>
      </c>
      <c r="AF488" s="5" t="inlineStr">
        <is>
          <t>demokratie-medien-zusammenhalt-erster-fc-kaiserslautern-gmbh-co-kgaa-zdf-zweites-deutsches-fern</t>
        </is>
      </c>
    </row>
    <row r="489">
      <c r="A489" s="5" t="inlineStr">
        <is>
          <t>C0488</t>
        </is>
      </c>
      <c r="B489" s="5" t="inlineStr">
        <is>
          <t>x_0488</t>
        </is>
      </c>
      <c r="C489" s="5" t="n">
        <v>0</v>
      </c>
      <c r="D489" s="5" t="inlineStr">
        <is>
          <t>ENTEGA Plus GmbH</t>
        </is>
      </c>
      <c r="E489" s="5" t="inlineStr">
        <is>
          <t>Investitions- und Strukturbank Rheinland-Pfalz (ISB)</t>
        </is>
      </c>
      <c r="F489" s="5" t="n">
        <v>24</v>
      </c>
      <c r="G489" s="5" t="n">
        <v>45</v>
      </c>
      <c r="H489" s="5" t="inlineStr">
        <is>
          <t>profit_anchor</t>
        </is>
      </c>
      <c r="I489" t="inlineStr">
        <is>
          <t>energy_infrastructure_anchor</t>
        </is>
      </c>
      <c r="J489" s="5" t="inlineStr">
        <is>
          <t>context_actor</t>
        </is>
      </c>
      <c r="K489" t="inlineStr">
        <is>
          <t>bank_finance_anchor</t>
        </is>
      </c>
      <c r="L489" s="5" t="inlineStr">
        <is>
          <t>nachhaltigkeit</t>
        </is>
      </c>
      <c r="M489" s="5" t="inlineStr">
        <is>
          <t>energie_versorgungssicherheit</t>
        </is>
      </c>
      <c r="N489" s="5" t="inlineStr">
        <is>
          <t>Energie, Netze und Versorgungssicherheit</t>
        </is>
      </c>
      <c r="O489" s="5" t="n">
        <v>5</v>
      </c>
      <c r="P489" s="5" t="n">
        <v>3</v>
      </c>
      <c r="Q489" s="5" t="n">
        <v>12</v>
      </c>
      <c r="R489" s="5" t="n">
        <v>4</v>
      </c>
      <c r="S489" s="5" t="n">
        <v>0</v>
      </c>
      <c r="T489" s="5" t="n">
        <v>0</v>
      </c>
      <c r="U489" s="5" t="n">
        <v>2</v>
      </c>
      <c r="V489" s="5" t="n">
        <v>6</v>
      </c>
      <c r="W489" s="5" t="n">
        <v>6</v>
      </c>
      <c r="X489" s="5" t="n">
        <v>0</v>
      </c>
      <c r="Y489" s="5" t="n">
        <v>0</v>
      </c>
      <c r="Z489" s="5" t="n">
        <v>0</v>
      </c>
      <c r="AA489" s="5" t="n">
        <v>0</v>
      </c>
      <c r="AB489" s="5" t="n">
        <v>23.614249</v>
      </c>
      <c r="AC489" s="5" t="inlineStr">
        <is>
          <t>Wie bleiben Unternehmen, Kommunen und Infrastrukturträger in Rheinland-Pfalz investitions- und versorgungssicher?</t>
        </is>
      </c>
      <c r="AD489" s="5" t="inlineStr">
        <is>
          <t>Energie, Netze und Versorgungssicherheit: ENTEGA Plus GmbH (profit_anchor, 5) + Investitions- und Strukturbank Rheinland-Pfalz (ISB) (context_actor, 3).</t>
        </is>
      </c>
      <c r="AE489" s="5" t="inlineStr">
        <is>
          <t>ENTEGA Plus GmbH | Investitions- und Strukturbank Rheinland-Pfalz (ISB)</t>
        </is>
      </c>
      <c r="AF489" s="5" t="inlineStr">
        <is>
          <t>energie-versorgungssicherheit-entega-plus-gmbh-investitions-und-strukturbank-rheinland-pfalz-is</t>
        </is>
      </c>
    </row>
    <row r="490">
      <c r="A490" s="5" t="inlineStr">
        <is>
          <t>C0489</t>
        </is>
      </c>
      <c r="B490" s="5" t="inlineStr">
        <is>
          <t>x_0489</t>
        </is>
      </c>
      <c r="C490" s="5" t="n">
        <v>0</v>
      </c>
      <c r="D490" s="5" t="inlineStr">
        <is>
          <t>Investitions- und Strukturbank Rheinland-Pfalz (ISB)</t>
        </is>
      </c>
      <c r="E490" s="5" t="inlineStr">
        <is>
          <t>JUWI GmbH</t>
        </is>
      </c>
      <c r="F490" s="5" t="n">
        <v>45</v>
      </c>
      <c r="G490" s="5" t="n">
        <v>51</v>
      </c>
      <c r="H490" s="5" t="inlineStr">
        <is>
          <t>context_actor</t>
        </is>
      </c>
      <c r="I490" t="inlineStr">
        <is>
          <t>bank_finance_anchor</t>
        </is>
      </c>
      <c r="J490" s="5" t="inlineStr">
        <is>
          <t>profit_anchor</t>
        </is>
      </c>
      <c r="K490" t="inlineStr">
        <is>
          <t>energy_infrastructure_anchor</t>
        </is>
      </c>
      <c r="L490" s="5" t="inlineStr">
        <is>
          <t>nachhaltigkeit</t>
        </is>
      </c>
      <c r="M490" s="5" t="inlineStr">
        <is>
          <t>energie_versorgungssicherheit</t>
        </is>
      </c>
      <c r="N490" s="5" t="inlineStr">
        <is>
          <t>Energie, Netze und Versorgungssicherheit</t>
        </is>
      </c>
      <c r="O490" s="5" t="n">
        <v>3</v>
      </c>
      <c r="P490" s="5" t="n">
        <v>5</v>
      </c>
      <c r="Q490" s="5" t="n">
        <v>12</v>
      </c>
      <c r="R490" s="5" t="n">
        <v>4</v>
      </c>
      <c r="S490" s="5" t="n">
        <v>0</v>
      </c>
      <c r="T490" s="5" t="n">
        <v>0</v>
      </c>
      <c r="U490" s="5" t="n">
        <v>2</v>
      </c>
      <c r="V490" s="5" t="n">
        <v>6</v>
      </c>
      <c r="W490" s="5" t="n">
        <v>6</v>
      </c>
      <c r="X490" s="5" t="n">
        <v>0</v>
      </c>
      <c r="Y490" s="5" t="n">
        <v>0</v>
      </c>
      <c r="Z490" s="5" t="n">
        <v>0</v>
      </c>
      <c r="AA490" s="5" t="n">
        <v>0</v>
      </c>
      <c r="AB490" s="5" t="n">
        <v>23.614249</v>
      </c>
      <c r="AC490" s="5" t="inlineStr">
        <is>
          <t>Wie bleiben Unternehmen, Kommunen und Infrastrukturträger in Rheinland-Pfalz investitions- und versorgungssicher?</t>
        </is>
      </c>
      <c r="AD490" s="5" t="inlineStr">
        <is>
          <t>Energie, Netze und Versorgungssicherheit: Investitions- und Strukturbank Rheinland-Pfalz (ISB) (context_actor, 3) + JUWI GmbH (profit_anchor, 5).</t>
        </is>
      </c>
      <c r="AE490" s="5" t="inlineStr">
        <is>
          <t>Investitions- und Strukturbank Rheinland-Pfalz (ISB) | JUWI GmbH</t>
        </is>
      </c>
      <c r="AF490" s="5" t="inlineStr">
        <is>
          <t>energie-versorgungssicherheit-investitions-und-strukturbank-rheinland-pfalz-isb-juwi-gmbh</t>
        </is>
      </c>
    </row>
    <row r="491">
      <c r="A491" s="5" t="inlineStr">
        <is>
          <t>C0490</t>
        </is>
      </c>
      <c r="B491" s="5" t="inlineStr">
        <is>
          <t>x_0490</t>
        </is>
      </c>
      <c r="C491" s="5" t="n">
        <v>0</v>
      </c>
      <c r="D491" s="5" t="inlineStr">
        <is>
          <t>Investitions- und Strukturbank Rheinland-Pfalz (ISB)</t>
        </is>
      </c>
      <c r="E491" s="5" t="inlineStr">
        <is>
          <t>Mainzer Stadtwerke AG</t>
        </is>
      </c>
      <c r="F491" s="5" t="n">
        <v>45</v>
      </c>
      <c r="G491" s="5" t="n">
        <v>68</v>
      </c>
      <c r="H491" s="5" t="inlineStr">
        <is>
          <t>context_actor</t>
        </is>
      </c>
      <c r="I491" t="inlineStr">
        <is>
          <t>bank_finance_anchor</t>
        </is>
      </c>
      <c r="J491" s="5" t="inlineStr">
        <is>
          <t>profit_anchor</t>
        </is>
      </c>
      <c r="K491" t="inlineStr">
        <is>
          <t>energy_infrastructure_anchor</t>
        </is>
      </c>
      <c r="L491" s="5" t="inlineStr">
        <is>
          <t>nachhaltigkeit</t>
        </is>
      </c>
      <c r="M491" s="5" t="inlineStr">
        <is>
          <t>energie_versorgungssicherheit</t>
        </is>
      </c>
      <c r="N491" s="5" t="inlineStr">
        <is>
          <t>Energie, Netze und Versorgungssicherheit</t>
        </is>
      </c>
      <c r="O491" s="5" t="n">
        <v>3</v>
      </c>
      <c r="P491" s="5" t="n">
        <v>5</v>
      </c>
      <c r="Q491" s="5" t="n">
        <v>12</v>
      </c>
      <c r="R491" s="5" t="n">
        <v>4</v>
      </c>
      <c r="S491" s="5" t="n">
        <v>0</v>
      </c>
      <c r="T491" s="5" t="n">
        <v>0</v>
      </c>
      <c r="U491" s="5" t="n">
        <v>2</v>
      </c>
      <c r="V491" s="5" t="n">
        <v>6</v>
      </c>
      <c r="W491" s="5" t="n">
        <v>6</v>
      </c>
      <c r="X491" s="5" t="n">
        <v>0</v>
      </c>
      <c r="Y491" s="5" t="n">
        <v>0</v>
      </c>
      <c r="Z491" s="5" t="n">
        <v>0</v>
      </c>
      <c r="AA491" s="5" t="n">
        <v>0</v>
      </c>
      <c r="AB491" s="5" t="n">
        <v>23.614249</v>
      </c>
      <c r="AC491" s="5" t="inlineStr">
        <is>
          <t>Wie bleiben Unternehmen, Kommunen und Infrastrukturträger in Rheinland-Pfalz investitions- und versorgungssicher?</t>
        </is>
      </c>
      <c r="AD491" s="5" t="inlineStr">
        <is>
          <t>Energie, Netze und Versorgungssicherheit: Investitions- und Strukturbank Rheinland-Pfalz (ISB) (context_actor, 3) + Mainzer Stadtwerke AG (profit_anchor, 5).</t>
        </is>
      </c>
      <c r="AE491" s="5" t="inlineStr">
        <is>
          <t>Investitions- und Strukturbank Rheinland-Pfalz (ISB) | Mainzer Stadtwerke AG</t>
        </is>
      </c>
      <c r="AF491" s="5" t="inlineStr">
        <is>
          <t>energie-versorgungssicherheit-investitions-und-strukturbank-rheinland-pfalz-isb-mainzer-stadtwe</t>
        </is>
      </c>
    </row>
    <row r="492">
      <c r="A492" s="5" t="inlineStr">
        <is>
          <t>C0491</t>
        </is>
      </c>
      <c r="B492" s="5" t="inlineStr">
        <is>
          <t>x_0491</t>
        </is>
      </c>
      <c r="C492" s="5" t="n">
        <v>0</v>
      </c>
      <c r="D492" s="5" t="inlineStr">
        <is>
          <t>Investitions- und Strukturbank Rheinland-Pfalz (ISB)</t>
        </is>
      </c>
      <c r="E492" s="5" t="inlineStr">
        <is>
          <t>Pfalzwerke AG</t>
        </is>
      </c>
      <c r="F492" s="5" t="n">
        <v>45</v>
      </c>
      <c r="G492" s="5" t="n">
        <v>72</v>
      </c>
      <c r="H492" s="5" t="inlineStr">
        <is>
          <t>context_actor</t>
        </is>
      </c>
      <c r="I492" t="inlineStr">
        <is>
          <t>bank_finance_anchor</t>
        </is>
      </c>
      <c r="J492" s="5" t="inlineStr">
        <is>
          <t>profit_anchor</t>
        </is>
      </c>
      <c r="K492" t="inlineStr">
        <is>
          <t>energy_infrastructure_anchor</t>
        </is>
      </c>
      <c r="L492" s="5" t="inlineStr">
        <is>
          <t>nachhaltigkeit</t>
        </is>
      </c>
      <c r="M492" s="5" t="inlineStr">
        <is>
          <t>energie_versorgungssicherheit</t>
        </is>
      </c>
      <c r="N492" s="5" t="inlineStr">
        <is>
          <t>Energie, Netze und Versorgungssicherheit</t>
        </is>
      </c>
      <c r="O492" s="5" t="n">
        <v>3</v>
      </c>
      <c r="P492" s="5" t="n">
        <v>5</v>
      </c>
      <c r="Q492" s="5" t="n">
        <v>12</v>
      </c>
      <c r="R492" s="5" t="n">
        <v>4</v>
      </c>
      <c r="S492" s="5" t="n">
        <v>0</v>
      </c>
      <c r="T492" s="5" t="n">
        <v>0</v>
      </c>
      <c r="U492" s="5" t="n">
        <v>2</v>
      </c>
      <c r="V492" s="5" t="n">
        <v>6</v>
      </c>
      <c r="W492" s="5" t="n">
        <v>6</v>
      </c>
      <c r="X492" s="5" t="n">
        <v>0</v>
      </c>
      <c r="Y492" s="5" t="n">
        <v>0</v>
      </c>
      <c r="Z492" s="5" t="n">
        <v>0</v>
      </c>
      <c r="AA492" s="5" t="n">
        <v>0</v>
      </c>
      <c r="AB492" s="5" t="n">
        <v>23.614249</v>
      </c>
      <c r="AC492" s="5" t="inlineStr">
        <is>
          <t>Wie bleiben Unternehmen, Kommunen und Infrastrukturträger in Rheinland-Pfalz investitions- und versorgungssicher?</t>
        </is>
      </c>
      <c r="AD492" s="5" t="inlineStr">
        <is>
          <t>Energie, Netze und Versorgungssicherheit: Investitions- und Strukturbank Rheinland-Pfalz (ISB) (context_actor, 3) + Pfalzwerke AG (profit_anchor, 5).</t>
        </is>
      </c>
      <c r="AE492" s="5" t="inlineStr">
        <is>
          <t>Investitions- und Strukturbank Rheinland-Pfalz (ISB) | Pfalzwerke AG</t>
        </is>
      </c>
      <c r="AF492" s="5" t="inlineStr">
        <is>
          <t>energie-versorgungssicherheit-investitions-und-strukturbank-rheinland-pfalz-isb-pfalzwerke-ag</t>
        </is>
      </c>
    </row>
    <row r="493">
      <c r="A493" s="5" t="inlineStr">
        <is>
          <t>C0492</t>
        </is>
      </c>
      <c r="B493" s="5" t="inlineStr">
        <is>
          <t>x_0492</t>
        </is>
      </c>
      <c r="C493" s="5" t="n">
        <v>0</v>
      </c>
      <c r="D493" s="5" t="inlineStr">
        <is>
          <t>Investitions- und Strukturbank Rheinland-Pfalz (ISB)</t>
        </is>
      </c>
      <c r="E493" s="5" t="inlineStr">
        <is>
          <t>Westenergie AG</t>
        </is>
      </c>
      <c r="F493" s="5" t="n">
        <v>45</v>
      </c>
      <c r="G493" s="5" t="n">
        <v>98</v>
      </c>
      <c r="H493" s="5" t="inlineStr">
        <is>
          <t>context_actor</t>
        </is>
      </c>
      <c r="I493" t="inlineStr">
        <is>
          <t>bank_finance_anchor</t>
        </is>
      </c>
      <c r="J493" s="5" t="inlineStr">
        <is>
          <t>profit_anchor</t>
        </is>
      </c>
      <c r="K493" t="inlineStr">
        <is>
          <t>energy_infrastructure_anchor</t>
        </is>
      </c>
      <c r="L493" s="5" t="inlineStr">
        <is>
          <t>nachhaltigkeit</t>
        </is>
      </c>
      <c r="M493" s="5" t="inlineStr">
        <is>
          <t>energie_versorgungssicherheit</t>
        </is>
      </c>
      <c r="N493" s="5" t="inlineStr">
        <is>
          <t>Energie, Netze und Versorgungssicherheit</t>
        </is>
      </c>
      <c r="O493" s="5" t="n">
        <v>3</v>
      </c>
      <c r="P493" s="5" t="n">
        <v>5</v>
      </c>
      <c r="Q493" s="5" t="n">
        <v>12</v>
      </c>
      <c r="R493" s="5" t="n">
        <v>4</v>
      </c>
      <c r="S493" s="5" t="n">
        <v>0</v>
      </c>
      <c r="T493" s="5" t="n">
        <v>0</v>
      </c>
      <c r="U493" s="5" t="n">
        <v>2</v>
      </c>
      <c r="V493" s="5" t="n">
        <v>6</v>
      </c>
      <c r="W493" s="5" t="n">
        <v>6</v>
      </c>
      <c r="X493" s="5" t="n">
        <v>0</v>
      </c>
      <c r="Y493" s="5" t="n">
        <v>0</v>
      </c>
      <c r="Z493" s="5" t="n">
        <v>0</v>
      </c>
      <c r="AA493" s="5" t="n">
        <v>0</v>
      </c>
      <c r="AB493" s="5" t="n">
        <v>23.614249</v>
      </c>
      <c r="AC493" s="5" t="inlineStr">
        <is>
          <t>Wie bleiben Unternehmen, Kommunen und Infrastrukturträger in Rheinland-Pfalz investitions- und versorgungssicher?</t>
        </is>
      </c>
      <c r="AD493" s="5" t="inlineStr">
        <is>
          <t>Energie, Netze und Versorgungssicherheit: Investitions- und Strukturbank Rheinland-Pfalz (ISB) (context_actor, 3) + Westenergie AG (profit_anchor, 5).</t>
        </is>
      </c>
      <c r="AE493" s="5" t="inlineStr">
        <is>
          <t>Investitions- und Strukturbank Rheinland-Pfalz (ISB) | Westenergie AG</t>
        </is>
      </c>
      <c r="AF493" s="5" t="inlineStr">
        <is>
          <t>energie-versorgungssicherheit-investitions-und-strukturbank-rheinland-pfalz-isb-westenergie-ag</t>
        </is>
      </c>
    </row>
    <row r="494">
      <c r="A494" s="5" t="inlineStr">
        <is>
          <t>C0493</t>
        </is>
      </c>
      <c r="B494" s="5" t="inlineStr">
        <is>
          <t>x_0493</t>
        </is>
      </c>
      <c r="C494" s="5" t="n">
        <v>0</v>
      </c>
      <c r="D494" s="5" t="inlineStr">
        <is>
          <t>Boehringer Ingelheim Pharma GmbH &amp; Co. KG</t>
        </is>
      </c>
      <c r="E494" s="5" t="inlineStr">
        <is>
          <t>Investitions- und Strukturbank Rheinland-Pfalz (ISB)</t>
        </is>
      </c>
      <c r="F494" s="5" t="n">
        <v>11</v>
      </c>
      <c r="G494" s="5" t="n">
        <v>45</v>
      </c>
      <c r="H494" s="5" t="inlineStr">
        <is>
          <t>profit_anchor</t>
        </is>
      </c>
      <c r="I494" t="inlineStr">
        <is>
          <t>health_social_anchor</t>
        </is>
      </c>
      <c r="J494" s="5" t="inlineStr">
        <is>
          <t>context_actor</t>
        </is>
      </c>
      <c r="K494" t="inlineStr">
        <is>
          <t>bank_finance_anchor</t>
        </is>
      </c>
      <c r="L494" s="5" t="inlineStr">
        <is>
          <t>wirtschaft</t>
        </is>
      </c>
      <c r="M494" s="5" t="inlineStr">
        <is>
          <t>finanzierung_foerderung_transformation</t>
        </is>
      </c>
      <c r="N494" s="5" t="inlineStr">
        <is>
          <t>Finanzierung und Förderung von Transformation</t>
        </is>
      </c>
      <c r="O494" s="5" t="n">
        <v>3</v>
      </c>
      <c r="P494" s="5" t="n">
        <v>5</v>
      </c>
      <c r="Q494" s="5" t="n">
        <v>12</v>
      </c>
      <c r="R494" s="5" t="n">
        <v>4</v>
      </c>
      <c r="S494" s="5" t="n">
        <v>0</v>
      </c>
      <c r="T494" s="5" t="n">
        <v>0</v>
      </c>
      <c r="U494" s="5" t="n">
        <v>2</v>
      </c>
      <c r="V494" s="5" t="n">
        <v>6</v>
      </c>
      <c r="W494" s="5" t="n">
        <v>6</v>
      </c>
      <c r="X494" s="5" t="n">
        <v>0</v>
      </c>
      <c r="Y494" s="5" t="n">
        <v>0</v>
      </c>
      <c r="Z494" s="5" t="n">
        <v>0</v>
      </c>
      <c r="AA494" s="5" t="n">
        <v>0</v>
      </c>
      <c r="AB494" s="5" t="n">
        <v>22.285458</v>
      </c>
      <c r="AC494" s="5" t="inlineStr">
        <is>
          <t>Wie kommen Investitionen, Fördermittel, Banken und Unternehmensstrategien schneller zusammen?</t>
        </is>
      </c>
      <c r="AD494" s="5" t="inlineStr">
        <is>
          <t>Finanzierung und Förderung von Transformation: Boehringer Ingelheim Pharma GmbH &amp; Co. KG (profit_anchor, 3) + Investitions- und Strukturbank Rheinland-Pfalz (ISB) (context_actor, 5).</t>
        </is>
      </c>
      <c r="AE494" s="5" t="inlineStr">
        <is>
          <t>Boehringer Ingelheim Pharma GmbH &amp; Co. KG | Investitions- und Strukturbank Rheinland-Pfalz (ISB)</t>
        </is>
      </c>
      <c r="AF494" s="5" t="inlineStr">
        <is>
          <t>finanzierung-foerderung-transformation-boehringer-ingelheim-pharma-gmbh-co-kg-investitions-und-</t>
        </is>
      </c>
    </row>
    <row r="495">
      <c r="A495" s="5" t="inlineStr">
        <is>
          <t>C0494</t>
        </is>
      </c>
      <c r="B495" s="5" t="inlineStr">
        <is>
          <t>x_0494</t>
        </is>
      </c>
      <c r="C495" s="5" t="n">
        <v>0</v>
      </c>
      <c r="D495" s="5" t="inlineStr">
        <is>
          <t>Debeka Versicherungsgruppe</t>
        </is>
      </c>
      <c r="E495" s="5" t="inlineStr">
        <is>
          <t>WHU – Otto Beisheim School of Management</t>
        </is>
      </c>
      <c r="F495" s="5" t="n">
        <v>16</v>
      </c>
      <c r="G495" s="5" t="n">
        <v>99</v>
      </c>
      <c r="H495" s="5" t="inlineStr">
        <is>
          <t>profit_anchor</t>
        </is>
      </c>
      <c r="I495" t="inlineStr">
        <is>
          <t>bank_finance_anchor</t>
        </is>
      </c>
      <c r="J495" s="5" t="inlineStr">
        <is>
          <t>academic_support</t>
        </is>
      </c>
      <c r="K495" t="inlineStr">
        <is>
          <t>university_research</t>
        </is>
      </c>
      <c r="L495" s="5" t="inlineStr">
        <is>
          <t>wirtschaft</t>
        </is>
      </c>
      <c r="M495" s="5" t="inlineStr">
        <is>
          <t>finanzierung_foerderung_transformation</t>
        </is>
      </c>
      <c r="N495" s="5" t="inlineStr">
        <is>
          <t>Finanzierung und Förderung von Transformation</t>
        </is>
      </c>
      <c r="O495" s="5" t="n">
        <v>4</v>
      </c>
      <c r="P495" s="5" t="n">
        <v>4</v>
      </c>
      <c r="Q495" s="5" t="n">
        <v>12</v>
      </c>
      <c r="R495" s="5" t="n">
        <v>4</v>
      </c>
      <c r="S495" s="5" t="n">
        <v>0</v>
      </c>
      <c r="T495" s="5" t="n">
        <v>0</v>
      </c>
      <c r="U495" s="5" t="n">
        <v>2</v>
      </c>
      <c r="V495" s="5" t="n">
        <v>6</v>
      </c>
      <c r="W495" s="5" t="n">
        <v>6</v>
      </c>
      <c r="X495" s="5" t="n">
        <v>0</v>
      </c>
      <c r="Y495" s="5" t="n">
        <v>0</v>
      </c>
      <c r="Z495" s="5" t="n">
        <v>0</v>
      </c>
      <c r="AA495" s="5" t="n">
        <v>0</v>
      </c>
      <c r="AB495" s="5" t="n">
        <v>28.451658</v>
      </c>
      <c r="AC495" s="5" t="inlineStr">
        <is>
          <t>Wie kommen Investitionen, Fördermittel, Banken und Unternehmensstrategien schneller zusammen?</t>
        </is>
      </c>
      <c r="AD495" s="5" t="inlineStr">
        <is>
          <t>Finanzierung und Förderung von Transformation: Debeka Versicherungsgruppe (profit_anchor, 4) + WHU – Otto Beisheim School of Management (academic_support, 4).</t>
        </is>
      </c>
      <c r="AE495" s="5" t="inlineStr">
        <is>
          <t>Debeka Versicherungsgruppe | WHU – Otto Beisheim School of Management</t>
        </is>
      </c>
      <c r="AF495" s="5" t="inlineStr">
        <is>
          <t>finanzierung-foerderung-transformation-debeka-versicherungsgruppe-whu-otto-beisheim-school-of-m</t>
        </is>
      </c>
    </row>
    <row r="496">
      <c r="A496" s="5" t="inlineStr">
        <is>
          <t>C0495</t>
        </is>
      </c>
      <c r="B496" s="5" t="inlineStr">
        <is>
          <t>x_0495</t>
        </is>
      </c>
      <c r="C496" s="5" t="n">
        <v>0</v>
      </c>
      <c r="D496" s="5" t="inlineStr">
        <is>
          <t>Ernst &amp; Young GmbH</t>
        </is>
      </c>
      <c r="E496" s="5" t="inlineStr">
        <is>
          <t>WHU – Otto Beisheim School of Management</t>
        </is>
      </c>
      <c r="F496" s="5" t="n">
        <v>26</v>
      </c>
      <c r="G496" s="5" t="n">
        <v>99</v>
      </c>
      <c r="H496" s="5" t="inlineStr">
        <is>
          <t>profit_anchor</t>
        </is>
      </c>
      <c r="I496" t="inlineStr">
        <is>
          <t>professional_services_anchor</t>
        </is>
      </c>
      <c r="J496" s="5" t="inlineStr">
        <is>
          <t>academic_support</t>
        </is>
      </c>
      <c r="K496" t="inlineStr">
        <is>
          <t>university_research</t>
        </is>
      </c>
      <c r="L496" s="5" t="inlineStr">
        <is>
          <t>wirtschaft</t>
        </is>
      </c>
      <c r="M496" s="5" t="inlineStr">
        <is>
          <t>finanzierung_foerderung_transformation</t>
        </is>
      </c>
      <c r="N496" s="5" t="inlineStr">
        <is>
          <t>Finanzierung und Förderung von Transformation</t>
        </is>
      </c>
      <c r="O496" s="5" t="n">
        <v>4</v>
      </c>
      <c r="P496" s="5" t="n">
        <v>4</v>
      </c>
      <c r="Q496" s="5" t="n">
        <v>12</v>
      </c>
      <c r="R496" s="5" t="n">
        <v>4</v>
      </c>
      <c r="S496" s="5" t="n">
        <v>0</v>
      </c>
      <c r="T496" s="5" t="n">
        <v>0</v>
      </c>
      <c r="U496" s="5" t="n">
        <v>2</v>
      </c>
      <c r="V496" s="5" t="n">
        <v>6</v>
      </c>
      <c r="W496" s="5" t="n">
        <v>6</v>
      </c>
      <c r="X496" s="5" t="n">
        <v>0</v>
      </c>
      <c r="Y496" s="5" t="n">
        <v>0</v>
      </c>
      <c r="Z496" s="5" t="n">
        <v>0</v>
      </c>
      <c r="AA496" s="5" t="n">
        <v>0</v>
      </c>
      <c r="AB496" s="5" t="n">
        <v>31.16723</v>
      </c>
      <c r="AC496" s="5" t="inlineStr">
        <is>
          <t>Wie kommen Investitionen, Fördermittel, Banken und Unternehmensstrategien schneller zusammen?</t>
        </is>
      </c>
      <c r="AD496" s="5" t="inlineStr">
        <is>
          <t>Finanzierung und Förderung von Transformation: Ernst &amp; Young GmbH (profit_anchor, 4) + WHU – Otto Beisheim School of Management (academic_support, 4).</t>
        </is>
      </c>
      <c r="AE496" s="5" t="inlineStr">
        <is>
          <t>Ernst &amp; Young GmbH | WHU – Otto Beisheim School of Management</t>
        </is>
      </c>
      <c r="AF496" s="5" t="inlineStr">
        <is>
          <t>finanzierung-foerderung-transformation-ernst-young-gmbh-whu-otto-beisheim-school-of-management</t>
        </is>
      </c>
    </row>
    <row r="497">
      <c r="A497" s="5" t="inlineStr">
        <is>
          <t>C0496</t>
        </is>
      </c>
      <c r="B497" s="5" t="inlineStr">
        <is>
          <t>x_0496</t>
        </is>
      </c>
      <c r="C497" s="5" t="n">
        <v>0</v>
      </c>
      <c r="D497" s="5" t="inlineStr">
        <is>
          <t>Handwerkskammern Rheinland-Pfalz</t>
        </is>
      </c>
      <c r="E497" s="5" t="inlineStr">
        <is>
          <t>Investitions- und Strukturbank Rheinland-Pfalz (ISB)</t>
        </is>
      </c>
      <c r="F497" s="5" t="n">
        <v>32</v>
      </c>
      <c r="G497" s="5" t="n">
        <v>45</v>
      </c>
      <c r="H497" s="5" t="inlineStr">
        <is>
          <t>implementation_anchor</t>
        </is>
      </c>
      <c r="I497" t="inlineStr">
        <is>
          <t>chamber_association_anchor</t>
        </is>
      </c>
      <c r="J497" s="5" t="inlineStr">
        <is>
          <t>context_actor</t>
        </is>
      </c>
      <c r="K497" t="inlineStr">
        <is>
          <t>bank_finance_anchor</t>
        </is>
      </c>
      <c r="L497" s="5" t="inlineStr">
        <is>
          <t>wirtschaft</t>
        </is>
      </c>
      <c r="M497" s="5" t="inlineStr">
        <is>
          <t>finanzierung_foerderung_transformation</t>
        </is>
      </c>
      <c r="N497" s="5" t="inlineStr">
        <is>
          <t>Finanzierung und Förderung von Transformation</t>
        </is>
      </c>
      <c r="O497" s="5" t="n">
        <v>3</v>
      </c>
      <c r="P497" s="5" t="n">
        <v>5</v>
      </c>
      <c r="Q497" s="5" t="n">
        <v>12</v>
      </c>
      <c r="R497" s="5" t="n">
        <v>4</v>
      </c>
      <c r="S497" s="5" t="n">
        <v>0</v>
      </c>
      <c r="T497" s="5" t="n">
        <v>0</v>
      </c>
      <c r="U497" s="5" t="n">
        <v>2</v>
      </c>
      <c r="V497" s="5" t="n">
        <v>6</v>
      </c>
      <c r="W497" s="5" t="n">
        <v>6</v>
      </c>
      <c r="X497" s="5" t="n">
        <v>0</v>
      </c>
      <c r="Y497" s="5" t="n">
        <v>0</v>
      </c>
      <c r="Z497" s="5" t="n">
        <v>0</v>
      </c>
      <c r="AA497" s="5" t="n">
        <v>0</v>
      </c>
      <c r="AB497" s="5" t="n">
        <v>45.042284</v>
      </c>
      <c r="AC497" s="5" t="inlineStr">
        <is>
          <t>Wie kommen Investitionen, Fördermittel, Banken und Unternehmensstrategien schneller zusammen?</t>
        </is>
      </c>
      <c r="AD497" s="5" t="inlineStr">
        <is>
          <t>Finanzierung und Förderung von Transformation: Handwerkskammern Rheinland-Pfalz (implementation_anchor, 3) + Investitions- und Strukturbank Rheinland-Pfalz (ISB) (context_actor, 5).</t>
        </is>
      </c>
      <c r="AE497" s="5" t="inlineStr">
        <is>
          <t>Handwerkskammern Rheinland-Pfalz | Investitions- und Strukturbank Rheinland-Pfalz (ISB)</t>
        </is>
      </c>
      <c r="AF497" s="5" t="inlineStr">
        <is>
          <t>finanzierung-foerderung-transformation-handwerkskammern-rheinland-pfalz-investitions-und-strukt</t>
        </is>
      </c>
    </row>
    <row r="498">
      <c r="A498" s="5" t="inlineStr">
        <is>
          <t>C0497</t>
        </is>
      </c>
      <c r="B498" s="5" t="inlineStr">
        <is>
          <t>x_0497</t>
        </is>
      </c>
      <c r="C498" s="5" t="n">
        <v>0</v>
      </c>
      <c r="D498" s="5" t="inlineStr">
        <is>
          <t>Investitions- und Strukturbank Rheinland-Pfalz (ISB)</t>
        </is>
      </c>
      <c r="E498" s="5" t="inlineStr">
        <is>
          <t>JUWI GmbH</t>
        </is>
      </c>
      <c r="F498" s="5" t="n">
        <v>45</v>
      </c>
      <c r="G498" s="5" t="n">
        <v>51</v>
      </c>
      <c r="H498" s="5" t="inlineStr">
        <is>
          <t>context_actor</t>
        </is>
      </c>
      <c r="I498" t="inlineStr">
        <is>
          <t>bank_finance_anchor</t>
        </is>
      </c>
      <c r="J498" s="5" t="inlineStr">
        <is>
          <t>profit_anchor</t>
        </is>
      </c>
      <c r="K498" t="inlineStr">
        <is>
          <t>energy_infrastructure_anchor</t>
        </is>
      </c>
      <c r="L498" s="5" t="inlineStr">
        <is>
          <t>wirtschaft</t>
        </is>
      </c>
      <c r="M498" s="5" t="inlineStr">
        <is>
          <t>finanzierung_foerderung_transformation</t>
        </is>
      </c>
      <c r="N498" s="5" t="inlineStr">
        <is>
          <t>Finanzierung und Förderung von Transformation</t>
        </is>
      </c>
      <c r="O498" s="5" t="n">
        <v>5</v>
      </c>
      <c r="P498" s="5" t="n">
        <v>3</v>
      </c>
      <c r="Q498" s="5" t="n">
        <v>12</v>
      </c>
      <c r="R498" s="5" t="n">
        <v>4</v>
      </c>
      <c r="S498" s="5" t="n">
        <v>0</v>
      </c>
      <c r="T498" s="5" t="n">
        <v>0</v>
      </c>
      <c r="U498" s="5" t="n">
        <v>2</v>
      </c>
      <c r="V498" s="5" t="n">
        <v>6</v>
      </c>
      <c r="W498" s="5" t="n">
        <v>6</v>
      </c>
      <c r="X498" s="5" t="n">
        <v>0</v>
      </c>
      <c r="Y498" s="5" t="n">
        <v>0</v>
      </c>
      <c r="Z498" s="5" t="n">
        <v>0</v>
      </c>
      <c r="AA498" s="5" t="n">
        <v>0</v>
      </c>
      <c r="AB498" s="5" t="n">
        <v>23.614249</v>
      </c>
      <c r="AC498" s="5" t="inlineStr">
        <is>
          <t>Wie kommen Investitionen, Fördermittel, Banken und Unternehmensstrategien schneller zusammen?</t>
        </is>
      </c>
      <c r="AD498" s="5" t="inlineStr">
        <is>
          <t>Finanzierung und Förderung von Transformation: Investitions- und Strukturbank Rheinland-Pfalz (ISB) (context_actor, 5) + JUWI GmbH (profit_anchor, 3).</t>
        </is>
      </c>
      <c r="AE498" s="5" t="inlineStr">
        <is>
          <t>Investitions- und Strukturbank Rheinland-Pfalz (ISB) | JUWI GmbH</t>
        </is>
      </c>
      <c r="AF498" s="5" t="inlineStr">
        <is>
          <t>finanzierung-foerderung-transformation-investitions-und-strukturbank-rheinland-pfalz-isb-juwi-g</t>
        </is>
      </c>
    </row>
    <row r="499">
      <c r="A499" s="5" t="inlineStr">
        <is>
          <t>C0498</t>
        </is>
      </c>
      <c r="B499" s="5" t="inlineStr">
        <is>
          <t>x_0498</t>
        </is>
      </c>
      <c r="C499" s="5" t="n">
        <v>0</v>
      </c>
      <c r="D499" s="5" t="inlineStr">
        <is>
          <t>Barmherzige Brüder Trier gGmbH</t>
        </is>
      </c>
      <c r="E499" s="5" t="inlineStr">
        <is>
          <t>Boehringer Ingelheim Pharma GmbH &amp; Co. KG</t>
        </is>
      </c>
      <c r="F499" s="5" t="n">
        <v>5</v>
      </c>
      <c r="G499" s="5" t="n">
        <v>11</v>
      </c>
      <c r="H499" s="5" t="inlineStr">
        <is>
          <t>context_actor</t>
        </is>
      </c>
      <c r="I499" t="inlineStr">
        <is>
          <t>health_social_anchor</t>
        </is>
      </c>
      <c r="J499" s="5" t="inlineStr">
        <is>
          <t>profit_anchor</t>
        </is>
      </c>
      <c r="K499" t="inlineStr">
        <is>
          <t>health_social_anchor</t>
        </is>
      </c>
      <c r="L499" s="5" t="inlineStr">
        <is>
          <t>gesellschaft</t>
        </is>
      </c>
      <c r="M499" s="5" t="inlineStr">
        <is>
          <t>gesundheit_versorgung_praevention</t>
        </is>
      </c>
      <c r="N499" s="5" t="inlineStr">
        <is>
          <t>Gesundheitsversorgung und Prävention</t>
        </is>
      </c>
      <c r="O499" s="5" t="n">
        <v>4</v>
      </c>
      <c r="P499" s="5" t="n">
        <v>4</v>
      </c>
      <c r="Q499" s="5" t="n">
        <v>12</v>
      </c>
      <c r="R499" s="5" t="n">
        <v>4</v>
      </c>
      <c r="S499" s="5" t="n">
        <v>0</v>
      </c>
      <c r="T499" s="5" t="n">
        <v>0</v>
      </c>
      <c r="U499" s="5" t="n">
        <v>2</v>
      </c>
      <c r="V499" s="5" t="n">
        <v>6</v>
      </c>
      <c r="W499" s="5" t="n">
        <v>6</v>
      </c>
      <c r="X499" s="5" t="n">
        <v>0</v>
      </c>
      <c r="Y499" s="5" t="n">
        <v>0</v>
      </c>
      <c r="Z499" s="5" t="n">
        <v>0</v>
      </c>
      <c r="AA499" s="5" t="n">
        <v>0</v>
      </c>
      <c r="AB499" s="5" t="n">
        <v>19.129728</v>
      </c>
      <c r="AC499" s="5" t="inlineStr">
        <is>
          <t>Wie kann Gesundheitsversorgung in Rheinland-Pfalz zugänglich, präventiv und digital unterstützt werden?</t>
        </is>
      </c>
      <c r="AD499" s="5" t="inlineStr">
        <is>
          <t>Gesundheitsversorgung und Prävention: Barmherzige Brüder Trier gGmbH (context_actor, 4) + Boehringer Ingelheim Pharma GmbH &amp; Co. KG (profit_anchor, 4).</t>
        </is>
      </c>
      <c r="AE499" s="5" t="inlineStr">
        <is>
          <t>Barmherzige Brüder Trier gGmbH | Boehringer Ingelheim Pharma GmbH &amp; Co. KG</t>
        </is>
      </c>
      <c r="AF499" s="5" t="inlineStr">
        <is>
          <t>gesundheit-versorgung-praevention-barmherzige-brüder-trier-ggmbh-boehringer-ingelheim-pharma-gm</t>
        </is>
      </c>
    </row>
    <row r="500">
      <c r="A500" s="5" t="inlineStr">
        <is>
          <t>C0499</t>
        </is>
      </c>
      <c r="B500" s="5" t="inlineStr">
        <is>
          <t>x_0499</t>
        </is>
      </c>
      <c r="C500" s="5" t="n">
        <v>0</v>
      </c>
      <c r="D500" s="5" t="inlineStr">
        <is>
          <t>Barmherzige Brüder Trier gGmbH</t>
        </is>
      </c>
      <c r="E500" s="5" t="inlineStr">
        <is>
          <t>Caritasverband für die Diözese Speyer e.V.</t>
        </is>
      </c>
      <c r="F500" s="5" t="n">
        <v>5</v>
      </c>
      <c r="G500" s="5" t="n">
        <v>14</v>
      </c>
      <c r="H500" s="5" t="inlineStr">
        <is>
          <t>context_actor</t>
        </is>
      </c>
      <c r="I500" t="inlineStr">
        <is>
          <t>health_social_anchor</t>
        </is>
      </c>
      <c r="J500" s="5" t="inlineStr">
        <is>
          <t>implementation_anchor</t>
        </is>
      </c>
      <c r="K500" t="inlineStr">
        <is>
          <t>health_social_anchor</t>
        </is>
      </c>
      <c r="L500" s="5" t="inlineStr">
        <is>
          <t>gesellschaft</t>
        </is>
      </c>
      <c r="M500" s="5" t="inlineStr">
        <is>
          <t>gesundheit_versorgung_praevention</t>
        </is>
      </c>
      <c r="N500" s="5" t="inlineStr">
        <is>
          <t>Gesundheitsversorgung und Prävention</t>
        </is>
      </c>
      <c r="O500" s="5" t="n">
        <v>4</v>
      </c>
      <c r="P500" s="5" t="n">
        <v>4</v>
      </c>
      <c r="Q500" s="5" t="n">
        <v>12</v>
      </c>
      <c r="R500" s="5" t="n">
        <v>4</v>
      </c>
      <c r="S500" s="5" t="n">
        <v>0</v>
      </c>
      <c r="T500" s="5" t="n">
        <v>0</v>
      </c>
      <c r="U500" s="5" t="n">
        <v>2</v>
      </c>
      <c r="V500" s="5" t="n">
        <v>6</v>
      </c>
      <c r="W500" s="5" t="n">
        <v>6</v>
      </c>
      <c r="X500" s="5" t="n">
        <v>0</v>
      </c>
      <c r="Y500" s="5" t="n">
        <v>0</v>
      </c>
      <c r="Z500" s="5" t="n">
        <v>0</v>
      </c>
      <c r="AA500" s="5" t="n">
        <v>0</v>
      </c>
      <c r="AB500" s="5" t="n">
        <v>29.337794</v>
      </c>
      <c r="AC500" s="5" t="inlineStr">
        <is>
          <t>Wie kann Gesundheitsversorgung in Rheinland-Pfalz zugänglich, präventiv und digital unterstützt werden?</t>
        </is>
      </c>
      <c r="AD500" s="5" t="inlineStr">
        <is>
          <t>Gesundheitsversorgung und Prävention: Barmherzige Brüder Trier gGmbH (context_actor, 4) + Caritasverband für die Diözese Speyer e.V. (implementation_anchor, 4).</t>
        </is>
      </c>
      <c r="AE500" s="5" t="inlineStr">
        <is>
          <t>Barmherzige Brüder Trier gGmbH | Caritasverband für die Diözese Speyer e.V.</t>
        </is>
      </c>
      <c r="AF500" s="5" t="inlineStr">
        <is>
          <t>gesundheit-versorgung-praevention-barmherzige-brüder-trier-ggmbh-caritasverband-für-die-diözese</t>
        </is>
      </c>
    </row>
    <row r="501">
      <c r="A501" s="5" t="inlineStr">
        <is>
          <t>C0500</t>
        </is>
      </c>
      <c r="B501" s="5" t="inlineStr">
        <is>
          <t>x_0500</t>
        </is>
      </c>
      <c r="C501" s="5" t="n">
        <v>0</v>
      </c>
      <c r="D501" s="5" t="inlineStr">
        <is>
          <t>Barmherzige Brüder Trier gGmbH</t>
        </is>
      </c>
      <c r="E501" s="5" t="inlineStr">
        <is>
          <t>LandesPsychotherapeutenKammer Rheinland-Pfalz</t>
        </is>
      </c>
      <c r="F501" s="5" t="n">
        <v>5</v>
      </c>
      <c r="G501" s="5" t="n">
        <v>61</v>
      </c>
      <c r="H501" s="5" t="inlineStr">
        <is>
          <t>context_actor</t>
        </is>
      </c>
      <c r="I501" t="inlineStr">
        <is>
          <t>health_social_anchor</t>
        </is>
      </c>
      <c r="J501" s="5" t="inlineStr">
        <is>
          <t>implementation_anchor</t>
        </is>
      </c>
      <c r="K501" t="inlineStr">
        <is>
          <t>health_social_anchor</t>
        </is>
      </c>
      <c r="L501" s="5" t="inlineStr">
        <is>
          <t>gesellschaft</t>
        </is>
      </c>
      <c r="M501" s="5" t="inlineStr">
        <is>
          <t>gesundheit_versorgung_praevention</t>
        </is>
      </c>
      <c r="N501" s="5" t="inlineStr">
        <is>
          <t>Gesundheitsversorgung und Prävention</t>
        </is>
      </c>
      <c r="O501" s="5" t="n">
        <v>4</v>
      </c>
      <c r="P501" s="5" t="n">
        <v>4</v>
      </c>
      <c r="Q501" s="5" t="n">
        <v>12</v>
      </c>
      <c r="R501" s="5" t="n">
        <v>4</v>
      </c>
      <c r="S501" s="5" t="n">
        <v>0</v>
      </c>
      <c r="T501" s="5" t="n">
        <v>0</v>
      </c>
      <c r="U501" s="5" t="n">
        <v>2</v>
      </c>
      <c r="V501" s="5" t="n">
        <v>6</v>
      </c>
      <c r="W501" s="5" t="n">
        <v>6</v>
      </c>
      <c r="X501" s="5" t="n">
        <v>0</v>
      </c>
      <c r="Y501" s="5" t="n">
        <v>0</v>
      </c>
      <c r="Z501" s="5" t="n">
        <v>0</v>
      </c>
      <c r="AA501" s="5" t="n">
        <v>0</v>
      </c>
      <c r="AB501" s="5" t="n">
        <v>29.337794</v>
      </c>
      <c r="AC501" s="5" t="inlineStr">
        <is>
          <t>Wie kann Gesundheitsversorgung in Rheinland-Pfalz zugänglich, präventiv und digital unterstützt werden?</t>
        </is>
      </c>
      <c r="AD501" s="5" t="inlineStr">
        <is>
          <t>Gesundheitsversorgung und Prävention: Barmherzige Brüder Trier gGmbH (context_actor, 4) + LandesPsychotherapeutenKammer Rheinland-Pfalz (implementation_anchor, 4).</t>
        </is>
      </c>
      <c r="AE501" s="5" t="inlineStr">
        <is>
          <t>Barmherzige Brüder Trier gGmbH | LandesPsychotherapeutenKammer Rheinland-Pfalz</t>
        </is>
      </c>
      <c r="AF501" s="5" t="inlineStr">
        <is>
          <t>gesundheit-versorgung-praevention-barmherzige-brüder-trier-ggmbh-landespsychotherapeutenkammer-</t>
        </is>
      </c>
    </row>
    <row r="502">
      <c r="A502" s="5" t="inlineStr">
        <is>
          <t>C0501</t>
        </is>
      </c>
      <c r="B502" s="5" t="inlineStr">
        <is>
          <t>x_0501</t>
        </is>
      </c>
      <c r="C502" s="5" t="n">
        <v>0</v>
      </c>
      <c r="D502" s="5" t="inlineStr">
        <is>
          <t>Boehringer Ingelheim Pharma GmbH &amp; Co. KG</t>
        </is>
      </c>
      <c r="E502" s="5" t="inlineStr">
        <is>
          <t>Kassenzahnärztliche Vereinigung Rheinland-Pfalz</t>
        </is>
      </c>
      <c r="F502" s="5" t="n">
        <v>11</v>
      </c>
      <c r="G502" s="5" t="n">
        <v>53</v>
      </c>
      <c r="H502" s="5" t="inlineStr">
        <is>
          <t>profit_anchor</t>
        </is>
      </c>
      <c r="I502" t="inlineStr">
        <is>
          <t>health_social_anchor</t>
        </is>
      </c>
      <c r="J502" s="5" t="inlineStr">
        <is>
          <t>context_actor</t>
        </is>
      </c>
      <c r="K502" t="inlineStr">
        <is>
          <t>health_social_anchor</t>
        </is>
      </c>
      <c r="L502" s="5" t="inlineStr">
        <is>
          <t>gesellschaft</t>
        </is>
      </c>
      <c r="M502" s="5" t="inlineStr">
        <is>
          <t>gesundheit_versorgung_praevention</t>
        </is>
      </c>
      <c r="N502" s="5" t="inlineStr">
        <is>
          <t>Gesundheitsversorgung und Prävention</t>
        </is>
      </c>
      <c r="O502" s="5" t="n">
        <v>4</v>
      </c>
      <c r="P502" s="5" t="n">
        <v>4</v>
      </c>
      <c r="Q502" s="5" t="n">
        <v>12</v>
      </c>
      <c r="R502" s="5" t="n">
        <v>4</v>
      </c>
      <c r="S502" s="5" t="n">
        <v>0</v>
      </c>
      <c r="T502" s="5" t="n">
        <v>0</v>
      </c>
      <c r="U502" s="5" t="n">
        <v>2</v>
      </c>
      <c r="V502" s="5" t="n">
        <v>6</v>
      </c>
      <c r="W502" s="5" t="n">
        <v>6</v>
      </c>
      <c r="X502" s="5" t="n">
        <v>0</v>
      </c>
      <c r="Y502" s="5" t="n">
        <v>0</v>
      </c>
      <c r="Z502" s="5" t="n">
        <v>0</v>
      </c>
      <c r="AA502" s="5" t="n">
        <v>0</v>
      </c>
      <c r="AB502" s="5" t="n">
        <v>19.129728</v>
      </c>
      <c r="AC502" s="5" t="inlineStr">
        <is>
          <t>Wie kann Gesundheitsversorgung in Rheinland-Pfalz zugänglich, präventiv und digital unterstützt werden?</t>
        </is>
      </c>
      <c r="AD502" s="5" t="inlineStr">
        <is>
          <t>Gesundheitsversorgung und Prävention: Boehringer Ingelheim Pharma GmbH &amp; Co. KG (profit_anchor, 4) + Kassenzahnärztliche Vereinigung Rheinland-Pfalz (context_actor, 4).</t>
        </is>
      </c>
      <c r="AE502" s="5" t="inlineStr">
        <is>
          <t>Boehringer Ingelheim Pharma GmbH &amp; Co. KG | Kassenzahnärztliche Vereinigung Rheinland-Pfalz</t>
        </is>
      </c>
      <c r="AF502" s="5" t="inlineStr">
        <is>
          <t>gesundheit-versorgung-praevention-boehringer-ingelheim-pharma-gmbh-co-kg-kassenzahnärztliche-ve</t>
        </is>
      </c>
    </row>
    <row r="503">
      <c r="A503" s="5" t="inlineStr">
        <is>
          <t>C0502</t>
        </is>
      </c>
      <c r="B503" s="5" t="inlineStr">
        <is>
          <t>x_0502</t>
        </is>
      </c>
      <c r="C503" s="5" t="n">
        <v>0</v>
      </c>
      <c r="D503" s="5" t="inlineStr">
        <is>
          <t>Caritasverband für die Diözese Speyer e.V.</t>
        </is>
      </c>
      <c r="E503" s="5" t="inlineStr">
        <is>
          <t>Kassenzahnärztliche Vereinigung Rheinland-Pfalz</t>
        </is>
      </c>
      <c r="F503" s="5" t="n">
        <v>14</v>
      </c>
      <c r="G503" s="5" t="n">
        <v>53</v>
      </c>
      <c r="H503" s="5" t="inlineStr">
        <is>
          <t>implementation_anchor</t>
        </is>
      </c>
      <c r="I503" t="inlineStr">
        <is>
          <t>health_social_anchor</t>
        </is>
      </c>
      <c r="J503" s="5" t="inlineStr">
        <is>
          <t>context_actor</t>
        </is>
      </c>
      <c r="K503" t="inlineStr">
        <is>
          <t>health_social_anchor</t>
        </is>
      </c>
      <c r="L503" s="5" t="inlineStr">
        <is>
          <t>gesellschaft</t>
        </is>
      </c>
      <c r="M503" s="5" t="inlineStr">
        <is>
          <t>gesundheit_versorgung_praevention</t>
        </is>
      </c>
      <c r="N503" s="5" t="inlineStr">
        <is>
          <t>Gesundheitsversorgung und Prävention</t>
        </is>
      </c>
      <c r="O503" s="5" t="n">
        <v>4</v>
      </c>
      <c r="P503" s="5" t="n">
        <v>4</v>
      </c>
      <c r="Q503" s="5" t="n">
        <v>12</v>
      </c>
      <c r="R503" s="5" t="n">
        <v>4</v>
      </c>
      <c r="S503" s="5" t="n">
        <v>0</v>
      </c>
      <c r="T503" s="5" t="n">
        <v>0</v>
      </c>
      <c r="U503" s="5" t="n">
        <v>2</v>
      </c>
      <c r="V503" s="5" t="n">
        <v>6</v>
      </c>
      <c r="W503" s="5" t="n">
        <v>6</v>
      </c>
      <c r="X503" s="5" t="n">
        <v>0</v>
      </c>
      <c r="Y503" s="5" t="n">
        <v>0</v>
      </c>
      <c r="Z503" s="5" t="n">
        <v>0</v>
      </c>
      <c r="AA503" s="5" t="n">
        <v>0</v>
      </c>
      <c r="AB503" s="5" t="n">
        <v>29.337794</v>
      </c>
      <c r="AC503" s="5" t="inlineStr">
        <is>
          <t>Wie kann Gesundheitsversorgung in Rheinland-Pfalz zugänglich, präventiv und digital unterstützt werden?</t>
        </is>
      </c>
      <c r="AD503" s="5" t="inlineStr">
        <is>
          <t>Gesundheitsversorgung und Prävention: Caritasverband für die Diözese Speyer e.V. (implementation_anchor, 4) + Kassenzahnärztliche Vereinigung Rheinland-Pfalz (context_actor, 4).</t>
        </is>
      </c>
      <c r="AE503" s="5" t="inlineStr">
        <is>
          <t>Caritasverband für die Diözese Speyer e.V. | Kassenzahnärztliche Vereinigung Rheinland-Pfalz</t>
        </is>
      </c>
      <c r="AF503" s="5" t="inlineStr">
        <is>
          <t>gesundheit-versorgung-praevention-caritasverband-für-die-diözese-speyer-e-v-kassenzahnärztliche</t>
        </is>
      </c>
    </row>
    <row r="504">
      <c r="A504" s="5" t="inlineStr">
        <is>
          <t>C0503</t>
        </is>
      </c>
      <c r="B504" s="5" t="inlineStr">
        <is>
          <t>x_0503</t>
        </is>
      </c>
      <c r="C504" s="5" t="n">
        <v>0</v>
      </c>
      <c r="D504" s="5" t="inlineStr">
        <is>
          <t>Kassenzahnärztliche Vereinigung Rheinland-Pfalz</t>
        </is>
      </c>
      <c r="E504" s="5" t="inlineStr">
        <is>
          <t>LandesPsychotherapeutenKammer Rheinland-Pfalz</t>
        </is>
      </c>
      <c r="F504" s="5" t="n">
        <v>53</v>
      </c>
      <c r="G504" s="5" t="n">
        <v>61</v>
      </c>
      <c r="H504" s="5" t="inlineStr">
        <is>
          <t>context_actor</t>
        </is>
      </c>
      <c r="I504" t="inlineStr">
        <is>
          <t>health_social_anchor</t>
        </is>
      </c>
      <c r="J504" s="5" t="inlineStr">
        <is>
          <t>implementation_anchor</t>
        </is>
      </c>
      <c r="K504" t="inlineStr">
        <is>
          <t>health_social_anchor</t>
        </is>
      </c>
      <c r="L504" s="5" t="inlineStr">
        <is>
          <t>gesellschaft</t>
        </is>
      </c>
      <c r="M504" s="5" t="inlineStr">
        <is>
          <t>gesundheit_versorgung_praevention</t>
        </is>
      </c>
      <c r="N504" s="5" t="inlineStr">
        <is>
          <t>Gesundheitsversorgung und Prävention</t>
        </is>
      </c>
      <c r="O504" s="5" t="n">
        <v>4</v>
      </c>
      <c r="P504" s="5" t="n">
        <v>4</v>
      </c>
      <c r="Q504" s="5" t="n">
        <v>12</v>
      </c>
      <c r="R504" s="5" t="n">
        <v>4</v>
      </c>
      <c r="S504" s="5" t="n">
        <v>0</v>
      </c>
      <c r="T504" s="5" t="n">
        <v>0</v>
      </c>
      <c r="U504" s="5" t="n">
        <v>2</v>
      </c>
      <c r="V504" s="5" t="n">
        <v>6</v>
      </c>
      <c r="W504" s="5" t="n">
        <v>6</v>
      </c>
      <c r="X504" s="5" t="n">
        <v>0</v>
      </c>
      <c r="Y504" s="5" t="n">
        <v>0</v>
      </c>
      <c r="Z504" s="5" t="n">
        <v>0</v>
      </c>
      <c r="AA504" s="5" t="n">
        <v>0</v>
      </c>
      <c r="AB504" s="5" t="n">
        <v>29.337794</v>
      </c>
      <c r="AC504" s="5" t="inlineStr">
        <is>
          <t>Wie kann Gesundheitsversorgung in Rheinland-Pfalz zugänglich, präventiv und digital unterstützt werden?</t>
        </is>
      </c>
      <c r="AD504" s="5" t="inlineStr">
        <is>
          <t>Gesundheitsversorgung und Prävention: Kassenzahnärztliche Vereinigung Rheinland-Pfalz (context_actor, 4) + LandesPsychotherapeutenKammer Rheinland-Pfalz (implementation_anchor, 4).</t>
        </is>
      </c>
      <c r="AE504" s="5" t="inlineStr">
        <is>
          <t>Kassenzahnärztliche Vereinigung Rheinland-Pfalz | LandesPsychotherapeutenKammer Rheinland-Pfalz</t>
        </is>
      </c>
      <c r="AF504" s="5" t="inlineStr">
        <is>
          <t>gesundheit-versorgung-praevention-kassenzahnärztliche-vereinigung-rheinland-pfalz-landespsychot</t>
        </is>
      </c>
    </row>
    <row r="505">
      <c r="A505" s="5" t="inlineStr">
        <is>
          <t>C0504</t>
        </is>
      </c>
      <c r="B505" s="5" t="inlineStr">
        <is>
          <t>x_0504</t>
        </is>
      </c>
      <c r="C505" s="5" t="n">
        <v>0</v>
      </c>
      <c r="D505" s="5" t="inlineStr">
        <is>
          <t>Deutsche Telekom AG</t>
        </is>
      </c>
      <c r="E505" s="5" t="inlineStr">
        <is>
          <t>Johannes Gutenberg-Universität Mainz</t>
        </is>
      </c>
      <c r="F505" s="5" t="n">
        <v>18</v>
      </c>
      <c r="G505" s="5" t="n">
        <v>49</v>
      </c>
      <c r="H505" s="5" t="inlineStr">
        <is>
          <t>profit_anchor</t>
        </is>
      </c>
      <c r="I505" t="inlineStr">
        <is>
          <t>technology_digital_anchor</t>
        </is>
      </c>
      <c r="J505" s="5" t="inlineStr">
        <is>
          <t>academic_support</t>
        </is>
      </c>
      <c r="K505" t="inlineStr">
        <is>
          <t>university_research</t>
        </is>
      </c>
      <c r="L505" s="5" t="inlineStr">
        <is>
          <t>kultur</t>
        </is>
      </c>
      <c r="M505" s="5" t="inlineStr">
        <is>
          <t>kreativwirtschaft_digitale_medien</t>
        </is>
      </c>
      <c r="N505" s="5" t="inlineStr">
        <is>
          <t>Kreativwirtschaft, Medien und digitale Öffentlichkeit</t>
        </is>
      </c>
      <c r="O505" s="5" t="n">
        <v>4</v>
      </c>
      <c r="P505" s="5" t="n">
        <v>4</v>
      </c>
      <c r="Q505" s="5" t="n">
        <v>12</v>
      </c>
      <c r="R505" s="5" t="n">
        <v>4</v>
      </c>
      <c r="S505" s="5" t="n">
        <v>0</v>
      </c>
      <c r="T505" s="5" t="n">
        <v>0</v>
      </c>
      <c r="U505" s="5" t="n">
        <v>2</v>
      </c>
      <c r="V505" s="5" t="n">
        <v>6</v>
      </c>
      <c r="W505" s="5" t="n">
        <v>6</v>
      </c>
      <c r="X505" s="5" t="n">
        <v>0</v>
      </c>
      <c r="Y505" s="5" t="n">
        <v>0</v>
      </c>
      <c r="Z505" s="5" t="n">
        <v>0</v>
      </c>
      <c r="AA505" s="5" t="n">
        <v>0</v>
      </c>
      <c r="AB505" s="5" t="n">
        <v>26.824481</v>
      </c>
      <c r="AC505" s="5" t="inlineStr">
        <is>
          <t>Wie verändern Medien, Plattformen und kreative Arbeit die öffentliche Wahrnehmung von Rheinland-Pfalz?</t>
        </is>
      </c>
      <c r="AD505" s="5" t="inlineStr">
        <is>
          <t>Kreativwirtschaft, Medien und digitale Öffentlichkeit: Deutsche Telekom AG (profit_anchor, 4) + Johannes Gutenberg-Universität Mainz (academic_support, 4).</t>
        </is>
      </c>
      <c r="AE505" s="5" t="inlineStr">
        <is>
          <t>Deutsche Telekom AG | Johannes Gutenberg-Universität Mainz</t>
        </is>
      </c>
      <c r="AF505" s="5" t="inlineStr">
        <is>
          <t>kreativwirtschaft-digitale-medien-deutsche-telekom-ag-johannes-gutenberg-universität-mainz</t>
        </is>
      </c>
    </row>
    <row r="506">
      <c r="A506" s="5" t="inlineStr">
        <is>
          <t>C0505</t>
        </is>
      </c>
      <c r="B506" s="5" t="inlineStr">
        <is>
          <t>x_0505</t>
        </is>
      </c>
      <c r="C506" s="5" t="n">
        <v>0</v>
      </c>
      <c r="D506" s="5" t="inlineStr">
        <is>
          <t>Deutsche Telekom AG</t>
        </is>
      </c>
      <c r="E506" s="5" t="inlineStr">
        <is>
          <t>Villa Musica Rheinland-Pfalz</t>
        </is>
      </c>
      <c r="F506" s="5" t="n">
        <v>18</v>
      </c>
      <c r="G506" s="5" t="n">
        <v>96</v>
      </c>
      <c r="H506" s="5" t="inlineStr">
        <is>
          <t>profit_anchor</t>
        </is>
      </c>
      <c r="I506" t="inlineStr">
        <is>
          <t>technology_digital_anchor</t>
        </is>
      </c>
      <c r="J506" s="5" t="inlineStr">
        <is>
          <t>context_actor</t>
        </is>
      </c>
      <c r="K506" t="inlineStr">
        <is>
          <t>culture_foundation_anchor</t>
        </is>
      </c>
      <c r="L506" s="5" t="inlineStr">
        <is>
          <t>kultur</t>
        </is>
      </c>
      <c r="M506" s="5" t="inlineStr">
        <is>
          <t>kreativwirtschaft_digitale_medien</t>
        </is>
      </c>
      <c r="N506" s="5" t="inlineStr">
        <is>
          <t>Kreativwirtschaft, Medien und digitale Öffentlichkeit</t>
        </is>
      </c>
      <c r="O506" s="5" t="n">
        <v>4</v>
      </c>
      <c r="P506" s="5" t="n">
        <v>4</v>
      </c>
      <c r="Q506" s="5" t="n">
        <v>12</v>
      </c>
      <c r="R506" s="5" t="n">
        <v>4</v>
      </c>
      <c r="S506" s="5" t="n">
        <v>0</v>
      </c>
      <c r="T506" s="5" t="n">
        <v>0</v>
      </c>
      <c r="U506" s="5" t="n">
        <v>2</v>
      </c>
      <c r="V506" s="5" t="n">
        <v>6</v>
      </c>
      <c r="W506" s="5" t="n">
        <v>6</v>
      </c>
      <c r="X506" s="5" t="n">
        <v>0</v>
      </c>
      <c r="Y506" s="5" t="n">
        <v>0</v>
      </c>
      <c r="Z506" s="5" t="n">
        <v>0</v>
      </c>
      <c r="AA506" s="5" t="n">
        <v>0</v>
      </c>
      <c r="AB506" s="5" t="n">
        <v>31.238715</v>
      </c>
      <c r="AC506" s="5" t="inlineStr">
        <is>
          <t>Wie verändern Medien, Plattformen und kreative Arbeit die öffentliche Wahrnehmung von Rheinland-Pfalz?</t>
        </is>
      </c>
      <c r="AD506" s="5" t="inlineStr">
        <is>
          <t>Kreativwirtschaft, Medien und digitale Öffentlichkeit: Deutsche Telekom AG (profit_anchor, 4) + Villa Musica Rheinland-Pfalz (context_actor, 4).</t>
        </is>
      </c>
      <c r="AE506" s="5" t="inlineStr">
        <is>
          <t>Deutsche Telekom AG | Villa Musica Rheinland-Pfalz</t>
        </is>
      </c>
      <c r="AF506" s="5" t="inlineStr">
        <is>
          <t>kreativwirtschaft-digitale-medien-deutsche-telekom-ag-villa-musica-rheinland-pfalz</t>
        </is>
      </c>
    </row>
    <row r="507">
      <c r="A507" s="5" t="inlineStr">
        <is>
          <t>C0506</t>
        </is>
      </c>
      <c r="B507" s="5" t="inlineStr">
        <is>
          <t>x_0506</t>
        </is>
      </c>
      <c r="C507" s="5" t="n">
        <v>0</v>
      </c>
      <c r="D507" s="5" t="inlineStr">
        <is>
          <t>Deutsche Telekom AG</t>
        </is>
      </c>
      <c r="E507" s="5" t="inlineStr">
        <is>
          <t>robotspaceship</t>
        </is>
      </c>
      <c r="F507" s="5" t="n">
        <v>18</v>
      </c>
      <c r="G507" s="5" t="n">
        <v>75</v>
      </c>
      <c r="H507" s="5" t="inlineStr">
        <is>
          <t>profit_anchor</t>
        </is>
      </c>
      <c r="I507" t="inlineStr">
        <is>
          <t>technology_digital_anchor</t>
        </is>
      </c>
      <c r="J507" s="5" t="inlineStr">
        <is>
          <t>context_actor</t>
        </is>
      </c>
      <c r="K507" t="inlineStr">
        <is>
          <t>technology_digital_anchor</t>
        </is>
      </c>
      <c r="L507" s="5" t="inlineStr">
        <is>
          <t>kultur</t>
        </is>
      </c>
      <c r="M507" s="5" t="inlineStr">
        <is>
          <t>kreativwirtschaft_digitale_medien</t>
        </is>
      </c>
      <c r="N507" s="5" t="inlineStr">
        <is>
          <t>Kreativwirtschaft, Medien und digitale Öffentlichkeit</t>
        </is>
      </c>
      <c r="O507" s="5" t="n">
        <v>4</v>
      </c>
      <c r="P507" s="5" t="n">
        <v>4</v>
      </c>
      <c r="Q507" s="5" t="n">
        <v>12</v>
      </c>
      <c r="R507" s="5" t="n">
        <v>4</v>
      </c>
      <c r="S507" s="5" t="n">
        <v>0</v>
      </c>
      <c r="T507" s="5" t="n">
        <v>0</v>
      </c>
      <c r="U507" s="5" t="n">
        <v>2</v>
      </c>
      <c r="V507" s="5" t="n">
        <v>6</v>
      </c>
      <c r="W507" s="5" t="n">
        <v>6</v>
      </c>
      <c r="X507" s="5" t="n">
        <v>0</v>
      </c>
      <c r="Y507" s="5" t="n">
        <v>0</v>
      </c>
      <c r="Z507" s="5" t="n">
        <v>0</v>
      </c>
      <c r="AA507" s="5" t="n">
        <v>0</v>
      </c>
      <c r="AB507" s="5" t="n">
        <v>22.089107</v>
      </c>
      <c r="AC507" s="5" t="inlineStr">
        <is>
          <t>Wie verändern Medien, Plattformen und kreative Arbeit die öffentliche Wahrnehmung von Rheinland-Pfalz?</t>
        </is>
      </c>
      <c r="AD507" s="5" t="inlineStr">
        <is>
          <t>Kreativwirtschaft, Medien und digitale Öffentlichkeit: Deutsche Telekom AG (profit_anchor, 4) + robotspaceship (context_actor, 4).</t>
        </is>
      </c>
      <c r="AE507" s="5" t="inlineStr">
        <is>
          <t>Deutsche Telekom AG | robotspaceship</t>
        </is>
      </c>
      <c r="AF507" s="5" t="inlineStr">
        <is>
          <t>kreativwirtschaft-digitale-medien-deutsche-telekom-ag-robotspaceship</t>
        </is>
      </c>
    </row>
    <row r="508">
      <c r="A508" s="5" t="inlineStr">
        <is>
          <t>C0507</t>
        </is>
      </c>
      <c r="B508" s="5" t="inlineStr">
        <is>
          <t>x_0507</t>
        </is>
      </c>
      <c r="C508" s="5" t="n">
        <v>0</v>
      </c>
      <c r="D508" s="5" t="inlineStr">
        <is>
          <t>Entwicklungsagentur Rheinland-Pfalz e.V.</t>
        </is>
      </c>
      <c r="E508" s="5" t="inlineStr">
        <is>
          <t>Hochschule für Musik Mainz</t>
        </is>
      </c>
      <c r="F508" s="5" t="n">
        <v>25</v>
      </c>
      <c r="G508" s="5" t="n">
        <v>35</v>
      </c>
      <c r="H508" s="5" t="inlineStr">
        <is>
          <t>implementation_anchor</t>
        </is>
      </c>
      <c r="I508" t="inlineStr">
        <is>
          <t>public_policy_anchor</t>
        </is>
      </c>
      <c r="J508" s="5" t="inlineStr">
        <is>
          <t>academic_support</t>
        </is>
      </c>
      <c r="K508" t="inlineStr">
        <is>
          <t>university_applied_sciences</t>
        </is>
      </c>
      <c r="L508" s="5" t="inlineStr">
        <is>
          <t>kultur</t>
        </is>
      </c>
      <c r="M508" s="5" t="inlineStr">
        <is>
          <t>kreativwirtschaft_digitale_medien</t>
        </is>
      </c>
      <c r="N508" s="5" t="inlineStr">
        <is>
          <t>Kreativwirtschaft, Medien und digitale Öffentlichkeit</t>
        </is>
      </c>
      <c r="O508" s="5" t="n">
        <v>3</v>
      </c>
      <c r="P508" s="5" t="n">
        <v>3</v>
      </c>
      <c r="Q508" s="5" t="n">
        <v>10</v>
      </c>
      <c r="R508" s="5" t="n">
        <v>4</v>
      </c>
      <c r="S508" s="5" t="n">
        <v>0</v>
      </c>
      <c r="T508" s="5" t="n">
        <v>0</v>
      </c>
      <c r="U508" s="5" t="n">
        <v>2</v>
      </c>
      <c r="V508" s="5" t="n">
        <v>7</v>
      </c>
      <c r="W508" s="5" t="n">
        <v>7</v>
      </c>
      <c r="X508" s="5" t="n">
        <v>0</v>
      </c>
      <c r="Y508" s="5" t="n">
        <v>0</v>
      </c>
      <c r="Z508" s="5" t="n">
        <v>0</v>
      </c>
      <c r="AA508" s="5" t="n">
        <v>0</v>
      </c>
      <c r="AB508" s="5" t="n">
        <v>38.657499</v>
      </c>
      <c r="AC508" s="5" t="inlineStr">
        <is>
          <t>Wie verändern Medien, Plattformen und kreative Arbeit die öffentliche Wahrnehmung von Rheinland-Pfalz?</t>
        </is>
      </c>
      <c r="AD508" s="5" t="inlineStr">
        <is>
          <t>Kreativwirtschaft, Medien und digitale Öffentlichkeit: Entwicklungsagentur Rheinland-Pfalz e.V. (implementation_anchor, 3) + Hochschule für Musik Mainz (academic_support, 3).</t>
        </is>
      </c>
      <c r="AE508" s="5" t="inlineStr">
        <is>
          <t>Entwicklungsagentur Rheinland-Pfalz e.V. | Hochschule für Musik Mainz</t>
        </is>
      </c>
      <c r="AF508" s="5" t="inlineStr">
        <is>
          <t>kreativwirtschaft-digitale-medien-entwicklungsagentur-rheinland-pfalz-e-v-hochschule-für-musik-</t>
        </is>
      </c>
    </row>
    <row r="509">
      <c r="A509" s="5" t="inlineStr">
        <is>
          <t>C0508</t>
        </is>
      </c>
      <c r="B509" s="5" t="inlineStr">
        <is>
          <t>x_0508</t>
        </is>
      </c>
      <c r="C509" s="5" t="n">
        <v>0</v>
      </c>
      <c r="D509" s="5" t="inlineStr">
        <is>
          <t>Entwicklungsagentur Rheinland-Pfalz e.V.</t>
        </is>
      </c>
      <c r="E509" s="5" t="inlineStr">
        <is>
          <t>RPR1.</t>
        </is>
      </c>
      <c r="F509" s="5" t="n">
        <v>25</v>
      </c>
      <c r="G509" s="5" t="n">
        <v>76</v>
      </c>
      <c r="H509" s="5" t="inlineStr">
        <is>
          <t>implementation_anchor</t>
        </is>
      </c>
      <c r="I509" t="inlineStr">
        <is>
          <t>public_policy_anchor</t>
        </is>
      </c>
      <c r="J509" s="5" t="inlineStr">
        <is>
          <t>context_actor</t>
        </is>
      </c>
      <c r="K509" t="inlineStr">
        <is>
          <t>media_publicity_anchor</t>
        </is>
      </c>
      <c r="L509" s="5" t="inlineStr">
        <is>
          <t>kultur</t>
        </is>
      </c>
      <c r="M509" s="5" t="inlineStr">
        <is>
          <t>kreativwirtschaft_digitale_medien</t>
        </is>
      </c>
      <c r="N509" s="5" t="inlineStr">
        <is>
          <t>Kreativwirtschaft, Medien und digitale Öffentlichkeit</t>
        </is>
      </c>
      <c r="O509" s="5" t="n">
        <v>3</v>
      </c>
      <c r="P509" s="5" t="n">
        <v>5</v>
      </c>
      <c r="Q509" s="5" t="n">
        <v>12</v>
      </c>
      <c r="R509" s="5" t="n">
        <v>4</v>
      </c>
      <c r="S509" s="5" t="n">
        <v>0</v>
      </c>
      <c r="T509" s="5" t="n">
        <v>0</v>
      </c>
      <c r="U509" s="5" t="n">
        <v>2</v>
      </c>
      <c r="V509" s="5" t="n">
        <v>6</v>
      </c>
      <c r="W509" s="5" t="n">
        <v>6</v>
      </c>
      <c r="X509" s="5" t="n">
        <v>0</v>
      </c>
      <c r="Y509" s="5" t="n">
        <v>0</v>
      </c>
      <c r="Z509" s="5" t="n">
        <v>0</v>
      </c>
      <c r="AA509" s="5" t="n">
        <v>0</v>
      </c>
      <c r="AB509" s="5" t="n">
        <v>50.814549</v>
      </c>
      <c r="AC509" s="5" t="inlineStr">
        <is>
          <t>Wie verändern Medien, Plattformen und kreative Arbeit die öffentliche Wahrnehmung von Rheinland-Pfalz?</t>
        </is>
      </c>
      <c r="AD509" s="5" t="inlineStr">
        <is>
          <t>Kreativwirtschaft, Medien und digitale Öffentlichkeit: Entwicklungsagentur Rheinland-Pfalz e.V. (implementation_anchor, 3) + RPR1. (context_actor, 5).</t>
        </is>
      </c>
      <c r="AE509" s="5" t="inlineStr">
        <is>
          <t>Entwicklungsagentur Rheinland-Pfalz e.V. | RPR1.</t>
        </is>
      </c>
      <c r="AF509" s="5" t="inlineStr">
        <is>
          <t>kreativwirtschaft-digitale-medien-entwicklungsagentur-rheinland-pfalz-e-v-rpr1</t>
        </is>
      </c>
    </row>
    <row r="510">
      <c r="A510" s="5" t="inlineStr">
        <is>
          <t>C0509</t>
        </is>
      </c>
      <c r="B510" s="5" t="inlineStr">
        <is>
          <t>x_0509</t>
        </is>
      </c>
      <c r="C510" s="5" t="n">
        <v>0</v>
      </c>
      <c r="D510" s="5" t="inlineStr">
        <is>
          <t>Entwicklungsagentur Rheinland-Pfalz e.V.</t>
        </is>
      </c>
      <c r="E510" s="5" t="inlineStr">
        <is>
          <t>SWR – Südwestrundfunk</t>
        </is>
      </c>
      <c r="F510" s="5" t="n">
        <v>25</v>
      </c>
      <c r="G510" s="5" t="n">
        <v>86</v>
      </c>
      <c r="H510" s="5" t="inlineStr">
        <is>
          <t>implementation_anchor</t>
        </is>
      </c>
      <c r="I510" t="inlineStr">
        <is>
          <t>public_policy_anchor</t>
        </is>
      </c>
      <c r="J510" s="5" t="inlineStr">
        <is>
          <t>context_actor</t>
        </is>
      </c>
      <c r="K510" t="inlineStr">
        <is>
          <t>media_publicity_anchor</t>
        </is>
      </c>
      <c r="L510" s="5" t="inlineStr">
        <is>
          <t>kultur</t>
        </is>
      </c>
      <c r="M510" s="5" t="inlineStr">
        <is>
          <t>kreativwirtschaft_digitale_medien</t>
        </is>
      </c>
      <c r="N510" s="5" t="inlineStr">
        <is>
          <t>Kreativwirtschaft, Medien und digitale Öffentlichkeit</t>
        </is>
      </c>
      <c r="O510" s="5" t="n">
        <v>3</v>
      </c>
      <c r="P510" s="5" t="n">
        <v>5</v>
      </c>
      <c r="Q510" s="5" t="n">
        <v>12</v>
      </c>
      <c r="R510" s="5" t="n">
        <v>4</v>
      </c>
      <c r="S510" s="5" t="n">
        <v>0</v>
      </c>
      <c r="T510" s="5" t="n">
        <v>0</v>
      </c>
      <c r="U510" s="5" t="n">
        <v>2</v>
      </c>
      <c r="V510" s="5" t="n">
        <v>6</v>
      </c>
      <c r="W510" s="5" t="n">
        <v>6</v>
      </c>
      <c r="X510" s="5" t="n">
        <v>0</v>
      </c>
      <c r="Y510" s="5" t="n">
        <v>0</v>
      </c>
      <c r="Z510" s="5" t="n">
        <v>0</v>
      </c>
      <c r="AA510" s="5" t="n">
        <v>0</v>
      </c>
      <c r="AB510" s="5" t="n">
        <v>50.814549</v>
      </c>
      <c r="AC510" s="5" t="inlineStr">
        <is>
          <t>Wie verändern Medien, Plattformen und kreative Arbeit die öffentliche Wahrnehmung von Rheinland-Pfalz?</t>
        </is>
      </c>
      <c r="AD510" s="5" t="inlineStr">
        <is>
          <t>Kreativwirtschaft, Medien und digitale Öffentlichkeit: Entwicklungsagentur Rheinland-Pfalz e.V. (implementation_anchor, 3) + SWR – Südwestrundfunk (context_actor, 5).</t>
        </is>
      </c>
      <c r="AE510" s="5" t="inlineStr">
        <is>
          <t>Entwicklungsagentur Rheinland-Pfalz e.V. | SWR – Südwestrundfunk</t>
        </is>
      </c>
      <c r="AF510" s="5" t="inlineStr">
        <is>
          <t>kreativwirtschaft-digitale-medien-entwicklungsagentur-rheinland-pfalz-e-v-swr-südwestrundfunk</t>
        </is>
      </c>
    </row>
    <row r="511">
      <c r="A511" s="5" t="inlineStr">
        <is>
          <t>C0510</t>
        </is>
      </c>
      <c r="B511" s="5" t="inlineStr">
        <is>
          <t>x_0510</t>
        </is>
      </c>
      <c r="C511" s="5" t="n">
        <v>0</v>
      </c>
      <c r="D511" s="5" t="inlineStr">
        <is>
          <t>Entwicklungsagentur Rheinland-Pfalz e.V.</t>
        </is>
      </c>
      <c r="E511" s="5" t="inlineStr">
        <is>
          <t>ZDF – Zweites Deutsches Fernsehen</t>
        </is>
      </c>
      <c r="F511" s="5" t="n">
        <v>25</v>
      </c>
      <c r="G511" s="5" t="n">
        <v>102</v>
      </c>
      <c r="H511" s="5" t="inlineStr">
        <is>
          <t>implementation_anchor</t>
        </is>
      </c>
      <c r="I511" t="inlineStr">
        <is>
          <t>public_policy_anchor</t>
        </is>
      </c>
      <c r="J511" s="5" t="inlineStr">
        <is>
          <t>context_actor</t>
        </is>
      </c>
      <c r="K511" t="inlineStr">
        <is>
          <t>media_publicity_anchor</t>
        </is>
      </c>
      <c r="L511" s="5" t="inlineStr">
        <is>
          <t>kultur</t>
        </is>
      </c>
      <c r="M511" s="5" t="inlineStr">
        <is>
          <t>kreativwirtschaft_digitale_medien</t>
        </is>
      </c>
      <c r="N511" s="5" t="inlineStr">
        <is>
          <t>Kreativwirtschaft, Medien und digitale Öffentlichkeit</t>
        </is>
      </c>
      <c r="O511" s="5" t="n">
        <v>3</v>
      </c>
      <c r="P511" s="5" t="n">
        <v>5</v>
      </c>
      <c r="Q511" s="5" t="n">
        <v>12</v>
      </c>
      <c r="R511" s="5" t="n">
        <v>4</v>
      </c>
      <c r="S511" s="5" t="n">
        <v>0</v>
      </c>
      <c r="T511" s="5" t="n">
        <v>0</v>
      </c>
      <c r="U511" s="5" t="n">
        <v>2</v>
      </c>
      <c r="V511" s="5" t="n">
        <v>6</v>
      </c>
      <c r="W511" s="5" t="n">
        <v>6</v>
      </c>
      <c r="X511" s="5" t="n">
        <v>0</v>
      </c>
      <c r="Y511" s="5" t="n">
        <v>0</v>
      </c>
      <c r="Z511" s="5" t="n">
        <v>0</v>
      </c>
      <c r="AA511" s="5" t="n">
        <v>0</v>
      </c>
      <c r="AB511" s="5" t="n">
        <v>50.814549</v>
      </c>
      <c r="AC511" s="5" t="inlineStr">
        <is>
          <t>Wie verändern Medien, Plattformen und kreative Arbeit die öffentliche Wahrnehmung von Rheinland-Pfalz?</t>
        </is>
      </c>
      <c r="AD511" s="5" t="inlineStr">
        <is>
          <t>Kreativwirtschaft, Medien und digitale Öffentlichkeit: Entwicklungsagentur Rheinland-Pfalz e.V. (implementation_anchor, 3) + ZDF – Zweites Deutsches Fernsehen (context_actor, 5).</t>
        </is>
      </c>
      <c r="AE511" s="5" t="inlineStr">
        <is>
          <t>Entwicklungsagentur Rheinland-Pfalz e.V. | ZDF – Zweites Deutsches Fernsehen</t>
        </is>
      </c>
      <c r="AF511" s="5" t="inlineStr">
        <is>
          <t>kreativwirtschaft-digitale-medien-entwicklungsagentur-rheinland-pfalz-e-v-zdf-zweites-deutsches</t>
        </is>
      </c>
    </row>
    <row r="512">
      <c r="A512" s="5" t="inlineStr">
        <is>
          <t>C0511</t>
        </is>
      </c>
      <c r="B512" s="5" t="inlineStr">
        <is>
          <t>x_0511</t>
        </is>
      </c>
      <c r="C512" s="5" t="n">
        <v>0</v>
      </c>
      <c r="D512" s="5" t="inlineStr">
        <is>
          <t>Erster FC Kaiserslautern GmbH &amp; Co. KGaA</t>
        </is>
      </c>
      <c r="E512" s="5" t="inlineStr">
        <is>
          <t>Hochschule Mainz</t>
        </is>
      </c>
      <c r="F512" s="5" t="n">
        <v>27</v>
      </c>
      <c r="G512" s="5" t="n">
        <v>39</v>
      </c>
      <c r="H512" s="5" t="inlineStr">
        <is>
          <t>profit_anchor</t>
        </is>
      </c>
      <c r="I512" t="inlineStr">
        <is>
          <t>sports_regional_identity_anchor</t>
        </is>
      </c>
      <c r="J512" s="5" t="inlineStr">
        <is>
          <t>academic_support</t>
        </is>
      </c>
      <c r="K512" t="inlineStr">
        <is>
          <t>university_applied_sciences</t>
        </is>
      </c>
      <c r="L512" s="5" t="inlineStr">
        <is>
          <t>kultur</t>
        </is>
      </c>
      <c r="M512" s="5" t="inlineStr">
        <is>
          <t>kreativwirtschaft_digitale_medien</t>
        </is>
      </c>
      <c r="N512" s="5" t="inlineStr">
        <is>
          <t>Kreativwirtschaft, Medien und digitale Öffentlichkeit</t>
        </is>
      </c>
      <c r="O512" s="5" t="n">
        <v>3</v>
      </c>
      <c r="P512" s="5" t="n">
        <v>5</v>
      </c>
      <c r="Q512" s="5" t="n">
        <v>12</v>
      </c>
      <c r="R512" s="5" t="n">
        <v>4</v>
      </c>
      <c r="S512" s="5" t="n">
        <v>0</v>
      </c>
      <c r="T512" s="5" t="n">
        <v>0</v>
      </c>
      <c r="U512" s="5" t="n">
        <v>2</v>
      </c>
      <c r="V512" s="5" t="n">
        <v>6</v>
      </c>
      <c r="W512" s="5" t="n">
        <v>6</v>
      </c>
      <c r="X512" s="5" t="n">
        <v>0</v>
      </c>
      <c r="Y512" s="5" t="n">
        <v>0</v>
      </c>
      <c r="Z512" s="5" t="n">
        <v>0</v>
      </c>
      <c r="AA512" s="5" t="n">
        <v>0</v>
      </c>
      <c r="AB512" s="5" t="n">
        <v>40.916826</v>
      </c>
      <c r="AC512" s="5" t="inlineStr">
        <is>
          <t>Wie verändern Medien, Plattformen und kreative Arbeit die öffentliche Wahrnehmung von Rheinland-Pfalz?</t>
        </is>
      </c>
      <c r="AD512" s="5" t="inlineStr">
        <is>
          <t>Kreativwirtschaft, Medien und digitale Öffentlichkeit: Erster FC Kaiserslautern GmbH &amp; Co. KGaA (profit_anchor, 3) + Hochschule Mainz (academic_support, 5).</t>
        </is>
      </c>
      <c r="AE512" s="5" t="inlineStr">
        <is>
          <t>Erster FC Kaiserslautern GmbH &amp; Co. KGaA | Hochschule Mainz</t>
        </is>
      </c>
      <c r="AF512" s="5" t="inlineStr">
        <is>
          <t>kreativwirtschaft-digitale-medien-erster-fc-kaiserslautern-gmbh-co-kgaa-hochschule-mainz</t>
        </is>
      </c>
    </row>
    <row r="513">
      <c r="A513" s="5" t="inlineStr">
        <is>
          <t>C0512</t>
        </is>
      </c>
      <c r="B513" s="5" t="inlineStr">
        <is>
          <t>x_0512</t>
        </is>
      </c>
      <c r="C513" s="5" t="n">
        <v>0</v>
      </c>
      <c r="D513" s="5" t="inlineStr">
        <is>
          <t>Erster FC Kaiserslautern GmbH &amp; Co. KGaA</t>
        </is>
      </c>
      <c r="E513" s="5" t="inlineStr">
        <is>
          <t>RPR1.</t>
        </is>
      </c>
      <c r="F513" s="5" t="n">
        <v>27</v>
      </c>
      <c r="G513" s="5" t="n">
        <v>76</v>
      </c>
      <c r="H513" s="5" t="inlineStr">
        <is>
          <t>profit_anchor</t>
        </is>
      </c>
      <c r="I513" t="inlineStr">
        <is>
          <t>sports_regional_identity_anchor</t>
        </is>
      </c>
      <c r="J513" s="5" t="inlineStr">
        <is>
          <t>context_actor</t>
        </is>
      </c>
      <c r="K513" t="inlineStr">
        <is>
          <t>media_publicity_anchor</t>
        </is>
      </c>
      <c r="L513" s="5" t="inlineStr">
        <is>
          <t>kultur</t>
        </is>
      </c>
      <c r="M513" s="5" t="inlineStr">
        <is>
          <t>kreativwirtschaft_digitale_medien</t>
        </is>
      </c>
      <c r="N513" s="5" t="inlineStr">
        <is>
          <t>Kreativwirtschaft, Medien und digitale Öffentlichkeit</t>
        </is>
      </c>
      <c r="O513" s="5" t="n">
        <v>3</v>
      </c>
      <c r="P513" s="5" t="n">
        <v>5</v>
      </c>
      <c r="Q513" s="5" t="n">
        <v>12</v>
      </c>
      <c r="R513" s="5" t="n">
        <v>4</v>
      </c>
      <c r="S513" s="5" t="n">
        <v>0</v>
      </c>
      <c r="T513" s="5" t="n">
        <v>0</v>
      </c>
      <c r="U513" s="5" t="n">
        <v>2</v>
      </c>
      <c r="V513" s="5" t="n">
        <v>6</v>
      </c>
      <c r="W513" s="5" t="n">
        <v>6</v>
      </c>
      <c r="X513" s="5" t="n">
        <v>0</v>
      </c>
      <c r="Y513" s="5" t="n">
        <v>0</v>
      </c>
      <c r="Z513" s="5" t="n">
        <v>0</v>
      </c>
      <c r="AA513" s="5" t="n">
        <v>0</v>
      </c>
      <c r="AB513" s="5" t="n">
        <v>42.775372</v>
      </c>
      <c r="AC513" s="5" t="inlineStr">
        <is>
          <t>Wie verändern Medien, Plattformen und kreative Arbeit die öffentliche Wahrnehmung von Rheinland-Pfalz?</t>
        </is>
      </c>
      <c r="AD513" s="5" t="inlineStr">
        <is>
          <t>Kreativwirtschaft, Medien und digitale Öffentlichkeit: Erster FC Kaiserslautern GmbH &amp; Co. KGaA (profit_anchor, 3) + RPR1. (context_actor, 5).</t>
        </is>
      </c>
      <c r="AE513" s="5" t="inlineStr">
        <is>
          <t>Erster FC Kaiserslautern GmbH &amp; Co. KGaA | RPR1.</t>
        </is>
      </c>
      <c r="AF513" s="5" t="inlineStr">
        <is>
          <t>kreativwirtschaft-digitale-medien-erster-fc-kaiserslautern-gmbh-co-kgaa-rpr1</t>
        </is>
      </c>
    </row>
    <row r="514">
      <c r="A514" s="5" t="inlineStr">
        <is>
          <t>C0513</t>
        </is>
      </c>
      <c r="B514" s="5" t="inlineStr">
        <is>
          <t>x_0513</t>
        </is>
      </c>
      <c r="C514" s="5" t="n">
        <v>0</v>
      </c>
      <c r="D514" s="5" t="inlineStr">
        <is>
          <t>Erster FC Kaiserslautern GmbH &amp; Co. KGaA</t>
        </is>
      </c>
      <c r="E514" s="5" t="inlineStr">
        <is>
          <t>SWR – Südwestrundfunk</t>
        </is>
      </c>
      <c r="F514" s="5" t="n">
        <v>27</v>
      </c>
      <c r="G514" s="5" t="n">
        <v>86</v>
      </c>
      <c r="H514" s="5" t="inlineStr">
        <is>
          <t>profit_anchor</t>
        </is>
      </c>
      <c r="I514" t="inlineStr">
        <is>
          <t>sports_regional_identity_anchor</t>
        </is>
      </c>
      <c r="J514" s="5" t="inlineStr">
        <is>
          <t>context_actor</t>
        </is>
      </c>
      <c r="K514" t="inlineStr">
        <is>
          <t>media_publicity_anchor</t>
        </is>
      </c>
      <c r="L514" s="5" t="inlineStr">
        <is>
          <t>kultur</t>
        </is>
      </c>
      <c r="M514" s="5" t="inlineStr">
        <is>
          <t>kreativwirtschaft_digitale_medien</t>
        </is>
      </c>
      <c r="N514" s="5" t="inlineStr">
        <is>
          <t>Kreativwirtschaft, Medien und digitale Öffentlichkeit</t>
        </is>
      </c>
      <c r="O514" s="5" t="n">
        <v>3</v>
      </c>
      <c r="P514" s="5" t="n">
        <v>5</v>
      </c>
      <c r="Q514" s="5" t="n">
        <v>12</v>
      </c>
      <c r="R514" s="5" t="n">
        <v>4</v>
      </c>
      <c r="S514" s="5" t="n">
        <v>0</v>
      </c>
      <c r="T514" s="5" t="n">
        <v>0</v>
      </c>
      <c r="U514" s="5" t="n">
        <v>2</v>
      </c>
      <c r="V514" s="5" t="n">
        <v>6</v>
      </c>
      <c r="W514" s="5" t="n">
        <v>6</v>
      </c>
      <c r="X514" s="5" t="n">
        <v>0</v>
      </c>
      <c r="Y514" s="5" t="n">
        <v>0</v>
      </c>
      <c r="Z514" s="5" t="n">
        <v>0</v>
      </c>
      <c r="AA514" s="5" t="n">
        <v>0</v>
      </c>
      <c r="AB514" s="5" t="n">
        <v>42.775372</v>
      </c>
      <c r="AC514" s="5" t="inlineStr">
        <is>
          <t>Wie verändern Medien, Plattformen und kreative Arbeit die öffentliche Wahrnehmung von Rheinland-Pfalz?</t>
        </is>
      </c>
      <c r="AD514" s="5" t="inlineStr">
        <is>
          <t>Kreativwirtschaft, Medien und digitale Öffentlichkeit: Erster FC Kaiserslautern GmbH &amp; Co. KGaA (profit_anchor, 3) + SWR – Südwestrundfunk (context_actor, 5).</t>
        </is>
      </c>
      <c r="AE514" s="5" t="inlineStr">
        <is>
          <t>Erster FC Kaiserslautern GmbH &amp; Co. KGaA | SWR – Südwestrundfunk</t>
        </is>
      </c>
      <c r="AF514" s="5" t="inlineStr">
        <is>
          <t>kreativwirtschaft-digitale-medien-erster-fc-kaiserslautern-gmbh-co-kgaa-swr-südwestrundfunk</t>
        </is>
      </c>
    </row>
    <row r="515">
      <c r="A515" s="5" t="inlineStr">
        <is>
          <t>C0514</t>
        </is>
      </c>
      <c r="B515" s="5" t="inlineStr">
        <is>
          <t>x_0514</t>
        </is>
      </c>
      <c r="C515" s="5" t="n">
        <v>0</v>
      </c>
      <c r="D515" s="5" t="inlineStr">
        <is>
          <t>Erster FC Kaiserslautern GmbH &amp; Co. KGaA</t>
        </is>
      </c>
      <c r="E515" s="5" t="inlineStr">
        <is>
          <t>ZDF – Zweites Deutsches Fernsehen</t>
        </is>
      </c>
      <c r="F515" s="5" t="n">
        <v>27</v>
      </c>
      <c r="G515" s="5" t="n">
        <v>102</v>
      </c>
      <c r="H515" s="5" t="inlineStr">
        <is>
          <t>profit_anchor</t>
        </is>
      </c>
      <c r="I515" t="inlineStr">
        <is>
          <t>sports_regional_identity_anchor</t>
        </is>
      </c>
      <c r="J515" s="5" t="inlineStr">
        <is>
          <t>context_actor</t>
        </is>
      </c>
      <c r="K515" t="inlineStr">
        <is>
          <t>media_publicity_anchor</t>
        </is>
      </c>
      <c r="L515" s="5" t="inlineStr">
        <is>
          <t>kultur</t>
        </is>
      </c>
      <c r="M515" s="5" t="inlineStr">
        <is>
          <t>kreativwirtschaft_digitale_medien</t>
        </is>
      </c>
      <c r="N515" s="5" t="inlineStr">
        <is>
          <t>Kreativwirtschaft, Medien und digitale Öffentlichkeit</t>
        </is>
      </c>
      <c r="O515" s="5" t="n">
        <v>3</v>
      </c>
      <c r="P515" s="5" t="n">
        <v>5</v>
      </c>
      <c r="Q515" s="5" t="n">
        <v>12</v>
      </c>
      <c r="R515" s="5" t="n">
        <v>4</v>
      </c>
      <c r="S515" s="5" t="n">
        <v>0</v>
      </c>
      <c r="T515" s="5" t="n">
        <v>0</v>
      </c>
      <c r="U515" s="5" t="n">
        <v>2</v>
      </c>
      <c r="V515" s="5" t="n">
        <v>6</v>
      </c>
      <c r="W515" s="5" t="n">
        <v>6</v>
      </c>
      <c r="X515" s="5" t="n">
        <v>0</v>
      </c>
      <c r="Y515" s="5" t="n">
        <v>0</v>
      </c>
      <c r="Z515" s="5" t="n">
        <v>0</v>
      </c>
      <c r="AA515" s="5" t="n">
        <v>0</v>
      </c>
      <c r="AB515" s="5" t="n">
        <v>42.775372</v>
      </c>
      <c r="AC515" s="5" t="inlineStr">
        <is>
          <t>Wie verändern Medien, Plattformen und kreative Arbeit die öffentliche Wahrnehmung von Rheinland-Pfalz?</t>
        </is>
      </c>
      <c r="AD515" s="5" t="inlineStr">
        <is>
          <t>Kreativwirtschaft, Medien und digitale Öffentlichkeit: Erster FC Kaiserslautern GmbH &amp; Co. KGaA (profit_anchor, 3) + ZDF – Zweites Deutsches Fernsehen (context_actor, 5).</t>
        </is>
      </c>
      <c r="AE515" s="5" t="inlineStr">
        <is>
          <t>Erster FC Kaiserslautern GmbH &amp; Co. KGaA | ZDF – Zweites Deutsches Fernsehen</t>
        </is>
      </c>
      <c r="AF515" s="5" t="inlineStr">
        <is>
          <t>kreativwirtschaft-digitale-medien-erster-fc-kaiserslautern-gmbh-co-kgaa-zdf-zweites-deutsches-f</t>
        </is>
      </c>
    </row>
    <row r="516">
      <c r="A516" s="5" t="inlineStr">
        <is>
          <t>C0515</t>
        </is>
      </c>
      <c r="B516" s="5" t="inlineStr">
        <is>
          <t>x_0515</t>
        </is>
      </c>
      <c r="C516" s="5" t="n">
        <v>0</v>
      </c>
      <c r="D516" s="5" t="inlineStr">
        <is>
          <t>Hochschule Mainz</t>
        </is>
      </c>
      <c r="E516" s="5" t="inlineStr">
        <is>
          <t>RPR1.</t>
        </is>
      </c>
      <c r="F516" s="5" t="n">
        <v>39</v>
      </c>
      <c r="G516" s="5" t="n">
        <v>76</v>
      </c>
      <c r="H516" s="5" t="inlineStr">
        <is>
          <t>academic_support</t>
        </is>
      </c>
      <c r="I516" t="inlineStr">
        <is>
          <t>university_applied_sciences</t>
        </is>
      </c>
      <c r="J516" s="5" t="inlineStr">
        <is>
          <t>context_actor</t>
        </is>
      </c>
      <c r="K516" t="inlineStr">
        <is>
          <t>media_publicity_anchor</t>
        </is>
      </c>
      <c r="L516" s="5" t="inlineStr">
        <is>
          <t>kultur</t>
        </is>
      </c>
      <c r="M516" s="5" t="inlineStr">
        <is>
          <t>kreativwirtschaft_digitale_medien</t>
        </is>
      </c>
      <c r="N516" s="5" t="inlineStr">
        <is>
          <t>Kreativwirtschaft, Medien und digitale Öffentlichkeit</t>
        </is>
      </c>
      <c r="O516" s="5" t="n">
        <v>5</v>
      </c>
      <c r="P516" s="5" t="n">
        <v>5</v>
      </c>
      <c r="Q516" s="5" t="n">
        <v>14</v>
      </c>
      <c r="R516" s="5" t="n">
        <v>4</v>
      </c>
      <c r="S516" s="5" t="n">
        <v>0</v>
      </c>
      <c r="T516" s="5" t="n">
        <v>0</v>
      </c>
      <c r="U516" s="5" t="n">
        <v>2</v>
      </c>
      <c r="V516" s="5" t="n">
        <v>5</v>
      </c>
      <c r="W516" s="5" t="n">
        <v>5</v>
      </c>
      <c r="X516" s="5" t="n">
        <v>0</v>
      </c>
      <c r="Y516" s="5" t="n">
        <v>0</v>
      </c>
      <c r="Z516" s="5" t="n">
        <v>0</v>
      </c>
      <c r="AA516" s="5" t="n">
        <v>0</v>
      </c>
      <c r="AB516" s="5" t="n">
        <v>38.569939</v>
      </c>
      <c r="AC516" s="5" t="inlineStr">
        <is>
          <t>Wie verändern Medien, Plattformen und kreative Arbeit die öffentliche Wahrnehmung von Rheinland-Pfalz?</t>
        </is>
      </c>
      <c r="AD516" s="5" t="inlineStr">
        <is>
          <t>Kreativwirtschaft, Medien und digitale Öffentlichkeit: Hochschule Mainz (academic_support, 5) + RPR1. (context_actor, 5).</t>
        </is>
      </c>
      <c r="AE516" s="5" t="inlineStr">
        <is>
          <t>Hochschule Mainz | RPR1.</t>
        </is>
      </c>
      <c r="AF516" s="5" t="inlineStr">
        <is>
          <t>kreativwirtschaft-digitale-medien-hochschule-mainz-rpr1</t>
        </is>
      </c>
    </row>
    <row r="517">
      <c r="A517" s="5" t="inlineStr">
        <is>
          <t>C0516</t>
        </is>
      </c>
      <c r="B517" s="5" t="inlineStr">
        <is>
          <t>x_0516</t>
        </is>
      </c>
      <c r="C517" s="5" t="n">
        <v>0</v>
      </c>
      <c r="D517" s="5" t="inlineStr">
        <is>
          <t>Hochschule Mainz</t>
        </is>
      </c>
      <c r="E517" s="5" t="inlineStr">
        <is>
          <t>SWR – Südwestrundfunk</t>
        </is>
      </c>
      <c r="F517" s="5" t="n">
        <v>39</v>
      </c>
      <c r="G517" s="5" t="n">
        <v>86</v>
      </c>
      <c r="H517" s="5" t="inlineStr">
        <is>
          <t>academic_support</t>
        </is>
      </c>
      <c r="I517" t="inlineStr">
        <is>
          <t>university_applied_sciences</t>
        </is>
      </c>
      <c r="J517" s="5" t="inlineStr">
        <is>
          <t>context_actor</t>
        </is>
      </c>
      <c r="K517" t="inlineStr">
        <is>
          <t>media_publicity_anchor</t>
        </is>
      </c>
      <c r="L517" s="5" t="inlineStr">
        <is>
          <t>kultur</t>
        </is>
      </c>
      <c r="M517" s="5" t="inlineStr">
        <is>
          <t>kreativwirtschaft_digitale_medien</t>
        </is>
      </c>
      <c r="N517" s="5" t="inlineStr">
        <is>
          <t>Kreativwirtschaft, Medien und digitale Öffentlichkeit</t>
        </is>
      </c>
      <c r="O517" s="5" t="n">
        <v>5</v>
      </c>
      <c r="P517" s="5" t="n">
        <v>5</v>
      </c>
      <c r="Q517" s="5" t="n">
        <v>14</v>
      </c>
      <c r="R517" s="5" t="n">
        <v>4</v>
      </c>
      <c r="S517" s="5" t="n">
        <v>0</v>
      </c>
      <c r="T517" s="5" t="n">
        <v>0</v>
      </c>
      <c r="U517" s="5" t="n">
        <v>2</v>
      </c>
      <c r="V517" s="5" t="n">
        <v>5</v>
      </c>
      <c r="W517" s="5" t="n">
        <v>5</v>
      </c>
      <c r="X517" s="5" t="n">
        <v>0</v>
      </c>
      <c r="Y517" s="5" t="n">
        <v>0</v>
      </c>
      <c r="Z517" s="5" t="n">
        <v>0</v>
      </c>
      <c r="AA517" s="5" t="n">
        <v>0</v>
      </c>
      <c r="AB517" s="5" t="n">
        <v>38.569939</v>
      </c>
      <c r="AC517" s="5" t="inlineStr">
        <is>
          <t>Wie verändern Medien, Plattformen und kreative Arbeit die öffentliche Wahrnehmung von Rheinland-Pfalz?</t>
        </is>
      </c>
      <c r="AD517" s="5" t="inlineStr">
        <is>
          <t>Kreativwirtschaft, Medien und digitale Öffentlichkeit: Hochschule Mainz (academic_support, 5) + SWR – Südwestrundfunk (context_actor, 5).</t>
        </is>
      </c>
      <c r="AE517" s="5" t="inlineStr">
        <is>
          <t>Hochschule Mainz | SWR – Südwestrundfunk</t>
        </is>
      </c>
      <c r="AF517" s="5" t="inlineStr">
        <is>
          <t>kreativwirtschaft-digitale-medien-hochschule-mainz-swr-südwestrundfunk</t>
        </is>
      </c>
    </row>
    <row r="518">
      <c r="A518" s="5" t="inlineStr">
        <is>
          <t>C0517</t>
        </is>
      </c>
      <c r="B518" s="5" t="inlineStr">
        <is>
          <t>x_0517</t>
        </is>
      </c>
      <c r="C518" s="5" t="n">
        <v>0</v>
      </c>
      <c r="D518" s="5" t="inlineStr">
        <is>
          <t>Hochschule Mainz</t>
        </is>
      </c>
      <c r="E518" s="5" t="inlineStr">
        <is>
          <t>ZDF – Zweites Deutsches Fernsehen</t>
        </is>
      </c>
      <c r="F518" s="5" t="n">
        <v>39</v>
      </c>
      <c r="G518" s="5" t="n">
        <v>102</v>
      </c>
      <c r="H518" s="5" t="inlineStr">
        <is>
          <t>academic_support</t>
        </is>
      </c>
      <c r="I518" t="inlineStr">
        <is>
          <t>university_applied_sciences</t>
        </is>
      </c>
      <c r="J518" s="5" t="inlineStr">
        <is>
          <t>context_actor</t>
        </is>
      </c>
      <c r="K518" t="inlineStr">
        <is>
          <t>media_publicity_anchor</t>
        </is>
      </c>
      <c r="L518" s="5" t="inlineStr">
        <is>
          <t>kultur</t>
        </is>
      </c>
      <c r="M518" s="5" t="inlineStr">
        <is>
          <t>kreativwirtschaft_digitale_medien</t>
        </is>
      </c>
      <c r="N518" s="5" t="inlineStr">
        <is>
          <t>Kreativwirtschaft, Medien und digitale Öffentlichkeit</t>
        </is>
      </c>
      <c r="O518" s="5" t="n">
        <v>5</v>
      </c>
      <c r="P518" s="5" t="n">
        <v>5</v>
      </c>
      <c r="Q518" s="5" t="n">
        <v>14</v>
      </c>
      <c r="R518" s="5" t="n">
        <v>4</v>
      </c>
      <c r="S518" s="5" t="n">
        <v>0</v>
      </c>
      <c r="T518" s="5" t="n">
        <v>0</v>
      </c>
      <c r="U518" s="5" t="n">
        <v>2</v>
      </c>
      <c r="V518" s="5" t="n">
        <v>5</v>
      </c>
      <c r="W518" s="5" t="n">
        <v>5</v>
      </c>
      <c r="X518" s="5" t="n">
        <v>0</v>
      </c>
      <c r="Y518" s="5" t="n">
        <v>0</v>
      </c>
      <c r="Z518" s="5" t="n">
        <v>0</v>
      </c>
      <c r="AA518" s="5" t="n">
        <v>0</v>
      </c>
      <c r="AB518" s="5" t="n">
        <v>38.569939</v>
      </c>
      <c r="AC518" s="5" t="inlineStr">
        <is>
          <t>Wie verändern Medien, Plattformen und kreative Arbeit die öffentliche Wahrnehmung von Rheinland-Pfalz?</t>
        </is>
      </c>
      <c r="AD518" s="5" t="inlineStr">
        <is>
          <t>Kreativwirtschaft, Medien und digitale Öffentlichkeit: Hochschule Mainz (academic_support, 5) + ZDF – Zweites Deutsches Fernsehen (context_actor, 5).</t>
        </is>
      </c>
      <c r="AE518" s="5" t="inlineStr">
        <is>
          <t>Hochschule Mainz | ZDF – Zweites Deutsches Fernsehen</t>
        </is>
      </c>
      <c r="AF518" s="5" t="inlineStr">
        <is>
          <t>kreativwirtschaft-digitale-medien-hochschule-mainz-zdf-zweites-deutsches-fernsehen</t>
        </is>
      </c>
    </row>
    <row r="519">
      <c r="A519" s="5" t="inlineStr">
        <is>
          <t>C0518</t>
        </is>
      </c>
      <c r="B519" s="5" t="inlineStr">
        <is>
          <t>x_0518</t>
        </is>
      </c>
      <c r="C519" s="5" t="n">
        <v>0</v>
      </c>
      <c r="D519" s="5" t="inlineStr">
        <is>
          <t>Architektenkammer Rheinland-Pfalz</t>
        </is>
      </c>
      <c r="E519" s="5" t="inlineStr">
        <is>
          <t>Heberger Gruppe</t>
        </is>
      </c>
      <c r="F519" s="5" t="n">
        <v>3</v>
      </c>
      <c r="G519" s="5" t="n">
        <v>33</v>
      </c>
      <c r="H519" s="5" t="inlineStr">
        <is>
          <t>implementation_anchor</t>
        </is>
      </c>
      <c r="I519" t="inlineStr">
        <is>
          <t>construction_planning_anchor</t>
        </is>
      </c>
      <c r="J519" s="5" t="inlineStr">
        <is>
          <t>context_actor</t>
        </is>
      </c>
      <c r="K519" t="inlineStr">
        <is>
          <t>construction_planning_anchor</t>
        </is>
      </c>
      <c r="L519" s="5" t="inlineStr">
        <is>
          <t>nachhaltigkeit</t>
        </is>
      </c>
      <c r="M519" s="5" t="inlineStr">
        <is>
          <t>kreislaufwirtschaft_bau_ebv</t>
        </is>
      </c>
      <c r="N519" s="5" t="inlineStr">
        <is>
          <t>Kreislaufwirtschaft, Bau und Ersatzbaustoffverordnung</t>
        </is>
      </c>
      <c r="O519" s="5" t="n">
        <v>4</v>
      </c>
      <c r="P519" s="5" t="n">
        <v>4</v>
      </c>
      <c r="Q519" s="5" t="n">
        <v>12</v>
      </c>
      <c r="R519" s="5" t="n">
        <v>4</v>
      </c>
      <c r="S519" s="5" t="n">
        <v>0</v>
      </c>
      <c r="T519" s="5" t="n">
        <v>0</v>
      </c>
      <c r="U519" s="5" t="n">
        <v>2</v>
      </c>
      <c r="V519" s="5" t="n">
        <v>6</v>
      </c>
      <c r="W519" s="5" t="n">
        <v>6</v>
      </c>
      <c r="X519" s="5" t="n">
        <v>0</v>
      </c>
      <c r="Y519" s="5" t="n">
        <v>0</v>
      </c>
      <c r="Z519" s="5" t="n">
        <v>0</v>
      </c>
      <c r="AA519" s="5" t="n">
        <v>0</v>
      </c>
      <c r="AB519" s="5" t="n">
        <v>35.931312</v>
      </c>
      <c r="AC519" s="5" t="inlineStr">
        <is>
          <t>Wie können Bauwirtschaft, Rohstoffindustrie, Kommunen und Verwaltung Kreislaufwirtschaft praktisch und rechtssicher umsetzen?</t>
        </is>
      </c>
      <c r="AD519" s="5" t="inlineStr">
        <is>
          <t>Kreislaufwirtschaft, Bau und Ersatzbaustoffverordnung: Architektenkammer Rheinland-Pfalz (implementation_anchor, 4) + Heberger Gruppe (context_actor, 4).</t>
        </is>
      </c>
      <c r="AE519" s="5" t="inlineStr">
        <is>
          <t>Architektenkammer Rheinland-Pfalz | Heberger Gruppe</t>
        </is>
      </c>
      <c r="AF519" s="5" t="inlineStr">
        <is>
          <t>kreislaufwirtschaft-bau-ebv-architektenkammer-rheinland-pfalz-heberger-gruppe</t>
        </is>
      </c>
    </row>
    <row r="520">
      <c r="A520" s="5" t="inlineStr">
        <is>
          <t>C0519</t>
        </is>
      </c>
      <c r="B520" s="5" t="inlineStr">
        <is>
          <t>x_0519</t>
        </is>
      </c>
      <c r="C520" s="5" t="n">
        <v>0</v>
      </c>
      <c r="D520" s="5" t="inlineStr">
        <is>
          <t>Architektenkammer Rheinland-Pfalz</t>
        </is>
      </c>
      <c r="E520" s="5" t="inlineStr">
        <is>
          <t>TÜV Rheinland Berlin Brandenburg Pfalz e.V.</t>
        </is>
      </c>
      <c r="F520" s="5" t="n">
        <v>3</v>
      </c>
      <c r="G520" s="5" t="n">
        <v>91</v>
      </c>
      <c r="H520" s="5" t="inlineStr">
        <is>
          <t>implementation_anchor</t>
        </is>
      </c>
      <c r="I520" t="inlineStr">
        <is>
          <t>construction_planning_anchor</t>
        </is>
      </c>
      <c r="J520" s="5" t="inlineStr">
        <is>
          <t>context_actor</t>
        </is>
      </c>
      <c r="K520" t="inlineStr">
        <is>
          <t>chamber_association_anchor</t>
        </is>
      </c>
      <c r="L520" s="5" t="inlineStr">
        <is>
          <t>nachhaltigkeit</t>
        </is>
      </c>
      <c r="M520" s="5" t="inlineStr">
        <is>
          <t>kreislaufwirtschaft_bau_ebv</t>
        </is>
      </c>
      <c r="N520" s="5" t="inlineStr">
        <is>
          <t>Kreislaufwirtschaft, Bau und Ersatzbaustoffverordnung</t>
        </is>
      </c>
      <c r="O520" s="5" t="n">
        <v>4</v>
      </c>
      <c r="P520" s="5" t="n">
        <v>4</v>
      </c>
      <c r="Q520" s="5" t="n">
        <v>12</v>
      </c>
      <c r="R520" s="5" t="n">
        <v>4</v>
      </c>
      <c r="S520" s="5" t="n">
        <v>0</v>
      </c>
      <c r="T520" s="5" t="n">
        <v>0</v>
      </c>
      <c r="U520" s="5" t="n">
        <v>2</v>
      </c>
      <c r="V520" s="5" t="n">
        <v>6</v>
      </c>
      <c r="W520" s="5" t="n">
        <v>6</v>
      </c>
      <c r="X520" s="5" t="n">
        <v>0</v>
      </c>
      <c r="Y520" s="5" t="n">
        <v>0</v>
      </c>
      <c r="Z520" s="5" t="n">
        <v>0</v>
      </c>
      <c r="AA520" s="5" t="n">
        <v>0</v>
      </c>
      <c r="AB520" s="5" t="n">
        <v>44.00669</v>
      </c>
      <c r="AC520" s="5" t="inlineStr">
        <is>
          <t>Wie können Bauwirtschaft, Rohstoffindustrie, Kommunen und Verwaltung Kreislaufwirtschaft praktisch und rechtssicher umsetzen?</t>
        </is>
      </c>
      <c r="AD520" s="5" t="inlineStr">
        <is>
          <t>Kreislaufwirtschaft, Bau und Ersatzbaustoffverordnung: Architektenkammer Rheinland-Pfalz (implementation_anchor, 4) + TÜV Rheinland Berlin Brandenburg Pfalz e.V. (context_actor, 4).</t>
        </is>
      </c>
      <c r="AE520" s="5" t="inlineStr">
        <is>
          <t>Architektenkammer Rheinland-Pfalz | TÜV Rheinland Berlin Brandenburg Pfalz e.V.</t>
        </is>
      </c>
      <c r="AF520" s="5" t="inlineStr">
        <is>
          <t>kreislaufwirtschaft-bau-ebv-architektenkammer-rheinland-pfalz-tüv-rheinland-berlin-brandenburg-</t>
        </is>
      </c>
    </row>
    <row r="521">
      <c r="A521" s="5" t="inlineStr">
        <is>
          <t>C0520</t>
        </is>
      </c>
      <c r="B521" s="5" t="inlineStr">
        <is>
          <t>x_0520</t>
        </is>
      </c>
      <c r="C521" s="5" t="n">
        <v>0</v>
      </c>
      <c r="D521" s="5" t="inlineStr">
        <is>
          <t>Bauwirtschaft Rheinland-Pfalz e.V.</t>
        </is>
      </c>
      <c r="E521" s="5" t="inlineStr">
        <is>
          <t>Wilhelm Faber GmbH</t>
        </is>
      </c>
      <c r="F521" s="5" t="n">
        <v>8</v>
      </c>
      <c r="G521" s="5" t="n">
        <v>100</v>
      </c>
      <c r="H521" s="5" t="inlineStr">
        <is>
          <t>context_actor</t>
        </is>
      </c>
      <c r="I521" t="inlineStr">
        <is>
          <t>construction_planning_anchor</t>
        </is>
      </c>
      <c r="J521" s="5" t="inlineStr">
        <is>
          <t>profit_anchor</t>
        </is>
      </c>
      <c r="K521" t="inlineStr">
        <is>
          <t>construction_planning_anchor</t>
        </is>
      </c>
      <c r="L521" s="5" t="inlineStr">
        <is>
          <t>nachhaltigkeit</t>
        </is>
      </c>
      <c r="M521" s="5" t="inlineStr">
        <is>
          <t>kreislaufwirtschaft_bau_ebv</t>
        </is>
      </c>
      <c r="N521" s="5" t="inlineStr">
        <is>
          <t>Kreislaufwirtschaft, Bau und Ersatzbaustoffverordnung</t>
        </is>
      </c>
      <c r="O521" s="5" t="n">
        <v>5</v>
      </c>
      <c r="P521" s="5" t="n">
        <v>3</v>
      </c>
      <c r="Q521" s="5" t="n">
        <v>12</v>
      </c>
      <c r="R521" s="5" t="n">
        <v>4</v>
      </c>
      <c r="S521" s="5" t="n">
        <v>0</v>
      </c>
      <c r="T521" s="5" t="n">
        <v>0</v>
      </c>
      <c r="U521" s="5" t="n">
        <v>2</v>
      </c>
      <c r="V521" s="5" t="n">
        <v>6</v>
      </c>
      <c r="W521" s="5" t="n">
        <v>6</v>
      </c>
      <c r="X521" s="5" t="n">
        <v>0</v>
      </c>
      <c r="Y521" s="5" t="n">
        <v>0</v>
      </c>
      <c r="Z521" s="5" t="n">
        <v>0</v>
      </c>
      <c r="AA521" s="5" t="n">
        <v>0</v>
      </c>
      <c r="AB521" s="5" t="n">
        <v>23.429036</v>
      </c>
      <c r="AC521" s="5" t="inlineStr">
        <is>
          <t>Wie können Bauwirtschaft, Rohstoffindustrie, Kommunen und Verwaltung Kreislaufwirtschaft praktisch und rechtssicher umsetzen?</t>
        </is>
      </c>
      <c r="AD521" s="5" t="inlineStr">
        <is>
          <t>Kreislaufwirtschaft, Bau und Ersatzbaustoffverordnung: Bauwirtschaft Rheinland-Pfalz e.V. (context_actor, 5) + Wilhelm Faber GmbH (profit_anchor, 3).</t>
        </is>
      </c>
      <c r="AE521" s="5" t="inlineStr">
        <is>
          <t>Bauwirtschaft Rheinland-Pfalz e.V. | Wilhelm Faber GmbH</t>
        </is>
      </c>
      <c r="AF521" s="5" t="inlineStr">
        <is>
          <t>kreislaufwirtschaft-bau-ebv-bauwirtschaft-rheinland-pfalz-e-v-wilhelm-faber-gmbh</t>
        </is>
      </c>
    </row>
    <row r="522">
      <c r="A522" s="5" t="inlineStr">
        <is>
          <t>C0521</t>
        </is>
      </c>
      <c r="B522" s="5" t="inlineStr">
        <is>
          <t>x_0521</t>
        </is>
      </c>
      <c r="C522" s="5" t="n">
        <v>0</v>
      </c>
      <c r="D522" s="5" t="inlineStr">
        <is>
          <t>Heberger Gruppe</t>
        </is>
      </c>
      <c r="E522" s="5" t="inlineStr">
        <is>
          <t>Ingenieurkammer Rheinland-Pfalz</t>
        </is>
      </c>
      <c r="F522" s="5" t="n">
        <v>33</v>
      </c>
      <c r="G522" s="5" t="n">
        <v>44</v>
      </c>
      <c r="H522" s="5" t="inlineStr">
        <is>
          <t>context_actor</t>
        </is>
      </c>
      <c r="I522" t="inlineStr">
        <is>
          <t>construction_planning_anchor</t>
        </is>
      </c>
      <c r="J522" s="5" t="inlineStr">
        <is>
          <t>implementation_anchor</t>
        </is>
      </c>
      <c r="K522" t="inlineStr">
        <is>
          <t>construction_planning_anchor</t>
        </is>
      </c>
      <c r="L522" s="5" t="inlineStr">
        <is>
          <t>nachhaltigkeit</t>
        </is>
      </c>
      <c r="M522" s="5" t="inlineStr">
        <is>
          <t>kreislaufwirtschaft_bau_ebv</t>
        </is>
      </c>
      <c r="N522" s="5" t="inlineStr">
        <is>
          <t>Kreislaufwirtschaft, Bau und Ersatzbaustoffverordnung</t>
        </is>
      </c>
      <c r="O522" s="5" t="n">
        <v>4</v>
      </c>
      <c r="P522" s="5" t="n">
        <v>4</v>
      </c>
      <c r="Q522" s="5" t="n">
        <v>12</v>
      </c>
      <c r="R522" s="5" t="n">
        <v>4</v>
      </c>
      <c r="S522" s="5" t="n">
        <v>0</v>
      </c>
      <c r="T522" s="5" t="n">
        <v>0</v>
      </c>
      <c r="U522" s="5" t="n">
        <v>2</v>
      </c>
      <c r="V522" s="5" t="n">
        <v>6</v>
      </c>
      <c r="W522" s="5" t="n">
        <v>6</v>
      </c>
      <c r="X522" s="5" t="n">
        <v>0</v>
      </c>
      <c r="Y522" s="5" t="n">
        <v>0</v>
      </c>
      <c r="Z522" s="5" t="n">
        <v>0</v>
      </c>
      <c r="AA522" s="5" t="n">
        <v>0</v>
      </c>
      <c r="AB522" s="5" t="n">
        <v>35.931312</v>
      </c>
      <c r="AC522" s="5" t="inlineStr">
        <is>
          <t>Wie können Bauwirtschaft, Rohstoffindustrie, Kommunen und Verwaltung Kreislaufwirtschaft praktisch und rechtssicher umsetzen?</t>
        </is>
      </c>
      <c r="AD522" s="5" t="inlineStr">
        <is>
          <t>Kreislaufwirtschaft, Bau und Ersatzbaustoffverordnung: Heberger Gruppe (context_actor, 4) + Ingenieurkammer Rheinland-Pfalz (implementation_anchor, 4).</t>
        </is>
      </c>
      <c r="AE522" s="5" t="inlineStr">
        <is>
          <t>Heberger Gruppe | Ingenieurkammer Rheinland-Pfalz</t>
        </is>
      </c>
      <c r="AF522" s="5" t="inlineStr">
        <is>
          <t>kreislaufwirtschaft-bau-ebv-heberger-gruppe-ingenieurkammer-rheinland-pfalz</t>
        </is>
      </c>
    </row>
    <row r="523">
      <c r="A523" s="5" t="inlineStr">
        <is>
          <t>C0522</t>
        </is>
      </c>
      <c r="B523" s="5" t="inlineStr">
        <is>
          <t>x_0522</t>
        </is>
      </c>
      <c r="C523" s="5" t="n">
        <v>0</v>
      </c>
      <c r="D523" s="5" t="inlineStr">
        <is>
          <t>Heberger Gruppe</t>
        </is>
      </c>
      <c r="E523" s="5" t="inlineStr">
        <is>
          <t>Karl Gemünden GmbH &amp; Co. KG</t>
        </is>
      </c>
      <c r="F523" s="5" t="n">
        <v>33</v>
      </c>
      <c r="G523" s="5" t="n">
        <v>52</v>
      </c>
      <c r="H523" s="5" t="inlineStr">
        <is>
          <t>context_actor</t>
        </is>
      </c>
      <c r="I523" t="inlineStr">
        <is>
          <t>construction_planning_anchor</t>
        </is>
      </c>
      <c r="J523" s="5" t="inlineStr">
        <is>
          <t>profit_anchor</t>
        </is>
      </c>
      <c r="K523" t="inlineStr">
        <is>
          <t>construction_planning_anchor</t>
        </is>
      </c>
      <c r="L523" s="5" t="inlineStr">
        <is>
          <t>nachhaltigkeit</t>
        </is>
      </c>
      <c r="M523" s="5" t="inlineStr">
        <is>
          <t>kreislaufwirtschaft_bau_ebv</t>
        </is>
      </c>
      <c r="N523" s="5" t="inlineStr">
        <is>
          <t>Kreislaufwirtschaft, Bau und Ersatzbaustoffverordnung</t>
        </is>
      </c>
      <c r="O523" s="5" t="n">
        <v>4</v>
      </c>
      <c r="P523" s="5" t="n">
        <v>4</v>
      </c>
      <c r="Q523" s="5" t="n">
        <v>12</v>
      </c>
      <c r="R523" s="5" t="n">
        <v>4</v>
      </c>
      <c r="S523" s="5" t="n">
        <v>0</v>
      </c>
      <c r="T523" s="5" t="n">
        <v>0</v>
      </c>
      <c r="U523" s="5" t="n">
        <v>2</v>
      </c>
      <c r="V523" s="5" t="n">
        <v>6</v>
      </c>
      <c r="W523" s="5" t="n">
        <v>6</v>
      </c>
      <c r="X523" s="5" t="n">
        <v>0</v>
      </c>
      <c r="Y523" s="5" t="n">
        <v>0</v>
      </c>
      <c r="Z523" s="5" t="n">
        <v>0</v>
      </c>
      <c r="AA523" s="5" t="n">
        <v>0</v>
      </c>
      <c r="AB523" s="5" t="n">
        <v>23.429036</v>
      </c>
      <c r="AC523" s="5" t="inlineStr">
        <is>
          <t>Wie können Bauwirtschaft, Rohstoffindustrie, Kommunen und Verwaltung Kreislaufwirtschaft praktisch und rechtssicher umsetzen?</t>
        </is>
      </c>
      <c r="AD523" s="5" t="inlineStr">
        <is>
          <t>Kreislaufwirtschaft, Bau und Ersatzbaustoffverordnung: Heberger Gruppe (context_actor, 4) + Karl Gemünden GmbH &amp; Co. KG (profit_anchor, 4).</t>
        </is>
      </c>
      <c r="AE523" s="5" t="inlineStr">
        <is>
          <t>Heberger Gruppe | Karl Gemünden GmbH &amp; Co. KG</t>
        </is>
      </c>
      <c r="AF523" s="5" t="inlineStr">
        <is>
          <t>kreislaufwirtschaft-bau-ebv-heberger-gruppe-karl-gemünden-gmbh-co-kg</t>
        </is>
      </c>
    </row>
    <row r="524">
      <c r="A524" s="5" t="inlineStr">
        <is>
          <t>C0523</t>
        </is>
      </c>
      <c r="B524" s="5" t="inlineStr">
        <is>
          <t>x_0523</t>
        </is>
      </c>
      <c r="C524" s="5" t="n">
        <v>0</v>
      </c>
      <c r="D524" s="5" t="inlineStr">
        <is>
          <t>Ingenieurkammer Rheinland-Pfalz</t>
        </is>
      </c>
      <c r="E524" s="5" t="inlineStr">
        <is>
          <t>TÜV Rheinland Berlin Brandenburg Pfalz e.V.</t>
        </is>
      </c>
      <c r="F524" s="5" t="n">
        <v>44</v>
      </c>
      <c r="G524" s="5" t="n">
        <v>91</v>
      </c>
      <c r="H524" s="5" t="inlineStr">
        <is>
          <t>implementation_anchor</t>
        </is>
      </c>
      <c r="I524" t="inlineStr">
        <is>
          <t>construction_planning_anchor</t>
        </is>
      </c>
      <c r="J524" s="5" t="inlineStr">
        <is>
          <t>context_actor</t>
        </is>
      </c>
      <c r="K524" t="inlineStr">
        <is>
          <t>chamber_association_anchor</t>
        </is>
      </c>
      <c r="L524" s="5" t="inlineStr">
        <is>
          <t>nachhaltigkeit</t>
        </is>
      </c>
      <c r="M524" s="5" t="inlineStr">
        <is>
          <t>kreislaufwirtschaft_bau_ebv</t>
        </is>
      </c>
      <c r="N524" s="5" t="inlineStr">
        <is>
          <t>Kreislaufwirtschaft, Bau und Ersatzbaustoffverordnung</t>
        </is>
      </c>
      <c r="O524" s="5" t="n">
        <v>4</v>
      </c>
      <c r="P524" s="5" t="n">
        <v>4</v>
      </c>
      <c r="Q524" s="5" t="n">
        <v>12</v>
      </c>
      <c r="R524" s="5" t="n">
        <v>4</v>
      </c>
      <c r="S524" s="5" t="n">
        <v>0</v>
      </c>
      <c r="T524" s="5" t="n">
        <v>0</v>
      </c>
      <c r="U524" s="5" t="n">
        <v>2</v>
      </c>
      <c r="V524" s="5" t="n">
        <v>6</v>
      </c>
      <c r="W524" s="5" t="n">
        <v>6</v>
      </c>
      <c r="X524" s="5" t="n">
        <v>0</v>
      </c>
      <c r="Y524" s="5" t="n">
        <v>0</v>
      </c>
      <c r="Z524" s="5" t="n">
        <v>0</v>
      </c>
      <c r="AA524" s="5" t="n">
        <v>0</v>
      </c>
      <c r="AB524" s="5" t="n">
        <v>44.00669</v>
      </c>
      <c r="AC524" s="5" t="inlineStr">
        <is>
          <t>Wie können Bauwirtschaft, Rohstoffindustrie, Kommunen und Verwaltung Kreislaufwirtschaft praktisch und rechtssicher umsetzen?</t>
        </is>
      </c>
      <c r="AD524" s="5" t="inlineStr">
        <is>
          <t>Kreislaufwirtschaft, Bau und Ersatzbaustoffverordnung: Ingenieurkammer Rheinland-Pfalz (implementation_anchor, 4) + TÜV Rheinland Berlin Brandenburg Pfalz e.V. (context_actor, 4).</t>
        </is>
      </c>
      <c r="AE524" s="5" t="inlineStr">
        <is>
          <t>Ingenieurkammer Rheinland-Pfalz | TÜV Rheinland Berlin Brandenburg Pfalz e.V.</t>
        </is>
      </c>
      <c r="AF524" s="5" t="inlineStr">
        <is>
          <t>kreislaufwirtschaft-bau-ebv-ingenieurkammer-rheinland-pfalz-tüv-rheinland-berlin-brandenburg-pf</t>
        </is>
      </c>
    </row>
    <row r="525">
      <c r="A525" s="5" t="inlineStr">
        <is>
          <t>C0524</t>
        </is>
      </c>
      <c r="B525" s="5" t="inlineStr">
        <is>
          <t>x_0524</t>
        </is>
      </c>
      <c r="C525" s="5" t="n">
        <v>0</v>
      </c>
      <c r="D525" s="5" t="inlineStr">
        <is>
          <t>Investitions- und Strukturbank Rheinland-Pfalz (ISB)</t>
        </is>
      </c>
      <c r="E525" s="5" t="inlineStr">
        <is>
          <t>vero – Verband der Bau- und Rohstoffindustrie</t>
        </is>
      </c>
      <c r="F525" s="5" t="n">
        <v>45</v>
      </c>
      <c r="G525" s="5" t="n">
        <v>95</v>
      </c>
      <c r="H525" s="5" t="inlineStr">
        <is>
          <t>context_actor</t>
        </is>
      </c>
      <c r="I525" t="inlineStr">
        <is>
          <t>bank_finance_anchor</t>
        </is>
      </c>
      <c r="J525" s="5" t="inlineStr">
        <is>
          <t>profit_anchor</t>
        </is>
      </c>
      <c r="K525" t="inlineStr">
        <is>
          <t>construction_planning_anchor</t>
        </is>
      </c>
      <c r="L525" s="5" t="inlineStr">
        <is>
          <t>nachhaltigkeit</t>
        </is>
      </c>
      <c r="M525" s="5" t="inlineStr">
        <is>
          <t>kreislaufwirtschaft_bau_ebv</t>
        </is>
      </c>
      <c r="N525" s="5" t="inlineStr">
        <is>
          <t>Kreislaufwirtschaft, Bau und Ersatzbaustoffverordnung</t>
        </is>
      </c>
      <c r="O525" s="5" t="n">
        <v>3</v>
      </c>
      <c r="P525" s="5" t="n">
        <v>5</v>
      </c>
      <c r="Q525" s="5" t="n">
        <v>12</v>
      </c>
      <c r="R525" s="5" t="n">
        <v>4</v>
      </c>
      <c r="S525" s="5" t="n">
        <v>0</v>
      </c>
      <c r="T525" s="5" t="n">
        <v>0</v>
      </c>
      <c r="U525" s="5" t="n">
        <v>2</v>
      </c>
      <c r="V525" s="5" t="n">
        <v>6</v>
      </c>
      <c r="W525" s="5" t="n">
        <v>6</v>
      </c>
      <c r="X525" s="5" t="n">
        <v>0</v>
      </c>
      <c r="Y525" s="5" t="n">
        <v>0</v>
      </c>
      <c r="Z525" s="5" t="n">
        <v>0</v>
      </c>
      <c r="AA525" s="5" t="n">
        <v>0</v>
      </c>
      <c r="AB525" s="5" t="n">
        <v>24.251356</v>
      </c>
      <c r="AC525" s="5" t="inlineStr">
        <is>
          <t>Wie können Bauwirtschaft, Rohstoffindustrie, Kommunen und Verwaltung Kreislaufwirtschaft praktisch und rechtssicher umsetzen?</t>
        </is>
      </c>
      <c r="AD525" s="5" t="inlineStr">
        <is>
          <t>Kreislaufwirtschaft, Bau und Ersatzbaustoffverordnung: Investitions- und Strukturbank Rheinland-Pfalz (ISB) (context_actor, 3) + vero – Verband der Bau- und Rohstoffindustrie (profit_anchor, 5).</t>
        </is>
      </c>
      <c r="AE525" s="5" t="inlineStr">
        <is>
          <t>Investitions- und Strukturbank Rheinland-Pfalz (ISB) | vero – Verband der Bau- und Rohstoffindustrie</t>
        </is>
      </c>
      <c r="AF525" s="5" t="inlineStr">
        <is>
          <t>kreislaufwirtschaft-bau-ebv-investitions-und-strukturbank-rheinland-pfalz-isb-vero-verband-der-</t>
        </is>
      </c>
    </row>
    <row r="526">
      <c r="A526" s="5" t="inlineStr">
        <is>
          <t>C0525</t>
        </is>
      </c>
      <c r="B526" s="5" t="inlineStr">
        <is>
          <t>x_0525</t>
        </is>
      </c>
      <c r="C526" s="5" t="n">
        <v>0</v>
      </c>
      <c r="D526" s="5" t="inlineStr">
        <is>
          <t>Karl Gemünden GmbH &amp; Co. KG</t>
        </is>
      </c>
      <c r="E526" s="5" t="inlineStr">
        <is>
          <t>TÜV Rheinland Berlin Brandenburg Pfalz e.V.</t>
        </is>
      </c>
      <c r="F526" s="5" t="n">
        <v>52</v>
      </c>
      <c r="G526" s="5" t="n">
        <v>91</v>
      </c>
      <c r="H526" s="5" t="inlineStr">
        <is>
          <t>profit_anchor</t>
        </is>
      </c>
      <c r="I526" t="inlineStr">
        <is>
          <t>construction_planning_anchor</t>
        </is>
      </c>
      <c r="J526" s="5" t="inlineStr">
        <is>
          <t>context_actor</t>
        </is>
      </c>
      <c r="K526" t="inlineStr">
        <is>
          <t>chamber_association_anchor</t>
        </is>
      </c>
      <c r="L526" s="5" t="inlineStr">
        <is>
          <t>nachhaltigkeit</t>
        </is>
      </c>
      <c r="M526" s="5" t="inlineStr">
        <is>
          <t>kreislaufwirtschaft_bau_ebv</t>
        </is>
      </c>
      <c r="N526" s="5" t="inlineStr">
        <is>
          <t>Kreislaufwirtschaft, Bau und Ersatzbaustoffverordnung</t>
        </is>
      </c>
      <c r="O526" s="5" t="n">
        <v>4</v>
      </c>
      <c r="P526" s="5" t="n">
        <v>4</v>
      </c>
      <c r="Q526" s="5" t="n">
        <v>12</v>
      </c>
      <c r="R526" s="5" t="n">
        <v>4</v>
      </c>
      <c r="S526" s="5" t="n">
        <v>0</v>
      </c>
      <c r="T526" s="5" t="n">
        <v>0</v>
      </c>
      <c r="U526" s="5" t="n">
        <v>2</v>
      </c>
      <c r="V526" s="5" t="n">
        <v>6</v>
      </c>
      <c r="W526" s="5" t="n">
        <v>6</v>
      </c>
      <c r="X526" s="5" t="n">
        <v>0</v>
      </c>
      <c r="Y526" s="5" t="n">
        <v>0</v>
      </c>
      <c r="Z526" s="5" t="n">
        <v>0</v>
      </c>
      <c r="AA526" s="5" t="n">
        <v>0</v>
      </c>
      <c r="AB526" s="5" t="n">
        <v>28.694592</v>
      </c>
      <c r="AC526" s="5" t="inlineStr">
        <is>
          <t>Wie können Bauwirtschaft, Rohstoffindustrie, Kommunen und Verwaltung Kreislaufwirtschaft praktisch und rechtssicher umsetzen?</t>
        </is>
      </c>
      <c r="AD526" s="5" t="inlineStr">
        <is>
          <t>Kreislaufwirtschaft, Bau und Ersatzbaustoffverordnung: Karl Gemünden GmbH &amp; Co. KG (profit_anchor, 4) + TÜV Rheinland Berlin Brandenburg Pfalz e.V. (context_actor, 4).</t>
        </is>
      </c>
      <c r="AE526" s="5" t="inlineStr">
        <is>
          <t>Karl Gemünden GmbH &amp; Co. KG | TÜV Rheinland Berlin Brandenburg Pfalz e.V.</t>
        </is>
      </c>
      <c r="AF526" s="5" t="inlineStr">
        <is>
          <t>kreislaufwirtschaft-bau-ebv-karl-gemünden-gmbh-co-kg-tüv-rheinland-berlin-brandenburg-pfalz-e-v</t>
        </is>
      </c>
    </row>
    <row r="527">
      <c r="A527" s="5" t="inlineStr">
        <is>
          <t>C0526</t>
        </is>
      </c>
      <c r="B527" s="5" t="inlineStr">
        <is>
          <t>x_0526</t>
        </is>
      </c>
      <c r="C527" s="5" t="n">
        <v>0</v>
      </c>
      <c r="D527" s="5" t="inlineStr">
        <is>
          <t>Landkreistag Rheinland-Pfalz</t>
        </is>
      </c>
      <c r="E527" s="5" t="inlineStr">
        <is>
          <t>Wilhelm Faber GmbH</t>
        </is>
      </c>
      <c r="F527" s="5" t="n">
        <v>63</v>
      </c>
      <c r="G527" s="5" t="n">
        <v>100</v>
      </c>
      <c r="H527" s="5" t="inlineStr">
        <is>
          <t>context_actor</t>
        </is>
      </c>
      <c r="I527" t="inlineStr">
        <is>
          <t>public_policy_anchor</t>
        </is>
      </c>
      <c r="J527" s="5" t="inlineStr">
        <is>
          <t>profit_anchor</t>
        </is>
      </c>
      <c r="K527" t="inlineStr">
        <is>
          <t>construction_planning_anchor</t>
        </is>
      </c>
      <c r="L527" s="5" t="inlineStr">
        <is>
          <t>nachhaltigkeit</t>
        </is>
      </c>
      <c r="M527" s="5" t="inlineStr">
        <is>
          <t>kreislaufwirtschaft_bau_ebv</t>
        </is>
      </c>
      <c r="N527" s="5" t="inlineStr">
        <is>
          <t>Kreislaufwirtschaft, Bau und Ersatzbaustoffverordnung</t>
        </is>
      </c>
      <c r="O527" s="5" t="n">
        <v>5</v>
      </c>
      <c r="P527" s="5" t="n">
        <v>3</v>
      </c>
      <c r="Q527" s="5" t="n">
        <v>12</v>
      </c>
      <c r="R527" s="5" t="n">
        <v>4</v>
      </c>
      <c r="S527" s="5" t="n">
        <v>0</v>
      </c>
      <c r="T527" s="5" t="n">
        <v>0</v>
      </c>
      <c r="U527" s="5" t="n">
        <v>2</v>
      </c>
      <c r="V527" s="5" t="n">
        <v>6</v>
      </c>
      <c r="W527" s="5" t="n">
        <v>6</v>
      </c>
      <c r="X527" s="5" t="n">
        <v>0</v>
      </c>
      <c r="Y527" s="5" t="n">
        <v>0</v>
      </c>
      <c r="Z527" s="5" t="n">
        <v>0</v>
      </c>
      <c r="AA527" s="5" t="n">
        <v>0</v>
      </c>
      <c r="AB527" s="5" t="n">
        <v>25.306251</v>
      </c>
      <c r="AC527" s="5" t="inlineStr">
        <is>
          <t>Wie können Bauwirtschaft, Rohstoffindustrie, Kommunen und Verwaltung Kreislaufwirtschaft praktisch und rechtssicher umsetzen?</t>
        </is>
      </c>
      <c r="AD527" s="5" t="inlineStr">
        <is>
          <t>Kreislaufwirtschaft, Bau und Ersatzbaustoffverordnung: Landkreistag Rheinland-Pfalz (context_actor, 5) + Wilhelm Faber GmbH (profit_anchor, 3).</t>
        </is>
      </c>
      <c r="AE527" s="5" t="inlineStr">
        <is>
          <t>Landkreistag Rheinland-Pfalz | Wilhelm Faber GmbH</t>
        </is>
      </c>
      <c r="AF527" s="5" t="inlineStr">
        <is>
          <t>kreislaufwirtschaft-bau-ebv-landkreistag-rheinland-pfalz-wilhelm-faber-gmbh</t>
        </is>
      </c>
    </row>
    <row r="528">
      <c r="A528" s="5" t="inlineStr">
        <is>
          <t>C0527</t>
        </is>
      </c>
      <c r="B528" s="5" t="inlineStr">
        <is>
          <t>x_0527</t>
        </is>
      </c>
      <c r="C528" s="5" t="n">
        <v>0</v>
      </c>
      <c r="D528" s="5" t="inlineStr">
        <is>
          <t>Städtetag Rheinland-Pfalz</t>
        </is>
      </c>
      <c r="E528" s="5" t="inlineStr">
        <is>
          <t>Wilhelm Faber GmbH</t>
        </is>
      </c>
      <c r="F528" s="5" t="n">
        <v>85</v>
      </c>
      <c r="G528" s="5" t="n">
        <v>100</v>
      </c>
      <c r="H528" s="5" t="inlineStr">
        <is>
          <t>context_actor</t>
        </is>
      </c>
      <c r="I528" t="inlineStr">
        <is>
          <t>public_policy_anchor</t>
        </is>
      </c>
      <c r="J528" s="5" t="inlineStr">
        <is>
          <t>profit_anchor</t>
        </is>
      </c>
      <c r="K528" t="inlineStr">
        <is>
          <t>construction_planning_anchor</t>
        </is>
      </c>
      <c r="L528" s="5" t="inlineStr">
        <is>
          <t>nachhaltigkeit</t>
        </is>
      </c>
      <c r="M528" s="5" t="inlineStr">
        <is>
          <t>kreislaufwirtschaft_bau_ebv</t>
        </is>
      </c>
      <c r="N528" s="5" t="inlineStr">
        <is>
          <t>Kreislaufwirtschaft, Bau und Ersatzbaustoffverordnung</t>
        </is>
      </c>
      <c r="O528" s="5" t="n">
        <v>5</v>
      </c>
      <c r="P528" s="5" t="n">
        <v>3</v>
      </c>
      <c r="Q528" s="5" t="n">
        <v>12</v>
      </c>
      <c r="R528" s="5" t="n">
        <v>4</v>
      </c>
      <c r="S528" s="5" t="n">
        <v>0</v>
      </c>
      <c r="T528" s="5" t="n">
        <v>0</v>
      </c>
      <c r="U528" s="5" t="n">
        <v>2</v>
      </c>
      <c r="V528" s="5" t="n">
        <v>6</v>
      </c>
      <c r="W528" s="5" t="n">
        <v>6</v>
      </c>
      <c r="X528" s="5" t="n">
        <v>0</v>
      </c>
      <c r="Y528" s="5" t="n">
        <v>0</v>
      </c>
      <c r="Z528" s="5" t="n">
        <v>0</v>
      </c>
      <c r="AA528" s="5" t="n">
        <v>0</v>
      </c>
      <c r="AB528" s="5" t="n">
        <v>25.306251</v>
      </c>
      <c r="AC528" s="5" t="inlineStr">
        <is>
          <t>Wie können Bauwirtschaft, Rohstoffindustrie, Kommunen und Verwaltung Kreislaufwirtschaft praktisch und rechtssicher umsetzen?</t>
        </is>
      </c>
      <c r="AD528" s="5" t="inlineStr">
        <is>
          <t>Kreislaufwirtschaft, Bau und Ersatzbaustoffverordnung: Städtetag Rheinland-Pfalz (context_actor, 5) + Wilhelm Faber GmbH (profit_anchor, 3).</t>
        </is>
      </c>
      <c r="AE528" s="5" t="inlineStr">
        <is>
          <t>Städtetag Rheinland-Pfalz | Wilhelm Faber GmbH</t>
        </is>
      </c>
      <c r="AF528" s="5" t="inlineStr">
        <is>
          <t>kreislaufwirtschaft-bau-ebv-städtetag-rheinland-pfalz-wilhelm-faber-gmbh</t>
        </is>
      </c>
    </row>
    <row r="529">
      <c r="A529" s="5" t="inlineStr">
        <is>
          <t>C0528</t>
        </is>
      </c>
      <c r="B529" s="5" t="inlineStr">
        <is>
          <t>x_0528</t>
        </is>
      </c>
      <c r="C529" s="5" t="n">
        <v>0</v>
      </c>
      <c r="D529" s="5" t="inlineStr">
        <is>
          <t>1. FSV Mainz 05 e.V.</t>
        </is>
      </c>
      <c r="E529" s="5" t="inlineStr">
        <is>
          <t>Erster FC Kaiserslautern GmbH &amp; Co. KGaA</t>
        </is>
      </c>
      <c r="F529" s="5" t="n">
        <v>1</v>
      </c>
      <c r="G529" s="5" t="n">
        <v>27</v>
      </c>
      <c r="H529" s="5" t="inlineStr">
        <is>
          <t>context_actor</t>
        </is>
      </c>
      <c r="I529" t="inlineStr">
        <is>
          <t>sports_regional_identity_anchor</t>
        </is>
      </c>
      <c r="J529" s="5" t="inlineStr">
        <is>
          <t>profit_anchor</t>
        </is>
      </c>
      <c r="K529" t="inlineStr">
        <is>
          <t>sports_regional_identity_anchor</t>
        </is>
      </c>
      <c r="L529" s="5" t="inlineStr">
        <is>
          <t>kultur</t>
        </is>
      </c>
      <c r="M529" s="5" t="inlineStr">
        <is>
          <t>kultur_standort_identitaet</t>
        </is>
      </c>
      <c r="N529" s="5" t="inlineStr">
        <is>
          <t>Kultur, Standortidentität und regionale Attraktivität</t>
        </is>
      </c>
      <c r="O529" s="5" t="n">
        <v>4</v>
      </c>
      <c r="P529" s="5" t="n">
        <v>4</v>
      </c>
      <c r="Q529" s="5" t="n">
        <v>12</v>
      </c>
      <c r="R529" s="5" t="n">
        <v>4</v>
      </c>
      <c r="S529" s="5" t="n">
        <v>0</v>
      </c>
      <c r="T529" s="5" t="n">
        <v>0</v>
      </c>
      <c r="U529" s="5" t="n">
        <v>2</v>
      </c>
      <c r="V529" s="5" t="n">
        <v>6</v>
      </c>
      <c r="W529" s="5" t="n">
        <v>6</v>
      </c>
      <c r="X529" s="5" t="n">
        <v>0</v>
      </c>
      <c r="Y529" s="5" t="n">
        <v>0</v>
      </c>
      <c r="Z529" s="5" t="n">
        <v>0</v>
      </c>
      <c r="AA529" s="5" t="n">
        <v>0</v>
      </c>
      <c r="AB529" s="5" t="n">
        <v>46.858072</v>
      </c>
      <c r="AC529" s="5" t="inlineStr">
        <is>
          <t>Wie stärkt Kultur die Attraktivität von Städten, Regionen und Arbeitgeberstandorten?</t>
        </is>
      </c>
      <c r="AD529" s="5" t="inlineStr">
        <is>
          <t>Kultur, Standortidentität und regionale Attraktivität: 1. FSV Mainz 05 e.V. (context_actor, 4) + Erster FC Kaiserslautern GmbH &amp; Co. KGaA (profit_anchor, 4).</t>
        </is>
      </c>
      <c r="AE529" s="5" t="inlineStr">
        <is>
          <t>1. FSV Mainz 05 e.V. | Erster FC Kaiserslautern GmbH &amp; Co. KGaA</t>
        </is>
      </c>
      <c r="AF529" s="5" t="inlineStr">
        <is>
          <t>kultur-standort-identitaet-1-fsv-mainz-05-e-v-erster-fc-kaiserslautern-gmbh-co-kgaa</t>
        </is>
      </c>
    </row>
    <row r="530">
      <c r="A530" s="5" t="inlineStr">
        <is>
          <t>C0529</t>
        </is>
      </c>
      <c r="B530" s="5" t="inlineStr">
        <is>
          <t>x_0529</t>
        </is>
      </c>
      <c r="C530" s="5" t="n">
        <v>0</v>
      </c>
      <c r="D530" s="5" t="inlineStr">
        <is>
          <t>Erster FC Kaiserslautern GmbH &amp; Co. KGaA</t>
        </is>
      </c>
      <c r="E530" s="5" t="inlineStr">
        <is>
          <t>Evangelische Kirche der Pfalz</t>
        </is>
      </c>
      <c r="F530" s="5" t="n">
        <v>27</v>
      </c>
      <c r="G530" s="5" t="n">
        <v>28</v>
      </c>
      <c r="H530" s="5" t="inlineStr">
        <is>
          <t>profit_anchor</t>
        </is>
      </c>
      <c r="I530" t="inlineStr">
        <is>
          <t>sports_regional_identity_anchor</t>
        </is>
      </c>
      <c r="J530" s="5" t="inlineStr">
        <is>
          <t>context_actor</t>
        </is>
      </c>
      <c r="K530" t="inlineStr">
        <is>
          <t>culture_foundation_anchor</t>
        </is>
      </c>
      <c r="L530" s="5" t="inlineStr">
        <is>
          <t>kultur</t>
        </is>
      </c>
      <c r="M530" s="5" t="inlineStr">
        <is>
          <t>kultur_standort_identitaet</t>
        </is>
      </c>
      <c r="N530" s="5" t="inlineStr">
        <is>
          <t>Kultur, Standortidentität und regionale Attraktivität</t>
        </is>
      </c>
      <c r="O530" s="5" t="n">
        <v>4</v>
      </c>
      <c r="P530" s="5" t="n">
        <v>4</v>
      </c>
      <c r="Q530" s="5" t="n">
        <v>12</v>
      </c>
      <c r="R530" s="5" t="n">
        <v>4</v>
      </c>
      <c r="S530" s="5" t="n">
        <v>0</v>
      </c>
      <c r="T530" s="5" t="n">
        <v>0</v>
      </c>
      <c r="U530" s="5" t="n">
        <v>2</v>
      </c>
      <c r="V530" s="5" t="n">
        <v>6</v>
      </c>
      <c r="W530" s="5" t="n">
        <v>6</v>
      </c>
      <c r="X530" s="5" t="n">
        <v>0</v>
      </c>
      <c r="Y530" s="5" t="n">
        <v>0</v>
      </c>
      <c r="Z530" s="5" t="n">
        <v>0</v>
      </c>
      <c r="AA530" s="5" t="n">
        <v>0</v>
      </c>
      <c r="AB530" s="5" t="n">
        <v>42.775372</v>
      </c>
      <c r="AC530" s="5" t="inlineStr">
        <is>
          <t>Wie stärkt Kultur die Attraktivität von Städten, Regionen und Arbeitgeberstandorten?</t>
        </is>
      </c>
      <c r="AD530" s="5" t="inlineStr">
        <is>
          <t>Kultur, Standortidentität und regionale Attraktivität: Erster FC Kaiserslautern GmbH &amp; Co. KGaA (profit_anchor, 4) + Evangelische Kirche der Pfalz (context_actor, 4).</t>
        </is>
      </c>
      <c r="AE530" s="5" t="inlineStr">
        <is>
          <t>Erster FC Kaiserslautern GmbH &amp; Co. KGaA | Evangelische Kirche der Pfalz</t>
        </is>
      </c>
      <c r="AF530" s="5" t="inlineStr">
        <is>
          <t>kultur-standort-identitaet-erster-fc-kaiserslautern-gmbh-co-kgaa-evangelische-kirche-der-pfalz</t>
        </is>
      </c>
    </row>
    <row r="531">
      <c r="A531" s="5" t="inlineStr">
        <is>
          <t>C0530</t>
        </is>
      </c>
      <c r="B531" s="5" t="inlineStr">
        <is>
          <t>x_0530</t>
        </is>
      </c>
      <c r="C531" s="5" t="n">
        <v>0</v>
      </c>
      <c r="D531" s="5" t="inlineStr">
        <is>
          <t>Erster FC Kaiserslautern GmbH &amp; Co. KGaA</t>
        </is>
      </c>
      <c r="E531" s="5" t="inlineStr">
        <is>
          <t>Hochschule für Musik Mainz</t>
        </is>
      </c>
      <c r="F531" s="5" t="n">
        <v>27</v>
      </c>
      <c r="G531" s="5" t="n">
        <v>35</v>
      </c>
      <c r="H531" s="5" t="inlineStr">
        <is>
          <t>profit_anchor</t>
        </is>
      </c>
      <c r="I531" t="inlineStr">
        <is>
          <t>sports_regional_identity_anchor</t>
        </is>
      </c>
      <c r="J531" s="5" t="inlineStr">
        <is>
          <t>academic_support</t>
        </is>
      </c>
      <c r="K531" t="inlineStr">
        <is>
          <t>university_applied_sciences</t>
        </is>
      </c>
      <c r="L531" s="5" t="inlineStr">
        <is>
          <t>kultur</t>
        </is>
      </c>
      <c r="M531" s="5" t="inlineStr">
        <is>
          <t>kultur_standort_identitaet</t>
        </is>
      </c>
      <c r="N531" s="5" t="inlineStr">
        <is>
          <t>Kultur, Standortidentität und regionale Attraktivität</t>
        </is>
      </c>
      <c r="O531" s="5" t="n">
        <v>4</v>
      </c>
      <c r="P531" s="5" t="n">
        <v>4</v>
      </c>
      <c r="Q531" s="5" t="n">
        <v>12</v>
      </c>
      <c r="R531" s="5" t="n">
        <v>4</v>
      </c>
      <c r="S531" s="5" t="n">
        <v>0</v>
      </c>
      <c r="T531" s="5" t="n">
        <v>0</v>
      </c>
      <c r="U531" s="5" t="n">
        <v>2</v>
      </c>
      <c r="V531" s="5" t="n">
        <v>6</v>
      </c>
      <c r="W531" s="5" t="n">
        <v>6</v>
      </c>
      <c r="X531" s="5" t="n">
        <v>0</v>
      </c>
      <c r="Y531" s="5" t="n">
        <v>0</v>
      </c>
      <c r="Z531" s="5" t="n">
        <v>0</v>
      </c>
      <c r="AA531" s="5" t="n">
        <v>0</v>
      </c>
      <c r="AB531" s="5" t="n">
        <v>40.916826</v>
      </c>
      <c r="AC531" s="5" t="inlineStr">
        <is>
          <t>Wie stärkt Kultur die Attraktivität von Städten, Regionen und Arbeitgeberstandorten?</t>
        </is>
      </c>
      <c r="AD531" s="5" t="inlineStr">
        <is>
          <t>Kultur, Standortidentität und regionale Attraktivität: Erster FC Kaiserslautern GmbH &amp; Co. KGaA (profit_anchor, 4) + Hochschule für Musik Mainz (academic_support, 4).</t>
        </is>
      </c>
      <c r="AE531" s="5" t="inlineStr">
        <is>
          <t>Erster FC Kaiserslautern GmbH &amp; Co. KGaA | Hochschule für Musik Mainz</t>
        </is>
      </c>
      <c r="AF531" s="5" t="inlineStr">
        <is>
          <t>kultur-standort-identitaet-erster-fc-kaiserslautern-gmbh-co-kgaa-hochschule-für-musik-mainz</t>
        </is>
      </c>
    </row>
    <row r="532">
      <c r="A532" s="5" t="inlineStr">
        <is>
          <t>C0531</t>
        </is>
      </c>
      <c r="B532" s="5" t="inlineStr">
        <is>
          <t>x_0531</t>
        </is>
      </c>
      <c r="C532" s="5" t="n">
        <v>0</v>
      </c>
      <c r="D532" s="5" t="inlineStr">
        <is>
          <t>Erster FC Kaiserslautern GmbH &amp; Co. KGaA</t>
        </is>
      </c>
      <c r="E532" s="5" t="inlineStr">
        <is>
          <t>RPR1.</t>
        </is>
      </c>
      <c r="F532" s="5" t="n">
        <v>27</v>
      </c>
      <c r="G532" s="5" t="n">
        <v>76</v>
      </c>
      <c r="H532" s="5" t="inlineStr">
        <is>
          <t>profit_anchor</t>
        </is>
      </c>
      <c r="I532" t="inlineStr">
        <is>
          <t>sports_regional_identity_anchor</t>
        </is>
      </c>
      <c r="J532" s="5" t="inlineStr">
        <is>
          <t>context_actor</t>
        </is>
      </c>
      <c r="K532" t="inlineStr">
        <is>
          <t>media_publicity_anchor</t>
        </is>
      </c>
      <c r="L532" s="5" t="inlineStr">
        <is>
          <t>kultur</t>
        </is>
      </c>
      <c r="M532" s="5" t="inlineStr">
        <is>
          <t>kultur_standort_identitaet</t>
        </is>
      </c>
      <c r="N532" s="5" t="inlineStr">
        <is>
          <t>Kultur, Standortidentität und regionale Attraktivität</t>
        </is>
      </c>
      <c r="O532" s="5" t="n">
        <v>4</v>
      </c>
      <c r="P532" s="5" t="n">
        <v>4</v>
      </c>
      <c r="Q532" s="5" t="n">
        <v>12</v>
      </c>
      <c r="R532" s="5" t="n">
        <v>4</v>
      </c>
      <c r="S532" s="5" t="n">
        <v>0</v>
      </c>
      <c r="T532" s="5" t="n">
        <v>0</v>
      </c>
      <c r="U532" s="5" t="n">
        <v>2</v>
      </c>
      <c r="V532" s="5" t="n">
        <v>6</v>
      </c>
      <c r="W532" s="5" t="n">
        <v>6</v>
      </c>
      <c r="X532" s="5" t="n">
        <v>0</v>
      </c>
      <c r="Y532" s="5" t="n">
        <v>0</v>
      </c>
      <c r="Z532" s="5" t="n">
        <v>0</v>
      </c>
      <c r="AA532" s="5" t="n">
        <v>0</v>
      </c>
      <c r="AB532" s="5" t="n">
        <v>42.775372</v>
      </c>
      <c r="AC532" s="5" t="inlineStr">
        <is>
          <t>Wie stärkt Kultur die Attraktivität von Städten, Regionen und Arbeitgeberstandorten?</t>
        </is>
      </c>
      <c r="AD532" s="5" t="inlineStr">
        <is>
          <t>Kultur, Standortidentität und regionale Attraktivität: Erster FC Kaiserslautern GmbH &amp; Co. KGaA (profit_anchor, 4) + RPR1. (context_actor, 4).</t>
        </is>
      </c>
      <c r="AE532" s="5" t="inlineStr">
        <is>
          <t>Erster FC Kaiserslautern GmbH &amp; Co. KGaA | RPR1.</t>
        </is>
      </c>
      <c r="AF532" s="5" t="inlineStr">
        <is>
          <t>kultur-standort-identitaet-erster-fc-kaiserslautern-gmbh-co-kgaa-rpr1</t>
        </is>
      </c>
    </row>
    <row r="533">
      <c r="A533" s="5" t="inlineStr">
        <is>
          <t>C0532</t>
        </is>
      </c>
      <c r="B533" s="5" t="inlineStr">
        <is>
          <t>x_0532</t>
        </is>
      </c>
      <c r="C533" s="5" t="n">
        <v>0</v>
      </c>
      <c r="D533" s="5" t="inlineStr">
        <is>
          <t>LOTTO Rheinland-Pfalz GmbH</t>
        </is>
      </c>
      <c r="E533" s="5" t="inlineStr">
        <is>
          <t>SWR – Südwestrundfunk</t>
        </is>
      </c>
      <c r="F533" s="5" t="n">
        <v>66</v>
      </c>
      <c r="G533" s="5" t="n">
        <v>86</v>
      </c>
      <c r="H533" s="5" t="inlineStr">
        <is>
          <t>profit_anchor</t>
        </is>
      </c>
      <c r="I533" t="inlineStr">
        <is>
          <t>culture_foundation_anchor</t>
        </is>
      </c>
      <c r="J533" s="5" t="inlineStr">
        <is>
          <t>context_actor</t>
        </is>
      </c>
      <c r="K533" t="inlineStr">
        <is>
          <t>media_publicity_anchor</t>
        </is>
      </c>
      <c r="L533" s="5" t="inlineStr">
        <is>
          <t>kultur</t>
        </is>
      </c>
      <c r="M533" s="5" t="inlineStr">
        <is>
          <t>kultur_standort_identitaet</t>
        </is>
      </c>
      <c r="N533" s="5" t="inlineStr">
        <is>
          <t>Kultur, Standortidentität und regionale Attraktivität</t>
        </is>
      </c>
      <c r="O533" s="5" t="n">
        <v>3</v>
      </c>
      <c r="P533" s="5" t="n">
        <v>5</v>
      </c>
      <c r="Q533" s="5" t="n">
        <v>12</v>
      </c>
      <c r="R533" s="5" t="n">
        <v>4</v>
      </c>
      <c r="S533" s="5" t="n">
        <v>0</v>
      </c>
      <c r="T533" s="5" t="n">
        <v>0</v>
      </c>
      <c r="U533" s="5" t="n">
        <v>2</v>
      </c>
      <c r="V533" s="5" t="n">
        <v>6</v>
      </c>
      <c r="W533" s="5" t="n">
        <v>6</v>
      </c>
      <c r="X533" s="5" t="n">
        <v>0</v>
      </c>
      <c r="Y533" s="5" t="n">
        <v>0</v>
      </c>
      <c r="Z533" s="5" t="n">
        <v>0</v>
      </c>
      <c r="AA533" s="5" t="n">
        <v>0</v>
      </c>
      <c r="AB533" s="5" t="n">
        <v>38.259455</v>
      </c>
      <c r="AC533" s="5" t="inlineStr">
        <is>
          <t>Wie stärkt Kultur die Attraktivität von Städten, Regionen und Arbeitgeberstandorten?</t>
        </is>
      </c>
      <c r="AD533" s="5" t="inlineStr">
        <is>
          <t>Kultur, Standortidentität und regionale Attraktivität: LOTTO Rheinland-Pfalz GmbH (profit_anchor, 3) + SWR – Südwestrundfunk (context_actor, 5).</t>
        </is>
      </c>
      <c r="AE533" s="5" t="inlineStr">
        <is>
          <t>LOTTO Rheinland-Pfalz GmbH | SWR – Südwestrundfunk</t>
        </is>
      </c>
      <c r="AF533" s="5" t="inlineStr">
        <is>
          <t>kultur-standort-identitaet-lotto-rheinland-pfalz-gmbh-swr-südwestrundfunk</t>
        </is>
      </c>
    </row>
    <row r="534">
      <c r="A534" s="5" t="inlineStr">
        <is>
          <t>C0533</t>
        </is>
      </c>
      <c r="B534" s="5" t="inlineStr">
        <is>
          <t>x_0533</t>
        </is>
      </c>
      <c r="C534" s="5" t="n">
        <v>0</v>
      </c>
      <c r="D534" s="5" t="inlineStr">
        <is>
          <t>LOTTO Rheinland-Pfalz GmbH</t>
        </is>
      </c>
      <c r="E534" s="5" t="inlineStr">
        <is>
          <t>Städtetag Rheinland-Pfalz</t>
        </is>
      </c>
      <c r="F534" s="5" t="n">
        <v>66</v>
      </c>
      <c r="G534" s="5" t="n">
        <v>85</v>
      </c>
      <c r="H534" s="5" t="inlineStr">
        <is>
          <t>profit_anchor</t>
        </is>
      </c>
      <c r="I534" t="inlineStr">
        <is>
          <t>culture_foundation_anchor</t>
        </is>
      </c>
      <c r="J534" s="5" t="inlineStr">
        <is>
          <t>context_actor</t>
        </is>
      </c>
      <c r="K534" t="inlineStr">
        <is>
          <t>public_policy_anchor</t>
        </is>
      </c>
      <c r="L534" s="5" t="inlineStr">
        <is>
          <t>kultur</t>
        </is>
      </c>
      <c r="M534" s="5" t="inlineStr">
        <is>
          <t>kultur_standort_identitaet</t>
        </is>
      </c>
      <c r="N534" s="5" t="inlineStr">
        <is>
          <t>Kultur, Standortidentität und regionale Attraktivität</t>
        </is>
      </c>
      <c r="O534" s="5" t="n">
        <v>3</v>
      </c>
      <c r="P534" s="5" t="n">
        <v>5</v>
      </c>
      <c r="Q534" s="5" t="n">
        <v>12</v>
      </c>
      <c r="R534" s="5" t="n">
        <v>4</v>
      </c>
      <c r="S534" s="5" t="n">
        <v>0</v>
      </c>
      <c r="T534" s="5" t="n">
        <v>0</v>
      </c>
      <c r="U534" s="5" t="n">
        <v>2</v>
      </c>
      <c r="V534" s="5" t="n">
        <v>6</v>
      </c>
      <c r="W534" s="5" t="n">
        <v>6</v>
      </c>
      <c r="X534" s="5" t="n">
        <v>0</v>
      </c>
      <c r="Y534" s="5" t="n">
        <v>0</v>
      </c>
      <c r="Z534" s="5" t="n">
        <v>0</v>
      </c>
      <c r="AA534" s="5" t="n">
        <v>0</v>
      </c>
      <c r="AB534" s="5" t="n">
        <v>33.13366</v>
      </c>
      <c r="AC534" s="5" t="inlineStr">
        <is>
          <t>Wie stärkt Kultur die Attraktivität von Städten, Regionen und Arbeitgeberstandorten?</t>
        </is>
      </c>
      <c r="AD534" s="5" t="inlineStr">
        <is>
          <t>Kultur, Standortidentität und regionale Attraktivität: LOTTO Rheinland-Pfalz GmbH (profit_anchor, 3) + Städtetag Rheinland-Pfalz (context_actor, 5).</t>
        </is>
      </c>
      <c r="AE534" s="5" t="inlineStr">
        <is>
          <t>LOTTO Rheinland-Pfalz GmbH | Städtetag Rheinland-Pfalz</t>
        </is>
      </c>
      <c r="AF534" s="5" t="inlineStr">
        <is>
          <t>kultur-standort-identitaet-lotto-rheinland-pfalz-gmbh-städtetag-rheinland-pfalz</t>
        </is>
      </c>
    </row>
    <row r="535">
      <c r="A535" s="5" t="inlineStr">
        <is>
          <t>C0534</t>
        </is>
      </c>
      <c r="B535" s="5" t="inlineStr">
        <is>
          <t>x_0534</t>
        </is>
      </c>
      <c r="C535" s="5" t="n">
        <v>0</v>
      </c>
      <c r="D535" s="5" t="inlineStr">
        <is>
          <t>LOTTO Rheinland-Pfalz GmbH</t>
        </is>
      </c>
      <c r="E535" s="5" t="inlineStr">
        <is>
          <t>Villa Musica Rheinland-Pfalz</t>
        </is>
      </c>
      <c r="F535" s="5" t="n">
        <v>66</v>
      </c>
      <c r="G535" s="5" t="n">
        <v>96</v>
      </c>
      <c r="H535" s="5" t="inlineStr">
        <is>
          <t>profit_anchor</t>
        </is>
      </c>
      <c r="I535" t="inlineStr">
        <is>
          <t>culture_foundation_anchor</t>
        </is>
      </c>
      <c r="J535" s="5" t="inlineStr">
        <is>
          <t>context_actor</t>
        </is>
      </c>
      <c r="K535" t="inlineStr">
        <is>
          <t>culture_foundation_anchor</t>
        </is>
      </c>
      <c r="L535" s="5" t="inlineStr">
        <is>
          <t>kultur</t>
        </is>
      </c>
      <c r="M535" s="5" t="inlineStr">
        <is>
          <t>kultur_standort_identitaet</t>
        </is>
      </c>
      <c r="N535" s="5" t="inlineStr">
        <is>
          <t>Kultur, Standortidentität und regionale Attraktivität</t>
        </is>
      </c>
      <c r="O535" s="5" t="n">
        <v>3</v>
      </c>
      <c r="P535" s="5" t="n">
        <v>5</v>
      </c>
      <c r="Q535" s="5" t="n">
        <v>12</v>
      </c>
      <c r="R535" s="5" t="n">
        <v>4</v>
      </c>
      <c r="S535" s="5" t="n">
        <v>0</v>
      </c>
      <c r="T535" s="5" t="n">
        <v>0</v>
      </c>
      <c r="U535" s="5" t="n">
        <v>2</v>
      </c>
      <c r="V535" s="5" t="n">
        <v>6</v>
      </c>
      <c r="W535" s="5" t="n">
        <v>6</v>
      </c>
      <c r="X535" s="5" t="n">
        <v>0</v>
      </c>
      <c r="Y535" s="5" t="n">
        <v>0</v>
      </c>
      <c r="Z535" s="5" t="n">
        <v>0</v>
      </c>
      <c r="AA535" s="5" t="n">
        <v>0</v>
      </c>
      <c r="AB535" s="5" t="n">
        <v>38.259455</v>
      </c>
      <c r="AC535" s="5" t="inlineStr">
        <is>
          <t>Wie stärkt Kultur die Attraktivität von Städten, Regionen und Arbeitgeberstandorten?</t>
        </is>
      </c>
      <c r="AD535" s="5" t="inlineStr">
        <is>
          <t>Kultur, Standortidentität und regionale Attraktivität: LOTTO Rheinland-Pfalz GmbH (profit_anchor, 3) + Villa Musica Rheinland-Pfalz (context_actor, 5).</t>
        </is>
      </c>
      <c r="AE535" s="5" t="inlineStr">
        <is>
          <t>LOTTO Rheinland-Pfalz GmbH | Villa Musica Rheinland-Pfalz</t>
        </is>
      </c>
      <c r="AF535" s="5" t="inlineStr">
        <is>
          <t>kultur-standort-identitaet-lotto-rheinland-pfalz-gmbh-villa-musica-rheinland-pfalz</t>
        </is>
      </c>
    </row>
    <row r="536">
      <c r="A536" s="5" t="inlineStr">
        <is>
          <t>C0535</t>
        </is>
      </c>
      <c r="B536" s="5" t="inlineStr">
        <is>
          <t>x_0535</t>
        </is>
      </c>
      <c r="C536" s="5" t="n">
        <v>0</v>
      </c>
      <c r="D536" s="5" t="inlineStr">
        <is>
          <t>LOTTO Rheinland-Pfalz GmbH</t>
        </is>
      </c>
      <c r="E536" s="5" t="inlineStr">
        <is>
          <t>ZDF – Zweites Deutsches Fernsehen</t>
        </is>
      </c>
      <c r="F536" s="5" t="n">
        <v>66</v>
      </c>
      <c r="G536" s="5" t="n">
        <v>102</v>
      </c>
      <c r="H536" s="5" t="inlineStr">
        <is>
          <t>profit_anchor</t>
        </is>
      </c>
      <c r="I536" t="inlineStr">
        <is>
          <t>culture_foundation_anchor</t>
        </is>
      </c>
      <c r="J536" s="5" t="inlineStr">
        <is>
          <t>context_actor</t>
        </is>
      </c>
      <c r="K536" t="inlineStr">
        <is>
          <t>media_publicity_anchor</t>
        </is>
      </c>
      <c r="L536" s="5" t="inlineStr">
        <is>
          <t>kultur</t>
        </is>
      </c>
      <c r="M536" s="5" t="inlineStr">
        <is>
          <t>kultur_standort_identitaet</t>
        </is>
      </c>
      <c r="N536" s="5" t="inlineStr">
        <is>
          <t>Kultur, Standortidentität und regionale Attraktivität</t>
        </is>
      </c>
      <c r="O536" s="5" t="n">
        <v>3</v>
      </c>
      <c r="P536" s="5" t="n">
        <v>5</v>
      </c>
      <c r="Q536" s="5" t="n">
        <v>12</v>
      </c>
      <c r="R536" s="5" t="n">
        <v>4</v>
      </c>
      <c r="S536" s="5" t="n">
        <v>0</v>
      </c>
      <c r="T536" s="5" t="n">
        <v>0</v>
      </c>
      <c r="U536" s="5" t="n">
        <v>2</v>
      </c>
      <c r="V536" s="5" t="n">
        <v>6</v>
      </c>
      <c r="W536" s="5" t="n">
        <v>6</v>
      </c>
      <c r="X536" s="5" t="n">
        <v>0</v>
      </c>
      <c r="Y536" s="5" t="n">
        <v>0</v>
      </c>
      <c r="Z536" s="5" t="n">
        <v>0</v>
      </c>
      <c r="AA536" s="5" t="n">
        <v>0</v>
      </c>
      <c r="AB536" s="5" t="n">
        <v>38.259455</v>
      </c>
      <c r="AC536" s="5" t="inlineStr">
        <is>
          <t>Wie stärkt Kultur die Attraktivität von Städten, Regionen und Arbeitgeberstandorten?</t>
        </is>
      </c>
      <c r="AD536" s="5" t="inlineStr">
        <is>
          <t>Kultur, Standortidentität und regionale Attraktivität: LOTTO Rheinland-Pfalz GmbH (profit_anchor, 3) + ZDF – Zweites Deutsches Fernsehen (context_actor, 5).</t>
        </is>
      </c>
      <c r="AE536" s="5" t="inlineStr">
        <is>
          <t>LOTTO Rheinland-Pfalz GmbH | ZDF – Zweites Deutsches Fernsehen</t>
        </is>
      </c>
      <c r="AF536" s="5" t="inlineStr">
        <is>
          <t>kultur-standort-identitaet-lotto-rheinland-pfalz-gmbh-zdf-zweites-deutsches-fernsehen</t>
        </is>
      </c>
    </row>
    <row r="537">
      <c r="A537" s="5" t="inlineStr">
        <is>
          <t>C0536</t>
        </is>
      </c>
      <c r="B537" s="5" t="inlineStr">
        <is>
          <t>x_0536</t>
        </is>
      </c>
      <c r="C537" s="5" t="n">
        <v>0</v>
      </c>
      <c r="D537" s="5" t="inlineStr">
        <is>
          <t>Hochschule für Musik Mainz</t>
        </is>
      </c>
      <c r="E537" s="5" t="inlineStr">
        <is>
          <t>LOTTO Rheinland-Pfalz GmbH</t>
        </is>
      </c>
      <c r="F537" s="5" t="n">
        <v>35</v>
      </c>
      <c r="G537" s="5" t="n">
        <v>66</v>
      </c>
      <c r="H537" s="5" t="inlineStr">
        <is>
          <t>academic_support</t>
        </is>
      </c>
      <c r="I537" t="inlineStr">
        <is>
          <t>university_applied_sciences</t>
        </is>
      </c>
      <c r="J537" s="5" t="inlineStr">
        <is>
          <t>profit_anchor</t>
        </is>
      </c>
      <c r="K537" t="inlineStr">
        <is>
          <t>culture_foundation_anchor</t>
        </is>
      </c>
      <c r="L537" s="5" t="inlineStr">
        <is>
          <t>kultur</t>
        </is>
      </c>
      <c r="M537" s="5" t="inlineStr">
        <is>
          <t>musikstipendium_talentfoerderung</t>
        </is>
      </c>
      <c r="N537" s="5" t="inlineStr">
        <is>
          <t>Talentförderung, Musik und Nachwuchs</t>
        </is>
      </c>
      <c r="O537" s="5" t="n">
        <v>5</v>
      </c>
      <c r="P537" s="5" t="n">
        <v>3</v>
      </c>
      <c r="Q537" s="5" t="n">
        <v>12</v>
      </c>
      <c r="R537" s="5" t="n">
        <v>4</v>
      </c>
      <c r="S537" s="5" t="n">
        <v>0</v>
      </c>
      <c r="T537" s="5" t="n">
        <v>0</v>
      </c>
      <c r="U537" s="5" t="n">
        <v>2</v>
      </c>
      <c r="V537" s="5" t="n">
        <v>6</v>
      </c>
      <c r="W537" s="5" t="n">
        <v>6</v>
      </c>
      <c r="X537" s="5" t="n">
        <v>0</v>
      </c>
      <c r="Y537" s="5" t="n">
        <v>0</v>
      </c>
      <c r="Z537" s="5" t="n">
        <v>0</v>
      </c>
      <c r="AA537" s="5" t="n">
        <v>0</v>
      </c>
      <c r="AB537" s="5" t="n">
        <v>34.669586</v>
      </c>
      <c r="AC537" s="5" t="inlineStr">
        <is>
          <t>Wie lassen sich kulturelle Talentförderung, Bildung und regionale Sichtbarkeit verbinden?</t>
        </is>
      </c>
      <c r="AD537" s="5" t="inlineStr">
        <is>
          <t>Talentförderung, Musik und Nachwuchs: Hochschule für Musik Mainz (academic_support, 5) + LOTTO Rheinland-Pfalz GmbH (profit_anchor, 3).</t>
        </is>
      </c>
      <c r="AE537" s="5" t="inlineStr">
        <is>
          <t>Hochschule für Musik Mainz | LOTTO Rheinland-Pfalz GmbH</t>
        </is>
      </c>
      <c r="AF537" s="5" t="inlineStr">
        <is>
          <t>musikstipendium-talentfoerderung-hochschule-für-musik-mainz-lotto-rheinland-pfalz-gmbh</t>
        </is>
      </c>
    </row>
    <row r="538">
      <c r="A538" s="5" t="inlineStr">
        <is>
          <t>C0537</t>
        </is>
      </c>
      <c r="B538" s="5" t="inlineStr">
        <is>
          <t>x_0537</t>
        </is>
      </c>
      <c r="C538" s="5" t="n">
        <v>0</v>
      </c>
      <c r="D538" s="5" t="inlineStr">
        <is>
          <t>Hochschule für Musik Mainz</t>
        </is>
      </c>
      <c r="E538" s="5" t="inlineStr">
        <is>
          <t>Villa Musica Rheinland-Pfalz</t>
        </is>
      </c>
      <c r="F538" s="5" t="n">
        <v>35</v>
      </c>
      <c r="G538" s="5" t="n">
        <v>96</v>
      </c>
      <c r="H538" s="5" t="inlineStr">
        <is>
          <t>academic_support</t>
        </is>
      </c>
      <c r="I538" t="inlineStr">
        <is>
          <t>university_applied_sciences</t>
        </is>
      </c>
      <c r="J538" s="5" t="inlineStr">
        <is>
          <t>context_actor</t>
        </is>
      </c>
      <c r="K538" t="inlineStr">
        <is>
          <t>culture_foundation_anchor</t>
        </is>
      </c>
      <c r="L538" s="5" t="inlineStr">
        <is>
          <t>kultur</t>
        </is>
      </c>
      <c r="M538" s="5" t="inlineStr">
        <is>
          <t>musikstipendium_talentfoerderung</t>
        </is>
      </c>
      <c r="N538" s="5" t="inlineStr">
        <is>
          <t>Talentförderung, Musik und Nachwuchs</t>
        </is>
      </c>
      <c r="O538" s="5" t="n">
        <v>5</v>
      </c>
      <c r="P538" s="5" t="n">
        <v>5</v>
      </c>
      <c r="Q538" s="5" t="n">
        <v>14</v>
      </c>
      <c r="R538" s="5" t="n">
        <v>4</v>
      </c>
      <c r="S538" s="5" t="n">
        <v>0</v>
      </c>
      <c r="T538" s="5" t="n">
        <v>0</v>
      </c>
      <c r="U538" s="5" t="n">
        <v>2</v>
      </c>
      <c r="V538" s="5" t="n">
        <v>5</v>
      </c>
      <c r="W538" s="5" t="n">
        <v>5</v>
      </c>
      <c r="X538" s="5" t="n">
        <v>0</v>
      </c>
      <c r="Y538" s="5" t="n">
        <v>0</v>
      </c>
      <c r="Z538" s="5" t="n">
        <v>0</v>
      </c>
      <c r="AA538" s="5" t="n">
        <v>0</v>
      </c>
      <c r="AB538" s="5" t="n">
        <v>38.569939</v>
      </c>
      <c r="AC538" s="5" t="inlineStr">
        <is>
          <t>Wie lassen sich kulturelle Talentförderung, Bildung und regionale Sichtbarkeit verbinden?</t>
        </is>
      </c>
      <c r="AD538" s="5" t="inlineStr">
        <is>
          <t>Talentförderung, Musik und Nachwuchs: Hochschule für Musik Mainz (academic_support, 5) + Villa Musica Rheinland-Pfalz (context_actor, 5).</t>
        </is>
      </c>
      <c r="AE538" s="5" t="inlineStr">
        <is>
          <t>Hochschule für Musik Mainz | Villa Musica Rheinland-Pfalz</t>
        </is>
      </c>
      <c r="AF538" s="5" t="inlineStr">
        <is>
          <t>musikstipendium-talentfoerderung-hochschule-für-musik-mainz-villa-musica-rheinland-pfalz</t>
        </is>
      </c>
    </row>
    <row r="539">
      <c r="A539" s="5" t="inlineStr">
        <is>
          <t>C0538</t>
        </is>
      </c>
      <c r="B539" s="5" t="inlineStr">
        <is>
          <t>x_0538</t>
        </is>
      </c>
      <c r="C539" s="5" t="n">
        <v>0</v>
      </c>
      <c r="D539" s="5" t="inlineStr">
        <is>
          <t>LOTTO Rheinland-Pfalz GmbH</t>
        </is>
      </c>
      <c r="E539" s="5" t="inlineStr">
        <is>
          <t>Villa Musica Rheinland-Pfalz</t>
        </is>
      </c>
      <c r="F539" s="5" t="n">
        <v>66</v>
      </c>
      <c r="G539" s="5" t="n">
        <v>96</v>
      </c>
      <c r="H539" s="5" t="inlineStr">
        <is>
          <t>profit_anchor</t>
        </is>
      </c>
      <c r="I539" t="inlineStr">
        <is>
          <t>culture_foundation_anchor</t>
        </is>
      </c>
      <c r="J539" s="5" t="inlineStr">
        <is>
          <t>context_actor</t>
        </is>
      </c>
      <c r="K539" t="inlineStr">
        <is>
          <t>culture_foundation_anchor</t>
        </is>
      </c>
      <c r="L539" s="5" t="inlineStr">
        <is>
          <t>kultur</t>
        </is>
      </c>
      <c r="M539" s="5" t="inlineStr">
        <is>
          <t>musikstipendium_talentfoerderung</t>
        </is>
      </c>
      <c r="N539" s="5" t="inlineStr">
        <is>
          <t>Talentförderung, Musik und Nachwuchs</t>
        </is>
      </c>
      <c r="O539" s="5" t="n">
        <v>3</v>
      </c>
      <c r="P539" s="5" t="n">
        <v>5</v>
      </c>
      <c r="Q539" s="5" t="n">
        <v>12</v>
      </c>
      <c r="R539" s="5" t="n">
        <v>4</v>
      </c>
      <c r="S539" s="5" t="n">
        <v>0</v>
      </c>
      <c r="T539" s="5" t="n">
        <v>0</v>
      </c>
      <c r="U539" s="5" t="n">
        <v>2</v>
      </c>
      <c r="V539" s="5" t="n">
        <v>6</v>
      </c>
      <c r="W539" s="5" t="n">
        <v>6</v>
      </c>
      <c r="X539" s="5" t="n">
        <v>0</v>
      </c>
      <c r="Y539" s="5" t="n">
        <v>0</v>
      </c>
      <c r="Z539" s="5" t="n">
        <v>0</v>
      </c>
      <c r="AA539" s="5" t="n">
        <v>0</v>
      </c>
      <c r="AB539" s="5" t="n">
        <v>38.259455</v>
      </c>
      <c r="AC539" s="5" t="inlineStr">
        <is>
          <t>Wie lassen sich kulturelle Talentförderung, Bildung und regionale Sichtbarkeit verbinden?</t>
        </is>
      </c>
      <c r="AD539" s="5" t="inlineStr">
        <is>
          <t>Talentförderung, Musik und Nachwuchs: LOTTO Rheinland-Pfalz GmbH (profit_anchor, 3) + Villa Musica Rheinland-Pfalz (context_actor, 5).</t>
        </is>
      </c>
      <c r="AE539" s="5" t="inlineStr">
        <is>
          <t>LOTTO Rheinland-Pfalz GmbH | Villa Musica Rheinland-Pfalz</t>
        </is>
      </c>
      <c r="AF539" s="5" t="inlineStr">
        <is>
          <t>musikstipendium-talentfoerderung-lotto-rheinland-pfalz-gmbh-villa-musica-rheinland-pfalz</t>
        </is>
      </c>
    </row>
    <row r="540">
      <c r="A540" s="5" t="inlineStr">
        <is>
          <t>C0539</t>
        </is>
      </c>
      <c r="B540" s="5" t="inlineStr">
        <is>
          <t>x_0539</t>
        </is>
      </c>
      <c r="C540" s="5" t="n">
        <v>0</v>
      </c>
      <c r="D540" s="5" t="inlineStr">
        <is>
          <t>1. FSV Mainz 05 e.V.</t>
        </is>
      </c>
      <c r="E540" s="5" t="inlineStr">
        <is>
          <t>GLOBUS Markthallen Holding GmbH &amp; Co. KG</t>
        </is>
      </c>
      <c r="F540" s="5" t="n">
        <v>1</v>
      </c>
      <c r="G540" s="5" t="n">
        <v>31</v>
      </c>
      <c r="H540" s="5" t="inlineStr">
        <is>
          <t>context_actor</t>
        </is>
      </c>
      <c r="I540" t="inlineStr">
        <is>
          <t>sports_regional_identity_anchor</t>
        </is>
      </c>
      <c r="J540" s="5" t="inlineStr">
        <is>
          <t>profit_anchor</t>
        </is>
      </c>
      <c r="K540" t="inlineStr">
        <is>
          <t>food_beverage_consumer_anchor</t>
        </is>
      </c>
      <c r="L540" s="5" t="inlineStr">
        <is>
          <t>gesellschaft</t>
        </is>
      </c>
      <c r="M540" s="5" t="inlineStr">
        <is>
          <t>sport_region_identifikation</t>
        </is>
      </c>
      <c r="N540" s="5" t="inlineStr">
        <is>
          <t>Sport, Region und gesellschaftliche Identifikation</t>
        </is>
      </c>
      <c r="O540" s="5" t="n">
        <v>5</v>
      </c>
      <c r="P540" s="5" t="n">
        <v>3</v>
      </c>
      <c r="Q540" s="5" t="n">
        <v>12</v>
      </c>
      <c r="R540" s="5" t="n">
        <v>4</v>
      </c>
      <c r="S540" s="5" t="n">
        <v>0</v>
      </c>
      <c r="T540" s="5" t="n">
        <v>0</v>
      </c>
      <c r="U540" s="5" t="n">
        <v>2</v>
      </c>
      <c r="V540" s="5" t="n">
        <v>6</v>
      </c>
      <c r="W540" s="5" t="n">
        <v>6</v>
      </c>
      <c r="X540" s="5" t="n">
        <v>0</v>
      </c>
      <c r="Y540" s="5" t="n">
        <v>0</v>
      </c>
      <c r="Z540" s="5" t="n">
        <v>0</v>
      </c>
      <c r="AA540" s="5" t="n">
        <v>0</v>
      </c>
      <c r="AB540" s="5" t="n">
        <v>39.204276</v>
      </c>
      <c r="AC540" s="5" t="inlineStr">
        <is>
          <t>Wie können Sportvereine als regionale Plattformen für Bildung, Teilhabe, Gesundheit oder Standortbindung wirken?</t>
        </is>
      </c>
      <c r="AD540" s="5" t="inlineStr">
        <is>
          <t>Sport, Region und gesellschaftliche Identifikation: 1. FSV Mainz 05 e.V. (context_actor, 5) + GLOBUS Markthallen Holding GmbH &amp; Co. KG (profit_anchor, 3).</t>
        </is>
      </c>
      <c r="AE540" s="5" t="inlineStr">
        <is>
          <t>1. FSV Mainz 05 e.V. | GLOBUS Markthallen Holding GmbH &amp; Co. KG</t>
        </is>
      </c>
      <c r="AF540" s="5" t="inlineStr">
        <is>
          <t>sport-region-identifikation-1-fsv-mainz-05-e-v-globus-markthallen-holding-gmbh-co-kg</t>
        </is>
      </c>
    </row>
    <row r="541">
      <c r="A541" s="5" t="inlineStr">
        <is>
          <t>C0540</t>
        </is>
      </c>
      <c r="B541" s="5" t="inlineStr">
        <is>
          <t>x_0540</t>
        </is>
      </c>
      <c r="C541" s="5" t="n">
        <v>0</v>
      </c>
      <c r="D541" s="5" t="inlineStr">
        <is>
          <t>AOK Rheinland-Pfalz/Saarland</t>
        </is>
      </c>
      <c r="E541" s="5" t="inlineStr">
        <is>
          <t>LOTTO Rheinland-Pfalz GmbH</t>
        </is>
      </c>
      <c r="F541" s="5" t="n">
        <v>2</v>
      </c>
      <c r="G541" s="5" t="n">
        <v>66</v>
      </c>
      <c r="H541" s="5" t="inlineStr">
        <is>
          <t>context_actor</t>
        </is>
      </c>
      <c r="I541" t="inlineStr">
        <is>
          <t>health_social_anchor</t>
        </is>
      </c>
      <c r="J541" s="5" t="inlineStr">
        <is>
          <t>profit_anchor</t>
        </is>
      </c>
      <c r="K541" t="inlineStr">
        <is>
          <t>culture_foundation_anchor</t>
        </is>
      </c>
      <c r="L541" s="5" t="inlineStr">
        <is>
          <t>gesellschaft</t>
        </is>
      </c>
      <c r="M541" s="5" t="inlineStr">
        <is>
          <t>sport_region_identifikation</t>
        </is>
      </c>
      <c r="N541" s="5" t="inlineStr">
        <is>
          <t>Sport, Region und gesellschaftliche Identifikation</t>
        </is>
      </c>
      <c r="O541" s="5" t="n">
        <v>4</v>
      </c>
      <c r="P541" s="5" t="n">
        <v>4</v>
      </c>
      <c r="Q541" s="5" t="n">
        <v>12</v>
      </c>
      <c r="R541" s="5" t="n">
        <v>4</v>
      </c>
      <c r="S541" s="5" t="n">
        <v>0</v>
      </c>
      <c r="T541" s="5" t="n">
        <v>0</v>
      </c>
      <c r="U541" s="5" t="n">
        <v>2</v>
      </c>
      <c r="V541" s="5" t="n">
        <v>6</v>
      </c>
      <c r="W541" s="5" t="n">
        <v>6</v>
      </c>
      <c r="X541" s="5" t="n">
        <v>0</v>
      </c>
      <c r="Y541" s="5" t="n">
        <v>0</v>
      </c>
      <c r="Z541" s="5" t="n">
        <v>0</v>
      </c>
      <c r="AA541" s="5" t="n">
        <v>0</v>
      </c>
      <c r="AB541" s="5" t="n">
        <v>30.246755</v>
      </c>
      <c r="AC541" s="5" t="inlineStr">
        <is>
          <t>Wie können Sportvereine als regionale Plattformen für Bildung, Teilhabe, Gesundheit oder Standortbindung wirken?</t>
        </is>
      </c>
      <c r="AD541" s="5" t="inlineStr">
        <is>
          <t>Sport, Region und gesellschaftliche Identifikation: AOK Rheinland-Pfalz/Saarland (context_actor, 4) + LOTTO Rheinland-Pfalz GmbH (profit_anchor, 4).</t>
        </is>
      </c>
      <c r="AE541" s="5" t="inlineStr">
        <is>
          <t>AOK Rheinland-Pfalz/Saarland | LOTTO Rheinland-Pfalz GmbH</t>
        </is>
      </c>
      <c r="AF541" s="5" t="inlineStr">
        <is>
          <t>sport-region-identifikation-aok-rheinland-pfalz-saarland-lotto-rheinland-pfalz-gmbh</t>
        </is>
      </c>
    </row>
    <row r="542">
      <c r="A542" s="5" t="inlineStr">
        <is>
          <t>C0541</t>
        </is>
      </c>
      <c r="B542" s="5" t="inlineStr">
        <is>
          <t>x_0541</t>
        </is>
      </c>
      <c r="C542" s="5" t="n">
        <v>0</v>
      </c>
      <c r="D542" s="5" t="inlineStr">
        <is>
          <t>IKK Südwest</t>
        </is>
      </c>
      <c r="E542" s="5" t="inlineStr">
        <is>
          <t>LOTTO Rheinland-Pfalz GmbH</t>
        </is>
      </c>
      <c r="F542" s="5" t="n">
        <v>42</v>
      </c>
      <c r="G542" s="5" t="n">
        <v>66</v>
      </c>
      <c r="H542" s="5" t="inlineStr">
        <is>
          <t>context_actor</t>
        </is>
      </c>
      <c r="I542" t="inlineStr">
        <is>
          <t>health_social_anchor</t>
        </is>
      </c>
      <c r="J542" s="5" t="inlineStr">
        <is>
          <t>profit_anchor</t>
        </is>
      </c>
      <c r="K542" t="inlineStr">
        <is>
          <t>culture_foundation_anchor</t>
        </is>
      </c>
      <c r="L542" s="5" t="inlineStr">
        <is>
          <t>gesellschaft</t>
        </is>
      </c>
      <c r="M542" s="5" t="inlineStr">
        <is>
          <t>sport_region_identifikation</t>
        </is>
      </c>
      <c r="N542" s="5" t="inlineStr">
        <is>
          <t>Sport, Region und gesellschaftliche Identifikation</t>
        </is>
      </c>
      <c r="O542" s="5" t="n">
        <v>4</v>
      </c>
      <c r="P542" s="5" t="n">
        <v>4</v>
      </c>
      <c r="Q542" s="5" t="n">
        <v>12</v>
      </c>
      <c r="R542" s="5" t="n">
        <v>4</v>
      </c>
      <c r="S542" s="5" t="n">
        <v>0</v>
      </c>
      <c r="T542" s="5" t="n">
        <v>0</v>
      </c>
      <c r="U542" s="5" t="n">
        <v>2</v>
      </c>
      <c r="V542" s="5" t="n">
        <v>6</v>
      </c>
      <c r="W542" s="5" t="n">
        <v>6</v>
      </c>
      <c r="X542" s="5" t="n">
        <v>0</v>
      </c>
      <c r="Y542" s="5" t="n">
        <v>0</v>
      </c>
      <c r="Z542" s="5" t="n">
        <v>0</v>
      </c>
      <c r="AA542" s="5" t="n">
        <v>0</v>
      </c>
      <c r="AB542" s="5" t="n">
        <v>30.246755</v>
      </c>
      <c r="AC542" s="5" t="inlineStr">
        <is>
          <t>Wie können Sportvereine als regionale Plattformen für Bildung, Teilhabe, Gesundheit oder Standortbindung wirken?</t>
        </is>
      </c>
      <c r="AD542" s="5" t="inlineStr">
        <is>
          <t>Sport, Region und gesellschaftliche Identifikation: IKK Südwest (context_actor, 4) + LOTTO Rheinland-Pfalz GmbH (profit_anchor, 4).</t>
        </is>
      </c>
      <c r="AE542" s="5" t="inlineStr">
        <is>
          <t>IKK Südwest | LOTTO Rheinland-Pfalz GmbH</t>
        </is>
      </c>
      <c r="AF542" s="5" t="inlineStr">
        <is>
          <t>sport-region-identifikation-ikk-südwest-lotto-rheinland-pfalz-gmbh</t>
        </is>
      </c>
    </row>
    <row r="543">
      <c r="A543" s="5" t="inlineStr">
        <is>
          <t>C0542</t>
        </is>
      </c>
      <c r="B543" s="5" t="inlineStr">
        <is>
          <t>x_0542</t>
        </is>
      </c>
      <c r="C543" s="5" t="n">
        <v>0</v>
      </c>
      <c r="D543" s="5" t="inlineStr">
        <is>
          <t>LOTTO Rheinland-Pfalz GmbH</t>
        </is>
      </c>
      <c r="E543" s="5" t="inlineStr">
        <is>
          <t>RPR1.</t>
        </is>
      </c>
      <c r="F543" s="5" t="n">
        <v>66</v>
      </c>
      <c r="G543" s="5" t="n">
        <v>76</v>
      </c>
      <c r="H543" s="5" t="inlineStr">
        <is>
          <t>profit_anchor</t>
        </is>
      </c>
      <c r="I543" t="inlineStr">
        <is>
          <t>culture_foundation_anchor</t>
        </is>
      </c>
      <c r="J543" s="5" t="inlineStr">
        <is>
          <t>context_actor</t>
        </is>
      </c>
      <c r="K543" t="inlineStr">
        <is>
          <t>media_publicity_anchor</t>
        </is>
      </c>
      <c r="L543" s="5" t="inlineStr">
        <is>
          <t>gesellschaft</t>
        </is>
      </c>
      <c r="M543" s="5" t="inlineStr">
        <is>
          <t>sport_region_identifikation</t>
        </is>
      </c>
      <c r="N543" s="5" t="inlineStr">
        <is>
          <t>Sport, Region und gesellschaftliche Identifikation</t>
        </is>
      </c>
      <c r="O543" s="5" t="n">
        <v>4</v>
      </c>
      <c r="P543" s="5" t="n">
        <v>4</v>
      </c>
      <c r="Q543" s="5" t="n">
        <v>12</v>
      </c>
      <c r="R543" s="5" t="n">
        <v>4</v>
      </c>
      <c r="S543" s="5" t="n">
        <v>0</v>
      </c>
      <c r="T543" s="5" t="n">
        <v>0</v>
      </c>
      <c r="U543" s="5" t="n">
        <v>2</v>
      </c>
      <c r="V543" s="5" t="n">
        <v>6</v>
      </c>
      <c r="W543" s="5" t="n">
        <v>6</v>
      </c>
      <c r="X543" s="5" t="n">
        <v>0</v>
      </c>
      <c r="Y543" s="5" t="n">
        <v>0</v>
      </c>
      <c r="Z543" s="5" t="n">
        <v>0</v>
      </c>
      <c r="AA543" s="5" t="n">
        <v>0</v>
      </c>
      <c r="AB543" s="5" t="n">
        <v>38.259455</v>
      </c>
      <c r="AC543" s="5" t="inlineStr">
        <is>
          <t>Wie können Sportvereine als regionale Plattformen für Bildung, Teilhabe, Gesundheit oder Standortbindung wirken?</t>
        </is>
      </c>
      <c r="AD543" s="5" t="inlineStr">
        <is>
          <t>Sport, Region und gesellschaftliche Identifikation: LOTTO Rheinland-Pfalz GmbH (profit_anchor, 4) + RPR1. (context_actor, 4).</t>
        </is>
      </c>
      <c r="AE543" s="5" t="inlineStr">
        <is>
          <t>LOTTO Rheinland-Pfalz GmbH | RPR1.</t>
        </is>
      </c>
      <c r="AF543" s="5" t="inlineStr">
        <is>
          <t>sport-region-identifikation-lotto-rheinland-pfalz-gmbh-rpr1</t>
        </is>
      </c>
    </row>
    <row r="544">
      <c r="A544" s="5" t="inlineStr">
        <is>
          <t>C0543</t>
        </is>
      </c>
      <c r="B544" s="5" t="inlineStr">
        <is>
          <t>x_0543</t>
        </is>
      </c>
      <c r="C544" s="5" t="n">
        <v>0</v>
      </c>
      <c r="D544" s="5" t="inlineStr">
        <is>
          <t>LOTTO Rheinland-Pfalz GmbH</t>
        </is>
      </c>
      <c r="E544" s="5" t="inlineStr">
        <is>
          <t>Techniker Krankenkasse</t>
        </is>
      </c>
      <c r="F544" s="5" t="n">
        <v>66</v>
      </c>
      <c r="G544" s="5" t="n">
        <v>87</v>
      </c>
      <c r="H544" s="5" t="inlineStr">
        <is>
          <t>profit_anchor</t>
        </is>
      </c>
      <c r="I544" t="inlineStr">
        <is>
          <t>culture_foundation_anchor</t>
        </is>
      </c>
      <c r="J544" s="5" t="inlineStr">
        <is>
          <t>context_actor</t>
        </is>
      </c>
      <c r="K544" t="inlineStr">
        <is>
          <t>health_social_anchor</t>
        </is>
      </c>
      <c r="L544" s="5" t="inlineStr">
        <is>
          <t>gesellschaft</t>
        </is>
      </c>
      <c r="M544" s="5" t="inlineStr">
        <is>
          <t>sport_region_identifikation</t>
        </is>
      </c>
      <c r="N544" s="5" t="inlineStr">
        <is>
          <t>Sport, Region und gesellschaftliche Identifikation</t>
        </is>
      </c>
      <c r="O544" s="5" t="n">
        <v>4</v>
      </c>
      <c r="P544" s="5" t="n">
        <v>4</v>
      </c>
      <c r="Q544" s="5" t="n">
        <v>12</v>
      </c>
      <c r="R544" s="5" t="n">
        <v>4</v>
      </c>
      <c r="S544" s="5" t="n">
        <v>0</v>
      </c>
      <c r="T544" s="5" t="n">
        <v>0</v>
      </c>
      <c r="U544" s="5" t="n">
        <v>2</v>
      </c>
      <c r="V544" s="5" t="n">
        <v>6</v>
      </c>
      <c r="W544" s="5" t="n">
        <v>6</v>
      </c>
      <c r="X544" s="5" t="n">
        <v>0</v>
      </c>
      <c r="Y544" s="5" t="n">
        <v>0</v>
      </c>
      <c r="Z544" s="5" t="n">
        <v>0</v>
      </c>
      <c r="AA544" s="5" t="n">
        <v>0</v>
      </c>
      <c r="AB544" s="5" t="n">
        <v>30.246755</v>
      </c>
      <c r="AC544" s="5" t="inlineStr">
        <is>
          <t>Wie können Sportvereine als regionale Plattformen für Bildung, Teilhabe, Gesundheit oder Standortbindung wirken?</t>
        </is>
      </c>
      <c r="AD544" s="5" t="inlineStr">
        <is>
          <t>Sport, Region und gesellschaftliche Identifikation: LOTTO Rheinland-Pfalz GmbH (profit_anchor, 4) + Techniker Krankenkasse (context_actor, 4).</t>
        </is>
      </c>
      <c r="AE544" s="5" t="inlineStr">
        <is>
          <t>LOTTO Rheinland-Pfalz GmbH | Techniker Krankenkasse</t>
        </is>
      </c>
      <c r="AF544" s="5" t="inlineStr">
        <is>
          <t>sport-region-identifikation-lotto-rheinland-pfalz-gmbh-techniker-krankenkasse</t>
        </is>
      </c>
    </row>
    <row r="545">
      <c r="A545" s="5" t="inlineStr">
        <is>
          <t>C0544</t>
        </is>
      </c>
      <c r="B545" s="5" t="inlineStr">
        <is>
          <t>x_0544</t>
        </is>
      </c>
      <c r="C545" s="5" t="n">
        <v>0</v>
      </c>
      <c r="D545" s="5" t="inlineStr">
        <is>
          <t>Bitburger Braugruppe GmbH</t>
        </is>
      </c>
      <c r="E545" s="5" t="inlineStr">
        <is>
          <t>WHU – Otto Beisheim School of Management</t>
        </is>
      </c>
      <c r="F545" s="5" t="n">
        <v>10</v>
      </c>
      <c r="G545" s="5" t="n">
        <v>99</v>
      </c>
      <c r="H545" s="5" t="inlineStr">
        <is>
          <t>profit_anchor</t>
        </is>
      </c>
      <c r="I545" t="inlineStr">
        <is>
          <t>food_beverage_consumer_anchor</t>
        </is>
      </c>
      <c r="J545" s="5" t="inlineStr">
        <is>
          <t>academic_support</t>
        </is>
      </c>
      <c r="K545" t="inlineStr">
        <is>
          <t>university_research</t>
        </is>
      </c>
      <c r="L545" s="5" t="inlineStr">
        <is>
          <t>wirtschaft</t>
        </is>
      </c>
      <c r="M545" s="5" t="inlineStr">
        <is>
          <t>standort_investition_transformation</t>
        </is>
      </c>
      <c r="N545" s="5" t="inlineStr">
        <is>
          <t>Standort, Investition und industrielle Transformation</t>
        </is>
      </c>
      <c r="O545" s="5" t="n">
        <v>4</v>
      </c>
      <c r="P545" s="5" t="n">
        <v>4</v>
      </c>
      <c r="Q545" s="5" t="n">
        <v>12</v>
      </c>
      <c r="R545" s="5" t="n">
        <v>4</v>
      </c>
      <c r="S545" s="5" t="n">
        <v>0</v>
      </c>
      <c r="T545" s="5" t="n">
        <v>0</v>
      </c>
      <c r="U545" s="5" t="n">
        <v>2</v>
      </c>
      <c r="V545" s="5" t="n">
        <v>6</v>
      </c>
      <c r="W545" s="5" t="n">
        <v>6</v>
      </c>
      <c r="X545" s="5" t="n">
        <v>0</v>
      </c>
      <c r="Y545" s="5" t="n">
        <v>0</v>
      </c>
      <c r="Z545" s="5" t="n">
        <v>0</v>
      </c>
      <c r="AA545" s="5" t="n">
        <v>0</v>
      </c>
      <c r="AB545" s="5" t="n">
        <v>31.16723</v>
      </c>
      <c r="AC545" s="5" t="inlineStr">
        <is>
          <t>Welche Standortbedingungen entscheiden darüber, ob Unternehmen in Rheinland-Pfalz investieren, modernisieren oder verlagern?</t>
        </is>
      </c>
      <c r="AD545" s="5" t="inlineStr">
        <is>
          <t>Standort, Investition und industrielle Transformation: Bitburger Braugruppe GmbH (profit_anchor, 4) + WHU – Otto Beisheim School of Management (academic_support, 4).</t>
        </is>
      </c>
      <c r="AE545" s="5" t="inlineStr">
        <is>
          <t>Bitburger Braugruppe GmbH | WHU – Otto Beisheim School of Management</t>
        </is>
      </c>
      <c r="AF545" s="5" t="inlineStr">
        <is>
          <t>standort-investition-transformation-bitburger-braugruppe-gmbh-whu-otto-beisheim-school-of-manag</t>
        </is>
      </c>
    </row>
    <row r="546">
      <c r="A546" s="5" t="inlineStr">
        <is>
          <t>C0545</t>
        </is>
      </c>
      <c r="B546" s="5" t="inlineStr">
        <is>
          <t>x_0545</t>
        </is>
      </c>
      <c r="C546" s="5" t="n">
        <v>0</v>
      </c>
      <c r="D546" s="5" t="inlineStr">
        <is>
          <t>Continental Automotive Technologies GmbH, Safety and Motion (SAM), Standort Rheinböllen</t>
        </is>
      </c>
      <c r="E546" s="5" t="inlineStr">
        <is>
          <t>WHU – Otto Beisheim School of Management</t>
        </is>
      </c>
      <c r="F546" s="5" t="n">
        <v>15</v>
      </c>
      <c r="G546" s="5" t="n">
        <v>99</v>
      </c>
      <c r="H546" s="5" t="inlineStr">
        <is>
          <t>profit_anchor</t>
        </is>
      </c>
      <c r="I546" t="inlineStr">
        <is>
          <t>industry_anchor</t>
        </is>
      </c>
      <c r="J546" s="5" t="inlineStr">
        <is>
          <t>academic_support</t>
        </is>
      </c>
      <c r="K546" t="inlineStr">
        <is>
          <t>university_research</t>
        </is>
      </c>
      <c r="L546" s="5" t="inlineStr">
        <is>
          <t>wirtschaft</t>
        </is>
      </c>
      <c r="M546" s="5" t="inlineStr">
        <is>
          <t>standort_investition_transformation</t>
        </is>
      </c>
      <c r="N546" s="5" t="inlineStr">
        <is>
          <t>Standort, Investition und industrielle Transformation</t>
        </is>
      </c>
      <c r="O546" s="5" t="n">
        <v>4</v>
      </c>
      <c r="P546" s="5" t="n">
        <v>4</v>
      </c>
      <c r="Q546" s="5" t="n">
        <v>12</v>
      </c>
      <c r="R546" s="5" t="n">
        <v>4</v>
      </c>
      <c r="S546" s="5" t="n">
        <v>0</v>
      </c>
      <c r="T546" s="5" t="n">
        <v>0</v>
      </c>
      <c r="U546" s="5" t="n">
        <v>2</v>
      </c>
      <c r="V546" s="5" t="n">
        <v>6</v>
      </c>
      <c r="W546" s="5" t="n">
        <v>6</v>
      </c>
      <c r="X546" s="5" t="n">
        <v>0</v>
      </c>
      <c r="Y546" s="5" t="n">
        <v>0</v>
      </c>
      <c r="Z546" s="5" t="n">
        <v>0</v>
      </c>
      <c r="AA546" s="5" t="n">
        <v>0</v>
      </c>
      <c r="AB546" s="5" t="n">
        <v>25.735493</v>
      </c>
      <c r="AC546" s="5" t="inlineStr">
        <is>
          <t>Welche Standortbedingungen entscheiden darüber, ob Unternehmen in Rheinland-Pfalz investieren, modernisieren oder verlagern?</t>
        </is>
      </c>
      <c r="AD546" s="5" t="inlineStr">
        <is>
          <t>Standort, Investition und industrielle Transformation: Continental Automotive Technologies GmbH, Safety and Motion (SAM), Standort Rheinböllen (profit_anchor, 4) + WHU – Otto Beisheim School of Management (academic_support, 4).</t>
        </is>
      </c>
      <c r="AE546" s="5" t="inlineStr">
        <is>
          <t>Continental Automotive Technologies GmbH, Safety and Motion (SAM), Standort Rheinböllen | WHU – Otto Beisheim School of Management</t>
        </is>
      </c>
      <c r="AF546" s="5" t="inlineStr">
        <is>
          <t>standort-investition-transformation-continental-automotive-technologies-gmbh-safety-and-motion-</t>
        </is>
      </c>
    </row>
    <row r="547">
      <c r="A547" s="5" t="inlineStr">
        <is>
          <t>C0546</t>
        </is>
      </c>
      <c r="B547" s="5" t="inlineStr">
        <is>
          <t>x_0546</t>
        </is>
      </c>
      <c r="C547" s="5" t="n">
        <v>0</v>
      </c>
      <c r="D547" s="5" t="inlineStr">
        <is>
          <t>Debeka Versicherungsgruppe</t>
        </is>
      </c>
      <c r="E547" s="5" t="inlineStr">
        <is>
          <t>WHU – Otto Beisheim School of Management</t>
        </is>
      </c>
      <c r="F547" s="5" t="n">
        <v>16</v>
      </c>
      <c r="G547" s="5" t="n">
        <v>99</v>
      </c>
      <c r="H547" s="5" t="inlineStr">
        <is>
          <t>profit_anchor</t>
        </is>
      </c>
      <c r="I547" t="inlineStr">
        <is>
          <t>bank_finance_anchor</t>
        </is>
      </c>
      <c r="J547" s="5" t="inlineStr">
        <is>
          <t>academic_support</t>
        </is>
      </c>
      <c r="K547" t="inlineStr">
        <is>
          <t>university_research</t>
        </is>
      </c>
      <c r="L547" s="5" t="inlineStr">
        <is>
          <t>wirtschaft</t>
        </is>
      </c>
      <c r="M547" s="5" t="inlineStr">
        <is>
          <t>standort_investition_transformation</t>
        </is>
      </c>
      <c r="N547" s="5" t="inlineStr">
        <is>
          <t>Standort, Investition und industrielle Transformation</t>
        </is>
      </c>
      <c r="O547" s="5" t="n">
        <v>4</v>
      </c>
      <c r="P547" s="5" t="n">
        <v>4</v>
      </c>
      <c r="Q547" s="5" t="n">
        <v>12</v>
      </c>
      <c r="R547" s="5" t="n">
        <v>4</v>
      </c>
      <c r="S547" s="5" t="n">
        <v>0</v>
      </c>
      <c r="T547" s="5" t="n">
        <v>0</v>
      </c>
      <c r="U547" s="5" t="n">
        <v>2</v>
      </c>
      <c r="V547" s="5" t="n">
        <v>6</v>
      </c>
      <c r="W547" s="5" t="n">
        <v>6</v>
      </c>
      <c r="X547" s="5" t="n">
        <v>0</v>
      </c>
      <c r="Y547" s="5" t="n">
        <v>0</v>
      </c>
      <c r="Z547" s="5" t="n">
        <v>0</v>
      </c>
      <c r="AA547" s="5" t="n">
        <v>0</v>
      </c>
      <c r="AB547" s="5" t="n">
        <v>28.451658</v>
      </c>
      <c r="AC547" s="5" t="inlineStr">
        <is>
          <t>Welche Standortbedingungen entscheiden darüber, ob Unternehmen in Rheinland-Pfalz investieren, modernisieren oder verlagern?</t>
        </is>
      </c>
      <c r="AD547" s="5" t="inlineStr">
        <is>
          <t>Standort, Investition und industrielle Transformation: Debeka Versicherungsgruppe (profit_anchor, 4) + WHU – Otto Beisheim School of Management (academic_support, 4).</t>
        </is>
      </c>
      <c r="AE547" s="5" t="inlineStr">
        <is>
          <t>Debeka Versicherungsgruppe | WHU – Otto Beisheim School of Management</t>
        </is>
      </c>
      <c r="AF547" s="5" t="inlineStr">
        <is>
          <t>standort-investition-transformation-debeka-versicherungsgruppe-whu-otto-beisheim-school-of-mana</t>
        </is>
      </c>
    </row>
    <row r="548">
      <c r="A548" s="5" t="inlineStr">
        <is>
          <t>C0547</t>
        </is>
      </c>
      <c r="B548" s="5" t="inlineStr">
        <is>
          <t>x_0547</t>
        </is>
      </c>
      <c r="C548" s="5" t="n">
        <v>0</v>
      </c>
      <c r="D548" s="5" t="inlineStr">
        <is>
          <t>Eckes-Granini Deutschland GmbH</t>
        </is>
      </c>
      <c r="E548" s="5" t="inlineStr">
        <is>
          <t>WHU – Otto Beisheim School of Management</t>
        </is>
      </c>
      <c r="F548" s="5" t="n">
        <v>22</v>
      </c>
      <c r="G548" s="5" t="n">
        <v>99</v>
      </c>
      <c r="H548" s="5" t="inlineStr">
        <is>
          <t>profit_anchor</t>
        </is>
      </c>
      <c r="I548" t="inlineStr">
        <is>
          <t>food_beverage_consumer_anchor</t>
        </is>
      </c>
      <c r="J548" s="5" t="inlineStr">
        <is>
          <t>academic_support</t>
        </is>
      </c>
      <c r="K548" t="inlineStr">
        <is>
          <t>university_research</t>
        </is>
      </c>
      <c r="L548" s="5" t="inlineStr">
        <is>
          <t>wirtschaft</t>
        </is>
      </c>
      <c r="M548" s="5" t="inlineStr">
        <is>
          <t>standort_investition_transformation</t>
        </is>
      </c>
      <c r="N548" s="5" t="inlineStr">
        <is>
          <t>Standort, Investition und industrielle Transformation</t>
        </is>
      </c>
      <c r="O548" s="5" t="n">
        <v>4</v>
      </c>
      <c r="P548" s="5" t="n">
        <v>4</v>
      </c>
      <c r="Q548" s="5" t="n">
        <v>12</v>
      </c>
      <c r="R548" s="5" t="n">
        <v>4</v>
      </c>
      <c r="S548" s="5" t="n">
        <v>0</v>
      </c>
      <c r="T548" s="5" t="n">
        <v>0</v>
      </c>
      <c r="U548" s="5" t="n">
        <v>2</v>
      </c>
      <c r="V548" s="5" t="n">
        <v>6</v>
      </c>
      <c r="W548" s="5" t="n">
        <v>6</v>
      </c>
      <c r="X548" s="5" t="n">
        <v>0</v>
      </c>
      <c r="Y548" s="5" t="n">
        <v>0</v>
      </c>
      <c r="Z548" s="5" t="n">
        <v>0</v>
      </c>
      <c r="AA548" s="5" t="n">
        <v>0</v>
      </c>
      <c r="AB548" s="5" t="n">
        <v>31.16723</v>
      </c>
      <c r="AC548" s="5" t="inlineStr">
        <is>
          <t>Welche Standortbedingungen entscheiden darüber, ob Unternehmen in Rheinland-Pfalz investieren, modernisieren oder verlagern?</t>
        </is>
      </c>
      <c r="AD548" s="5" t="inlineStr">
        <is>
          <t>Standort, Investition und industrielle Transformation: Eckes-Granini Deutschland GmbH (profit_anchor, 4) + WHU – Otto Beisheim School of Management (academic_support, 4).</t>
        </is>
      </c>
      <c r="AE548" s="5" t="inlineStr">
        <is>
          <t>Eckes-Granini Deutschland GmbH | WHU – Otto Beisheim School of Management</t>
        </is>
      </c>
      <c r="AF548" s="5" t="inlineStr">
        <is>
          <t>standort-investition-transformation-eckes-granini-deutschland-gmbh-whu-otto-beisheim-school-of-</t>
        </is>
      </c>
    </row>
    <row r="549">
      <c r="A549" s="5" t="inlineStr">
        <is>
          <t>C0548</t>
        </is>
      </c>
      <c r="B549" s="5" t="inlineStr">
        <is>
          <t>x_0548</t>
        </is>
      </c>
      <c r="C549" s="5" t="n">
        <v>0</v>
      </c>
      <c r="D549" s="5" t="inlineStr">
        <is>
          <t>Ernst &amp; Young GmbH</t>
        </is>
      </c>
      <c r="E549" s="5" t="inlineStr">
        <is>
          <t>WHU – Otto Beisheim School of Management</t>
        </is>
      </c>
      <c r="F549" s="5" t="n">
        <v>26</v>
      </c>
      <c r="G549" s="5" t="n">
        <v>99</v>
      </c>
      <c r="H549" s="5" t="inlineStr">
        <is>
          <t>profit_anchor</t>
        </is>
      </c>
      <c r="I549" t="inlineStr">
        <is>
          <t>professional_services_anchor</t>
        </is>
      </c>
      <c r="J549" s="5" t="inlineStr">
        <is>
          <t>academic_support</t>
        </is>
      </c>
      <c r="K549" t="inlineStr">
        <is>
          <t>university_research</t>
        </is>
      </c>
      <c r="L549" s="5" t="inlineStr">
        <is>
          <t>wirtschaft</t>
        </is>
      </c>
      <c r="M549" s="5" t="inlineStr">
        <is>
          <t>standort_investition_transformation</t>
        </is>
      </c>
      <c r="N549" s="5" t="inlineStr">
        <is>
          <t>Standort, Investition und industrielle Transformation</t>
        </is>
      </c>
      <c r="O549" s="5" t="n">
        <v>4</v>
      </c>
      <c r="P549" s="5" t="n">
        <v>4</v>
      </c>
      <c r="Q549" s="5" t="n">
        <v>12</v>
      </c>
      <c r="R549" s="5" t="n">
        <v>4</v>
      </c>
      <c r="S549" s="5" t="n">
        <v>0</v>
      </c>
      <c r="T549" s="5" t="n">
        <v>0</v>
      </c>
      <c r="U549" s="5" t="n">
        <v>2</v>
      </c>
      <c r="V549" s="5" t="n">
        <v>6</v>
      </c>
      <c r="W549" s="5" t="n">
        <v>6</v>
      </c>
      <c r="X549" s="5" t="n">
        <v>0</v>
      </c>
      <c r="Y549" s="5" t="n">
        <v>0</v>
      </c>
      <c r="Z549" s="5" t="n">
        <v>0</v>
      </c>
      <c r="AA549" s="5" t="n">
        <v>0</v>
      </c>
      <c r="AB549" s="5" t="n">
        <v>31.16723</v>
      </c>
      <c r="AC549" s="5" t="inlineStr">
        <is>
          <t>Welche Standortbedingungen entscheiden darüber, ob Unternehmen in Rheinland-Pfalz investieren, modernisieren oder verlagern?</t>
        </is>
      </c>
      <c r="AD549" s="5" t="inlineStr">
        <is>
          <t>Standort, Investition und industrielle Transformation: Ernst &amp; Young GmbH (profit_anchor, 4) + WHU – Otto Beisheim School of Management (academic_support, 4).</t>
        </is>
      </c>
      <c r="AE549" s="5" t="inlineStr">
        <is>
          <t>Ernst &amp; Young GmbH | WHU – Otto Beisheim School of Management</t>
        </is>
      </c>
      <c r="AF549" s="5" t="inlineStr">
        <is>
          <t>standort-investition-transformation-ernst-young-gmbh-whu-otto-beisheim-school-of-management</t>
        </is>
      </c>
    </row>
    <row r="550">
      <c r="A550" s="5" t="inlineStr">
        <is>
          <t>C0549</t>
        </is>
      </c>
      <c r="B550" s="5" t="inlineStr">
        <is>
          <t>x_0549</t>
        </is>
      </c>
      <c r="C550" s="5" t="n">
        <v>0</v>
      </c>
      <c r="D550" s="5" t="inlineStr">
        <is>
          <t>GLOBUS Markthallen Holding GmbH &amp; Co. KG</t>
        </is>
      </c>
      <c r="E550" s="5" t="inlineStr">
        <is>
          <t>WHU – Otto Beisheim School of Management</t>
        </is>
      </c>
      <c r="F550" s="5" t="n">
        <v>31</v>
      </c>
      <c r="G550" s="5" t="n">
        <v>99</v>
      </c>
      <c r="H550" s="5" t="inlineStr">
        <is>
          <t>profit_anchor</t>
        </is>
      </c>
      <c r="I550" t="inlineStr">
        <is>
          <t>food_beverage_consumer_anchor</t>
        </is>
      </c>
      <c r="J550" s="5" t="inlineStr">
        <is>
          <t>academic_support</t>
        </is>
      </c>
      <c r="K550" t="inlineStr">
        <is>
          <t>university_research</t>
        </is>
      </c>
      <c r="L550" s="5" t="inlineStr">
        <is>
          <t>wirtschaft</t>
        </is>
      </c>
      <c r="M550" s="5" t="inlineStr">
        <is>
          <t>standort_investition_transformation</t>
        </is>
      </c>
      <c r="N550" s="5" t="inlineStr">
        <is>
          <t>Standort, Investition und industrielle Transformation</t>
        </is>
      </c>
      <c r="O550" s="5" t="n">
        <v>4</v>
      </c>
      <c r="P550" s="5" t="n">
        <v>4</v>
      </c>
      <c r="Q550" s="5" t="n">
        <v>12</v>
      </c>
      <c r="R550" s="5" t="n">
        <v>4</v>
      </c>
      <c r="S550" s="5" t="n">
        <v>0</v>
      </c>
      <c r="T550" s="5" t="n">
        <v>0</v>
      </c>
      <c r="U550" s="5" t="n">
        <v>2</v>
      </c>
      <c r="V550" s="5" t="n">
        <v>6</v>
      </c>
      <c r="W550" s="5" t="n">
        <v>6</v>
      </c>
      <c r="X550" s="5" t="n">
        <v>0</v>
      </c>
      <c r="Y550" s="5" t="n">
        <v>0</v>
      </c>
      <c r="Z550" s="5" t="n">
        <v>0</v>
      </c>
      <c r="AA550" s="5" t="n">
        <v>0</v>
      </c>
      <c r="AB550" s="5" t="n">
        <v>31.16723</v>
      </c>
      <c r="AC550" s="5" t="inlineStr">
        <is>
          <t>Welche Standortbedingungen entscheiden darüber, ob Unternehmen in Rheinland-Pfalz investieren, modernisieren oder verlagern?</t>
        </is>
      </c>
      <c r="AD550" s="5" t="inlineStr">
        <is>
          <t>Standort, Investition und industrielle Transformation: GLOBUS Markthallen Holding GmbH &amp; Co. KG (profit_anchor, 4) + WHU – Otto Beisheim School of Management (academic_support, 4).</t>
        </is>
      </c>
      <c r="AE550" s="5" t="inlineStr">
        <is>
          <t>GLOBUS Markthallen Holding GmbH &amp; Co. KG | WHU – Otto Beisheim School of Management</t>
        </is>
      </c>
      <c r="AF550" s="5" t="inlineStr">
        <is>
          <t>standort-investition-transformation-globus-markthallen-holding-gmbh-co-kg-whu-otto-beisheim-sch</t>
        </is>
      </c>
    </row>
    <row r="551">
      <c r="A551" s="5" t="inlineStr">
        <is>
          <t>C0550</t>
        </is>
      </c>
      <c r="B551" s="5" t="inlineStr">
        <is>
          <t>x_0550</t>
        </is>
      </c>
      <c r="C551" s="5" t="n">
        <v>0</v>
      </c>
      <c r="D551" s="5" t="inlineStr">
        <is>
          <t>Barmherzige Brüder Trier gGmbH</t>
        </is>
      </c>
      <c r="E551" s="5" t="inlineStr">
        <is>
          <t>Leonardo PersonalKonzept GmbH</t>
        </is>
      </c>
      <c r="F551" s="5" t="n">
        <v>5</v>
      </c>
      <c r="G551" s="5" t="n">
        <v>64</v>
      </c>
      <c r="H551" s="5" t="inlineStr">
        <is>
          <t>context_actor</t>
        </is>
      </c>
      <c r="I551" t="inlineStr">
        <is>
          <t>health_social_anchor</t>
        </is>
      </c>
      <c r="J551" s="5" t="inlineStr">
        <is>
          <t>profit_anchor</t>
        </is>
      </c>
      <c r="K551" t="inlineStr">
        <is>
          <t>professional_services_anchor</t>
        </is>
      </c>
      <c r="L551" s="5" t="inlineStr">
        <is>
          <t>gesellschaft</t>
        </is>
      </c>
      <c r="M551" s="5" t="inlineStr">
        <is>
          <t>teilhabe_inklusion_arbeitsmarkt</t>
        </is>
      </c>
      <c r="N551" s="5" t="inlineStr">
        <is>
          <t>Teilhabe, Inklusion und Arbeitsmarkt</t>
        </is>
      </c>
      <c r="O551" s="5" t="n">
        <v>4</v>
      </c>
      <c r="P551" s="5" t="n">
        <v>4</v>
      </c>
      <c r="Q551" s="5" t="n">
        <v>12</v>
      </c>
      <c r="R551" s="5" t="n">
        <v>4</v>
      </c>
      <c r="S551" s="5" t="n">
        <v>0</v>
      </c>
      <c r="T551" s="5" t="n">
        <v>0</v>
      </c>
      <c r="U551" s="5" t="n">
        <v>2</v>
      </c>
      <c r="V551" s="5" t="n">
        <v>6</v>
      </c>
      <c r="W551" s="5" t="n">
        <v>6</v>
      </c>
      <c r="X551" s="5" t="n">
        <v>0</v>
      </c>
      <c r="Y551" s="5" t="n">
        <v>0</v>
      </c>
      <c r="Z551" s="5" t="n">
        <v>0</v>
      </c>
      <c r="AA551" s="5" t="n">
        <v>0</v>
      </c>
      <c r="AB551" s="5" t="n">
        <v>24.942113</v>
      </c>
      <c r="AC551" s="5" t="inlineStr">
        <is>
          <t>Wie können Menschen mit Familienpflichten, Behinderung oder schwierigen Erwerbsbiografien besser am Arbeitsmarkt teilnehmen?</t>
        </is>
      </c>
      <c r="AD551" s="5" t="inlineStr">
        <is>
          <t>Teilhabe, Inklusion und Arbeitsmarkt: Barmherzige Brüder Trier gGmbH (context_actor, 4) + Leonardo PersonalKonzept GmbH (profit_anchor, 4).</t>
        </is>
      </c>
      <c r="AE551" s="5" t="inlineStr">
        <is>
          <t>Barmherzige Brüder Trier gGmbH | Leonardo PersonalKonzept GmbH</t>
        </is>
      </c>
      <c r="AF551" s="5" t="inlineStr">
        <is>
          <t>teilhabe-inklusion-arbeitsmarkt-barmherzige-brüder-trier-ggmbh-leonardo-personalkonzept-gmbh</t>
        </is>
      </c>
    </row>
    <row r="552">
      <c r="A552" s="5" t="inlineStr">
        <is>
          <t>C0551</t>
        </is>
      </c>
      <c r="B552" s="5" t="inlineStr">
        <is>
          <t>x_0551</t>
        </is>
      </c>
      <c r="C552" s="5" t="n">
        <v>0</v>
      </c>
      <c r="D552" s="5" t="inlineStr">
        <is>
          <t>Deutscher Gewerkschaftsbund (DGB) Rheinland-Pfalz/Saarland</t>
        </is>
      </c>
      <c r="E552" s="5" t="inlineStr">
        <is>
          <t>Leonardo PersonalKonzept GmbH</t>
        </is>
      </c>
      <c r="F552" s="5" t="n">
        <v>20</v>
      </c>
      <c r="G552" s="5" t="n">
        <v>64</v>
      </c>
      <c r="H552" s="5" t="inlineStr">
        <is>
          <t>context_actor</t>
        </is>
      </c>
      <c r="I552" t="inlineStr">
        <is>
          <t>chamber_association_anchor</t>
        </is>
      </c>
      <c r="J552" s="5" t="inlineStr">
        <is>
          <t>profit_anchor</t>
        </is>
      </c>
      <c r="K552" t="inlineStr">
        <is>
          <t>professional_services_anchor</t>
        </is>
      </c>
      <c r="L552" s="5" t="inlineStr">
        <is>
          <t>gesellschaft</t>
        </is>
      </c>
      <c r="M552" s="5" t="inlineStr">
        <is>
          <t>teilhabe_inklusion_arbeitsmarkt</t>
        </is>
      </c>
      <c r="N552" s="5" t="inlineStr">
        <is>
          <t>Teilhabe, Inklusion und Arbeitsmarkt</t>
        </is>
      </c>
      <c r="O552" s="5" t="n">
        <v>4</v>
      </c>
      <c r="P552" s="5" t="n">
        <v>4</v>
      </c>
      <c r="Q552" s="5" t="n">
        <v>12</v>
      </c>
      <c r="R552" s="5" t="n">
        <v>4</v>
      </c>
      <c r="S552" s="5" t="n">
        <v>0</v>
      </c>
      <c r="T552" s="5" t="n">
        <v>0</v>
      </c>
      <c r="U552" s="5" t="n">
        <v>2</v>
      </c>
      <c r="V552" s="5" t="n">
        <v>6</v>
      </c>
      <c r="W552" s="5" t="n">
        <v>6</v>
      </c>
      <c r="X552" s="5" t="n">
        <v>0</v>
      </c>
      <c r="Y552" s="5" t="n">
        <v>0</v>
      </c>
      <c r="Z552" s="5" t="n">
        <v>0</v>
      </c>
      <c r="AA552" s="5" t="n">
        <v>0</v>
      </c>
      <c r="AB552" s="5" t="n">
        <v>31.43335</v>
      </c>
      <c r="AC552" s="5" t="inlineStr">
        <is>
          <t>Wie können Menschen mit Familienpflichten, Behinderung oder schwierigen Erwerbsbiografien besser am Arbeitsmarkt teilnehmen?</t>
        </is>
      </c>
      <c r="AD552" s="5" t="inlineStr">
        <is>
          <t>Teilhabe, Inklusion und Arbeitsmarkt: Deutscher Gewerkschaftsbund (DGB) Rheinland-Pfalz/Saarland (context_actor, 4) + Leonardo PersonalKonzept GmbH (profit_anchor, 4).</t>
        </is>
      </c>
      <c r="AE552" s="5" t="inlineStr">
        <is>
          <t>Deutscher Gewerkschaftsbund (DGB) Rheinland-Pfalz/Saarland | Leonardo PersonalKonzept GmbH</t>
        </is>
      </c>
      <c r="AF552" s="5" t="inlineStr">
        <is>
          <t>teilhabe-inklusion-arbeitsmarkt-deutscher-gewerkschaftsbund-dgb-rheinland-pfalz-saarland-leonar</t>
        </is>
      </c>
    </row>
    <row r="553">
      <c r="A553" s="5" t="inlineStr">
        <is>
          <t>C0552</t>
        </is>
      </c>
      <c r="B553" s="5" t="inlineStr">
        <is>
          <t>x_0552</t>
        </is>
      </c>
      <c r="C553" s="5" t="n">
        <v>0</v>
      </c>
      <c r="D553" s="5" t="inlineStr">
        <is>
          <t>Evangelische Kirche der Pfalz</t>
        </is>
      </c>
      <c r="E553" s="5" t="inlineStr">
        <is>
          <t>Leonardo PersonalKonzept GmbH</t>
        </is>
      </c>
      <c r="F553" s="5" t="n">
        <v>28</v>
      </c>
      <c r="G553" s="5" t="n">
        <v>64</v>
      </c>
      <c r="H553" s="5" t="inlineStr">
        <is>
          <t>context_actor</t>
        </is>
      </c>
      <c r="I553" t="inlineStr">
        <is>
          <t>culture_foundation_anchor</t>
        </is>
      </c>
      <c r="J553" s="5" t="inlineStr">
        <is>
          <t>profit_anchor</t>
        </is>
      </c>
      <c r="K553" t="inlineStr">
        <is>
          <t>professional_services_anchor</t>
        </is>
      </c>
      <c r="L553" s="5" t="inlineStr">
        <is>
          <t>gesellschaft</t>
        </is>
      </c>
      <c r="M553" s="5" t="inlineStr">
        <is>
          <t>teilhabe_inklusion_arbeitsmarkt</t>
        </is>
      </c>
      <c r="N553" s="5" t="inlineStr">
        <is>
          <t>Teilhabe, Inklusion und Arbeitsmarkt</t>
        </is>
      </c>
      <c r="O553" s="5" t="n">
        <v>4</v>
      </c>
      <c r="P553" s="5" t="n">
        <v>4</v>
      </c>
      <c r="Q553" s="5" t="n">
        <v>12</v>
      </c>
      <c r="R553" s="5" t="n">
        <v>4</v>
      </c>
      <c r="S553" s="5" t="n">
        <v>0</v>
      </c>
      <c r="T553" s="5" t="n">
        <v>0</v>
      </c>
      <c r="U553" s="5" t="n">
        <v>2</v>
      </c>
      <c r="V553" s="5" t="n">
        <v>6</v>
      </c>
      <c r="W553" s="5" t="n">
        <v>6</v>
      </c>
      <c r="X553" s="5" t="n">
        <v>0</v>
      </c>
      <c r="Y553" s="5" t="n">
        <v>0</v>
      </c>
      <c r="Z553" s="5" t="n">
        <v>0</v>
      </c>
      <c r="AA553" s="5" t="n">
        <v>0</v>
      </c>
      <c r="AB553" s="5" t="n">
        <v>34.220297</v>
      </c>
      <c r="AC553" s="5" t="inlineStr">
        <is>
          <t>Wie können Menschen mit Familienpflichten, Behinderung oder schwierigen Erwerbsbiografien besser am Arbeitsmarkt teilnehmen?</t>
        </is>
      </c>
      <c r="AD553" s="5" t="inlineStr">
        <is>
          <t>Teilhabe, Inklusion und Arbeitsmarkt: Evangelische Kirche der Pfalz (context_actor, 4) + Leonardo PersonalKonzept GmbH (profit_anchor, 4).</t>
        </is>
      </c>
      <c r="AE553" s="5" t="inlineStr">
        <is>
          <t>Evangelische Kirche der Pfalz | Leonardo PersonalKonzept GmbH</t>
        </is>
      </c>
      <c r="AF553" s="5" t="inlineStr">
        <is>
          <t>teilhabe-inklusion-arbeitsmarkt-evangelische-kirche-der-pfalz-leonardo-personalkonzept-gmbh</t>
        </is>
      </c>
    </row>
    <row r="554">
      <c r="A554" s="5" t="inlineStr">
        <is>
          <t>C0553</t>
        </is>
      </c>
      <c r="B554" s="5" t="inlineStr">
        <is>
          <t>x_0553</t>
        </is>
      </c>
      <c r="C554" s="5" t="n">
        <v>0</v>
      </c>
      <c r="D554" s="5" t="inlineStr">
        <is>
          <t>GLOBUS Markthallen Holding GmbH &amp; Co. KG</t>
        </is>
      </c>
      <c r="E554" s="5" t="inlineStr">
        <is>
          <t>JOBS FOR MOMS UG</t>
        </is>
      </c>
      <c r="F554" s="5" t="n">
        <v>31</v>
      </c>
      <c r="G554" s="5" t="n">
        <v>48</v>
      </c>
      <c r="H554" s="5" t="inlineStr">
        <is>
          <t>profit_anchor</t>
        </is>
      </c>
      <c r="I554" t="inlineStr">
        <is>
          <t>food_beverage_consumer_anchor</t>
        </is>
      </c>
      <c r="J554" s="5" t="inlineStr">
        <is>
          <t>context_actor</t>
        </is>
      </c>
      <c r="K554" t="inlineStr">
        <is>
          <t>professional_services_anchor</t>
        </is>
      </c>
      <c r="L554" s="5" t="inlineStr">
        <is>
          <t>gesellschaft</t>
        </is>
      </c>
      <c r="M554" s="5" t="inlineStr">
        <is>
          <t>teilhabe_inklusion_arbeitsmarkt</t>
        </is>
      </c>
      <c r="N554" s="5" t="inlineStr">
        <is>
          <t>Teilhabe, Inklusion und Arbeitsmarkt</t>
        </is>
      </c>
      <c r="O554" s="5" t="n">
        <v>3</v>
      </c>
      <c r="P554" s="5" t="n">
        <v>5</v>
      </c>
      <c r="Q554" s="5" t="n">
        <v>12</v>
      </c>
      <c r="R554" s="5" t="n">
        <v>4</v>
      </c>
      <c r="S554" s="5" t="n">
        <v>0</v>
      </c>
      <c r="T554" s="5" t="n">
        <v>0</v>
      </c>
      <c r="U554" s="5" t="n">
        <v>2</v>
      </c>
      <c r="V554" s="5" t="n">
        <v>6</v>
      </c>
      <c r="W554" s="5" t="n">
        <v>6</v>
      </c>
      <c r="X554" s="5" t="n">
        <v>0</v>
      </c>
      <c r="Y554" s="5" t="n">
        <v>0</v>
      </c>
      <c r="Z554" s="5" t="n">
        <v>0</v>
      </c>
      <c r="AA554" s="5" t="n">
        <v>0</v>
      </c>
      <c r="AB554" s="5" t="n">
        <v>29.635647</v>
      </c>
      <c r="AC554" s="5" t="inlineStr">
        <is>
          <t>Wie können Menschen mit Familienpflichten, Behinderung oder schwierigen Erwerbsbiografien besser am Arbeitsmarkt teilnehmen?</t>
        </is>
      </c>
      <c r="AD554" s="5" t="inlineStr">
        <is>
          <t>Teilhabe, Inklusion und Arbeitsmarkt: GLOBUS Markthallen Holding GmbH &amp; Co. KG (profit_anchor, 3) + JOBS FOR MOMS UG (context_actor, 5).</t>
        </is>
      </c>
      <c r="AE554" s="5" t="inlineStr">
        <is>
          <t>GLOBUS Markthallen Holding GmbH &amp; Co. KG | JOBS FOR MOMS UG</t>
        </is>
      </c>
      <c r="AF554" s="5" t="inlineStr">
        <is>
          <t>teilhabe-inklusion-arbeitsmarkt-globus-markthallen-holding-gmbh-co-kg-jobs-for-moms-ug</t>
        </is>
      </c>
    </row>
    <row r="555">
      <c r="A555" s="5" t="inlineStr">
        <is>
          <t>C0554</t>
        </is>
      </c>
      <c r="B555" s="5" t="inlineStr">
        <is>
          <t>x_0554</t>
        </is>
      </c>
      <c r="C555" s="5" t="n">
        <v>0</v>
      </c>
      <c r="D555" s="5" t="inlineStr">
        <is>
          <t>GLOBUS Markthallen Holding GmbH &amp; Co. KG</t>
        </is>
      </c>
      <c r="E555" s="5" t="inlineStr">
        <is>
          <t>in.betrieb gGmbH</t>
        </is>
      </c>
      <c r="F555" s="5" t="n">
        <v>31</v>
      </c>
      <c r="G555" s="5" t="n">
        <v>43</v>
      </c>
      <c r="H555" s="5" t="inlineStr">
        <is>
          <t>profit_anchor</t>
        </is>
      </c>
      <c r="I555" t="inlineStr">
        <is>
          <t>food_beverage_consumer_anchor</t>
        </is>
      </c>
      <c r="J555" s="5" t="inlineStr">
        <is>
          <t>context_actor</t>
        </is>
      </c>
      <c r="K555" t="inlineStr">
        <is>
          <t>health_social_anchor</t>
        </is>
      </c>
      <c r="L555" s="5" t="inlineStr">
        <is>
          <t>gesellschaft</t>
        </is>
      </c>
      <c r="M555" s="5" t="inlineStr">
        <is>
          <t>teilhabe_inklusion_arbeitsmarkt</t>
        </is>
      </c>
      <c r="N555" s="5" t="inlineStr">
        <is>
          <t>Teilhabe, Inklusion und Arbeitsmarkt</t>
        </is>
      </c>
      <c r="O555" s="5" t="n">
        <v>3</v>
      </c>
      <c r="P555" s="5" t="n">
        <v>5</v>
      </c>
      <c r="Q555" s="5" t="n">
        <v>12</v>
      </c>
      <c r="R555" s="5" t="n">
        <v>4</v>
      </c>
      <c r="S555" s="5" t="n">
        <v>0</v>
      </c>
      <c r="T555" s="5" t="n">
        <v>0</v>
      </c>
      <c r="U555" s="5" t="n">
        <v>2</v>
      </c>
      <c r="V555" s="5" t="n">
        <v>6</v>
      </c>
      <c r="W555" s="5" t="n">
        <v>6</v>
      </c>
      <c r="X555" s="5" t="n">
        <v>0</v>
      </c>
      <c r="Y555" s="5" t="n">
        <v>0</v>
      </c>
      <c r="Z555" s="5" t="n">
        <v>0</v>
      </c>
      <c r="AA555" s="5" t="n">
        <v>0</v>
      </c>
      <c r="AB555" s="5" t="n">
        <v>24.942113</v>
      </c>
      <c r="AC555" s="5" t="inlineStr">
        <is>
          <t>Wie können Menschen mit Familienpflichten, Behinderung oder schwierigen Erwerbsbiografien besser am Arbeitsmarkt teilnehmen?</t>
        </is>
      </c>
      <c r="AD555" s="5" t="inlineStr">
        <is>
          <t>Teilhabe, Inklusion und Arbeitsmarkt: GLOBUS Markthallen Holding GmbH &amp; Co. KG (profit_anchor, 3) + in.betrieb gGmbH (context_actor, 5).</t>
        </is>
      </c>
      <c r="AE555" s="5" t="inlineStr">
        <is>
          <t>GLOBUS Markthallen Holding GmbH &amp; Co. KG | in.betrieb gGmbH</t>
        </is>
      </c>
      <c r="AF555" s="5" t="inlineStr">
        <is>
          <t>teilhabe-inklusion-arbeitsmarkt-globus-markthallen-holding-gmbh-co-kg-in-betrieb-ggmbh</t>
        </is>
      </c>
    </row>
    <row r="556">
      <c r="A556" s="5" t="inlineStr">
        <is>
          <t>C0555</t>
        </is>
      </c>
      <c r="B556" s="5" t="inlineStr">
        <is>
          <t>x_0555</t>
        </is>
      </c>
      <c r="C556" s="5" t="n">
        <v>0</v>
      </c>
      <c r="D556" s="5" t="inlineStr">
        <is>
          <t>Hochschule für Gesellschaftsgestaltung (HfGG)</t>
        </is>
      </c>
      <c r="E556" s="5" t="inlineStr">
        <is>
          <t>Leonardo PersonalKonzept GmbH</t>
        </is>
      </c>
      <c r="F556" s="5" t="n">
        <v>34</v>
      </c>
      <c r="G556" s="5" t="n">
        <v>64</v>
      </c>
      <c r="H556" s="5" t="inlineStr">
        <is>
          <t>academic_support</t>
        </is>
      </c>
      <c r="I556" t="inlineStr">
        <is>
          <t>university_applied_sciences</t>
        </is>
      </c>
      <c r="J556" s="5" t="inlineStr">
        <is>
          <t>profit_anchor</t>
        </is>
      </c>
      <c r="K556" t="inlineStr">
        <is>
          <t>professional_services_anchor</t>
        </is>
      </c>
      <c r="L556" s="5" t="inlineStr">
        <is>
          <t>gesellschaft</t>
        </is>
      </c>
      <c r="M556" s="5" t="inlineStr">
        <is>
          <t>teilhabe_inklusion_arbeitsmarkt</t>
        </is>
      </c>
      <c r="N556" s="5" t="inlineStr">
        <is>
          <t>Teilhabe, Inklusion und Arbeitsmarkt</t>
        </is>
      </c>
      <c r="O556" s="5" t="n">
        <v>4</v>
      </c>
      <c r="P556" s="5" t="n">
        <v>4</v>
      </c>
      <c r="Q556" s="5" t="n">
        <v>12</v>
      </c>
      <c r="R556" s="5" t="n">
        <v>4</v>
      </c>
      <c r="S556" s="5" t="n">
        <v>0</v>
      </c>
      <c r="T556" s="5" t="n">
        <v>0</v>
      </c>
      <c r="U556" s="5" t="n">
        <v>2</v>
      </c>
      <c r="V556" s="5" t="n">
        <v>6</v>
      </c>
      <c r="W556" s="5" t="n">
        <v>6</v>
      </c>
      <c r="X556" s="5" t="n">
        <v>0</v>
      </c>
      <c r="Y556" s="5" t="n">
        <v>0</v>
      </c>
      <c r="Z556" s="5" t="n">
        <v>0</v>
      </c>
      <c r="AA556" s="5" t="n">
        <v>0</v>
      </c>
      <c r="AB556" s="5" t="n">
        <v>28.709145</v>
      </c>
      <c r="AC556" s="5" t="inlineStr">
        <is>
          <t>Wie können Menschen mit Familienpflichten, Behinderung oder schwierigen Erwerbsbiografien besser am Arbeitsmarkt teilnehmen?</t>
        </is>
      </c>
      <c r="AD556" s="5" t="inlineStr">
        <is>
          <t>Teilhabe, Inklusion und Arbeitsmarkt: Hochschule für Gesellschaftsgestaltung (HfGG) (academic_support, 4) + Leonardo PersonalKonzept GmbH (profit_anchor, 4).</t>
        </is>
      </c>
      <c r="AE556" s="5" t="inlineStr">
        <is>
          <t>Hochschule für Gesellschaftsgestaltung (HfGG) | Leonardo PersonalKonzept GmbH</t>
        </is>
      </c>
      <c r="AF556" s="5" t="inlineStr">
        <is>
          <t>teilhabe-inklusion-arbeitsmarkt-hochschule-für-gesellschaftsgestaltung-hfgg-leonardo-personalko</t>
        </is>
      </c>
    </row>
    <row r="557">
      <c r="A557" s="5" t="inlineStr">
        <is>
          <t>C0556</t>
        </is>
      </c>
      <c r="B557" s="5" t="inlineStr">
        <is>
          <t>x_0556</t>
        </is>
      </c>
      <c r="C557" s="5" t="n">
        <v>0</v>
      </c>
      <c r="D557" s="5" t="inlineStr">
        <is>
          <t>Katholische Hochschule Mainz</t>
        </is>
      </c>
      <c r="E557" s="5" t="inlineStr">
        <is>
          <t>Leonardo PersonalKonzept GmbH</t>
        </is>
      </c>
      <c r="F557" s="5" t="n">
        <v>55</v>
      </c>
      <c r="G557" s="5" t="n">
        <v>64</v>
      </c>
      <c r="H557" s="5" t="inlineStr">
        <is>
          <t>academic_support</t>
        </is>
      </c>
      <c r="I557" t="inlineStr">
        <is>
          <t>university_applied_sciences</t>
        </is>
      </c>
      <c r="J557" s="5" t="inlineStr">
        <is>
          <t>profit_anchor</t>
        </is>
      </c>
      <c r="K557" t="inlineStr">
        <is>
          <t>professional_services_anchor</t>
        </is>
      </c>
      <c r="L557" s="5" t="inlineStr">
        <is>
          <t>gesellschaft</t>
        </is>
      </c>
      <c r="M557" s="5" t="inlineStr">
        <is>
          <t>teilhabe_inklusion_arbeitsmarkt</t>
        </is>
      </c>
      <c r="N557" s="5" t="inlineStr">
        <is>
          <t>Teilhabe, Inklusion und Arbeitsmarkt</t>
        </is>
      </c>
      <c r="O557" s="5" t="n">
        <v>4</v>
      </c>
      <c r="P557" s="5" t="n">
        <v>4</v>
      </c>
      <c r="Q557" s="5" t="n">
        <v>12</v>
      </c>
      <c r="R557" s="5" t="n">
        <v>4</v>
      </c>
      <c r="S557" s="5" t="n">
        <v>0</v>
      </c>
      <c r="T557" s="5" t="n">
        <v>0</v>
      </c>
      <c r="U557" s="5" t="n">
        <v>2</v>
      </c>
      <c r="V557" s="5" t="n">
        <v>6</v>
      </c>
      <c r="W557" s="5" t="n">
        <v>6</v>
      </c>
      <c r="X557" s="5" t="n">
        <v>0</v>
      </c>
      <c r="Y557" s="5" t="n">
        <v>0</v>
      </c>
      <c r="Z557" s="5" t="n">
        <v>0</v>
      </c>
      <c r="AA557" s="5" t="n">
        <v>0</v>
      </c>
      <c r="AB557" s="5" t="n">
        <v>28.709145</v>
      </c>
      <c r="AC557" s="5" t="inlineStr">
        <is>
          <t>Wie können Menschen mit Familienpflichten, Behinderung oder schwierigen Erwerbsbiografien besser am Arbeitsmarkt teilnehmen?</t>
        </is>
      </c>
      <c r="AD557" s="5" t="inlineStr">
        <is>
          <t>Teilhabe, Inklusion und Arbeitsmarkt: Katholische Hochschule Mainz (academic_support, 4) + Leonardo PersonalKonzept GmbH (profit_anchor, 4).</t>
        </is>
      </c>
      <c r="AE557" s="5" t="inlineStr">
        <is>
          <t>Katholische Hochschule Mainz | Leonardo PersonalKonzept GmbH</t>
        </is>
      </c>
      <c r="AF557" s="5" t="inlineStr">
        <is>
          <t>teilhabe-inklusion-arbeitsmarkt-katholische-hochschule-mainz-leonardo-personalkonzept-gmbh</t>
        </is>
      </c>
    </row>
    <row r="558">
      <c r="A558" s="5" t="inlineStr">
        <is>
          <t>C0557</t>
        </is>
      </c>
      <c r="B558" s="5" t="inlineStr">
        <is>
          <t>x_0557</t>
        </is>
      </c>
      <c r="C558" s="5" t="n">
        <v>0</v>
      </c>
      <c r="D558" s="5" t="inlineStr">
        <is>
          <t>Leonardo PersonalKonzept GmbH</t>
        </is>
      </c>
      <c r="E558" s="5" t="inlineStr">
        <is>
          <t>Vinzenz Pallotti University gGmbH</t>
        </is>
      </c>
      <c r="F558" s="5" t="n">
        <v>64</v>
      </c>
      <c r="G558" s="5" t="n">
        <v>97</v>
      </c>
      <c r="H558" s="5" t="inlineStr">
        <is>
          <t>profit_anchor</t>
        </is>
      </c>
      <c r="I558" t="inlineStr">
        <is>
          <t>professional_services_anchor</t>
        </is>
      </c>
      <c r="J558" s="5" t="inlineStr">
        <is>
          <t>academic_support</t>
        </is>
      </c>
      <c r="K558" t="inlineStr">
        <is>
          <t>university_research</t>
        </is>
      </c>
      <c r="L558" s="5" t="inlineStr">
        <is>
          <t>gesellschaft</t>
        </is>
      </c>
      <c r="M558" s="5" t="inlineStr">
        <is>
          <t>teilhabe_inklusion_arbeitsmarkt</t>
        </is>
      </c>
      <c r="N558" s="5" t="inlineStr">
        <is>
          <t>Teilhabe, Inklusion und Arbeitsmarkt</t>
        </is>
      </c>
      <c r="O558" s="5" t="n">
        <v>4</v>
      </c>
      <c r="P558" s="5" t="n">
        <v>4</v>
      </c>
      <c r="Q558" s="5" t="n">
        <v>12</v>
      </c>
      <c r="R558" s="5" t="n">
        <v>4</v>
      </c>
      <c r="S558" s="5" t="n">
        <v>0</v>
      </c>
      <c r="T558" s="5" t="n">
        <v>0</v>
      </c>
      <c r="U558" s="5" t="n">
        <v>2</v>
      </c>
      <c r="V558" s="5" t="n">
        <v>6</v>
      </c>
      <c r="W558" s="5" t="n">
        <v>6</v>
      </c>
      <c r="X558" s="5" t="n">
        <v>0</v>
      </c>
      <c r="Y558" s="5" t="n">
        <v>0</v>
      </c>
      <c r="Z558" s="5" t="n">
        <v>0</v>
      </c>
      <c r="AA558" s="5" t="n">
        <v>0</v>
      </c>
      <c r="AB558" s="5" t="n">
        <v>31.16723</v>
      </c>
      <c r="AC558" s="5" t="inlineStr">
        <is>
          <t>Wie können Menschen mit Familienpflichten, Behinderung oder schwierigen Erwerbsbiografien besser am Arbeitsmarkt teilnehmen?</t>
        </is>
      </c>
      <c r="AD558" s="5" t="inlineStr">
        <is>
          <t>Teilhabe, Inklusion und Arbeitsmarkt: Leonardo PersonalKonzept GmbH (profit_anchor, 4) + Vinzenz Pallotti University gGmbH (academic_support, 4).</t>
        </is>
      </c>
      <c r="AE558" s="5" t="inlineStr">
        <is>
          <t>Leonardo PersonalKonzept GmbH | Vinzenz Pallotti University gGmbH</t>
        </is>
      </c>
      <c r="AF558" s="5" t="inlineStr">
        <is>
          <t>teilhabe-inklusion-arbeitsmarkt-leonardo-personalkonzept-gmbh-vinzenz-pallotti-university-ggmbh</t>
        </is>
      </c>
    </row>
    <row r="559">
      <c r="A559" s="5" t="inlineStr">
        <is>
          <t>C0558</t>
        </is>
      </c>
      <c r="B559" s="5" t="inlineStr">
        <is>
          <t>x_0558</t>
        </is>
      </c>
      <c r="C559" s="5" t="n">
        <v>0</v>
      </c>
      <c r="D559" s="5" t="inlineStr">
        <is>
          <t>Aturas GmbH</t>
        </is>
      </c>
      <c r="E559" s="5" t="inlineStr">
        <is>
          <t>Universität Koblenz</t>
        </is>
      </c>
      <c r="F559" s="5" t="n">
        <v>4</v>
      </c>
      <c r="G559" s="5" t="n">
        <v>92</v>
      </c>
      <c r="H559" s="5" t="inlineStr">
        <is>
          <t>profit_anchor</t>
        </is>
      </c>
      <c r="I559" t="inlineStr">
        <is>
          <t>technology_digital_anchor</t>
        </is>
      </c>
      <c r="J559" s="5" t="inlineStr">
        <is>
          <t>academic_support</t>
        </is>
      </c>
      <c r="K559" t="inlineStr">
        <is>
          <t>university_research</t>
        </is>
      </c>
      <c r="L559" s="5" t="inlineStr">
        <is>
          <t>wissen</t>
        </is>
      </c>
      <c r="M559" s="5" t="inlineStr">
        <is>
          <t>verwaltungswissen_digitalisierung</t>
        </is>
      </c>
      <c r="N559" s="5" t="inlineStr">
        <is>
          <t>Verwaltungswissen und digitale Umsetzung</t>
        </is>
      </c>
      <c r="O559" s="5" t="n">
        <v>4</v>
      </c>
      <c r="P559" s="5" t="n">
        <v>4</v>
      </c>
      <c r="Q559" s="5" t="n">
        <v>12</v>
      </c>
      <c r="R559" s="5" t="n">
        <v>4</v>
      </c>
      <c r="S559" s="5" t="n">
        <v>0</v>
      </c>
      <c r="T559" s="5" t="n">
        <v>0</v>
      </c>
      <c r="U559" s="5" t="n">
        <v>2</v>
      </c>
      <c r="V559" s="5" t="n">
        <v>6</v>
      </c>
      <c r="W559" s="5" t="n">
        <v>6</v>
      </c>
      <c r="X559" s="5" t="n">
        <v>0</v>
      </c>
      <c r="Y559" s="5" t="n">
        <v>0</v>
      </c>
      <c r="Z559" s="5" t="n">
        <v>0</v>
      </c>
      <c r="AA559" s="5" t="n">
        <v>0</v>
      </c>
      <c r="AB559" s="5" t="n">
        <v>26.824481</v>
      </c>
      <c r="AC559" s="5" t="inlineStr">
        <is>
          <t>Wie wird Verwaltung bei Regulierung, Genehmigung, Digitalisierung und Umsetzung leistungsfähiger?</t>
        </is>
      </c>
      <c r="AD559" s="5" t="inlineStr">
        <is>
          <t>Verwaltungswissen und digitale Umsetzung: Aturas GmbH (profit_anchor, 4) + Universität Koblenz (academic_support, 4).</t>
        </is>
      </c>
      <c r="AE559" s="5" t="inlineStr">
        <is>
          <t>Aturas GmbH | Universität Koblenz</t>
        </is>
      </c>
      <c r="AF559" s="5" t="inlineStr">
        <is>
          <t>verwaltungswissen-digitalisierung-aturas-gmbh-universität-koblenz</t>
        </is>
      </c>
    </row>
    <row r="560">
      <c r="A560" s="5" t="inlineStr">
        <is>
          <t>C0559</t>
        </is>
      </c>
      <c r="B560" s="5" t="inlineStr">
        <is>
          <t>x_0559</t>
        </is>
      </c>
      <c r="C560" s="5" t="n">
        <v>0</v>
      </c>
      <c r="D560" s="5" t="inlineStr">
        <is>
          <t>Deutsche Universität für Verwaltungswissenschaften Speyer</t>
        </is>
      </c>
      <c r="E560" s="5" t="inlineStr">
        <is>
          <t>Landkreistag Rheinland-Pfalz</t>
        </is>
      </c>
      <c r="F560" s="5" t="n">
        <v>19</v>
      </c>
      <c r="G560" s="5" t="n">
        <v>63</v>
      </c>
      <c r="H560" s="5" t="inlineStr">
        <is>
          <t>academic_support</t>
        </is>
      </c>
      <c r="I560" t="inlineStr">
        <is>
          <t>university_research</t>
        </is>
      </c>
      <c r="J560" s="5" t="inlineStr">
        <is>
          <t>context_actor</t>
        </is>
      </c>
      <c r="K560" t="inlineStr">
        <is>
          <t>public_policy_anchor</t>
        </is>
      </c>
      <c r="L560" s="5" t="inlineStr">
        <is>
          <t>wissen</t>
        </is>
      </c>
      <c r="M560" s="5" t="inlineStr">
        <is>
          <t>verwaltungswissen_digitalisierung</t>
        </is>
      </c>
      <c r="N560" s="5" t="inlineStr">
        <is>
          <t>Verwaltungswissen und digitale Umsetzung</t>
        </is>
      </c>
      <c r="O560" s="5" t="n">
        <v>5</v>
      </c>
      <c r="P560" s="5" t="n">
        <v>5</v>
      </c>
      <c r="Q560" s="5" t="n">
        <v>14</v>
      </c>
      <c r="R560" s="5" t="n">
        <v>4</v>
      </c>
      <c r="S560" s="5" t="n">
        <v>0</v>
      </c>
      <c r="T560" s="5" t="n">
        <v>0</v>
      </c>
      <c r="U560" s="5" t="n">
        <v>2</v>
      </c>
      <c r="V560" s="5" t="n">
        <v>5</v>
      </c>
      <c r="W560" s="5" t="n">
        <v>5</v>
      </c>
      <c r="X560" s="5" t="n">
        <v>0</v>
      </c>
      <c r="Y560" s="5" t="n">
        <v>0</v>
      </c>
      <c r="Z560" s="5" t="n">
        <v>0</v>
      </c>
      <c r="AA560" s="5" t="n">
        <v>0</v>
      </c>
      <c r="AB560" s="5" t="n">
        <v>32.944957</v>
      </c>
      <c r="AC560" s="5" t="inlineStr">
        <is>
          <t>Wie wird Verwaltung bei Regulierung, Genehmigung, Digitalisierung und Umsetzung leistungsfähiger?</t>
        </is>
      </c>
      <c r="AD560" s="5" t="inlineStr">
        <is>
          <t>Verwaltungswissen und digitale Umsetzung: Deutsche Universität für Verwaltungswissenschaften Speyer (academic_support, 5) + Landkreistag Rheinland-Pfalz (context_actor, 5).</t>
        </is>
      </c>
      <c r="AE560" s="5" t="inlineStr">
        <is>
          <t>Deutsche Universität für Verwaltungswissenschaften Speyer | Landkreistag Rheinland-Pfalz</t>
        </is>
      </c>
      <c r="AF560" s="5" t="inlineStr">
        <is>
          <t>verwaltungswissen-digitalisierung-deutsche-universität-für-verwaltungswissenschaften-speyer-lan</t>
        </is>
      </c>
    </row>
    <row r="561">
      <c r="A561" s="5" t="inlineStr">
        <is>
          <t>C0560</t>
        </is>
      </c>
      <c r="B561" s="5" t="inlineStr">
        <is>
          <t>x_0560</t>
        </is>
      </c>
      <c r="C561" s="5" t="n">
        <v>0</v>
      </c>
      <c r="D561" s="5" t="inlineStr">
        <is>
          <t>Deutsche Universität für Verwaltungswissenschaften Speyer</t>
        </is>
      </c>
      <c r="E561" s="5" t="inlineStr">
        <is>
          <t>Sparkassenverband Rheinland-Pfalz</t>
        </is>
      </c>
      <c r="F561" s="5" t="n">
        <v>19</v>
      </c>
      <c r="G561" s="5" t="n">
        <v>82</v>
      </c>
      <c r="H561" s="5" t="inlineStr">
        <is>
          <t>academic_support</t>
        </is>
      </c>
      <c r="I561" t="inlineStr">
        <is>
          <t>university_research</t>
        </is>
      </c>
      <c r="J561" s="5" t="inlineStr">
        <is>
          <t>profit_anchor</t>
        </is>
      </c>
      <c r="K561" t="inlineStr">
        <is>
          <t>bank_finance_anchor</t>
        </is>
      </c>
      <c r="L561" s="5" t="inlineStr">
        <is>
          <t>wissen</t>
        </is>
      </c>
      <c r="M561" s="5" t="inlineStr">
        <is>
          <t>verwaltungswissen_digitalisierung</t>
        </is>
      </c>
      <c r="N561" s="5" t="inlineStr">
        <is>
          <t>Verwaltungswissen und digitale Umsetzung</t>
        </is>
      </c>
      <c r="O561" s="5" t="n">
        <v>5</v>
      </c>
      <c r="P561" s="5" t="n">
        <v>3</v>
      </c>
      <c r="Q561" s="5" t="n">
        <v>12</v>
      </c>
      <c r="R561" s="5" t="n">
        <v>4</v>
      </c>
      <c r="S561" s="5" t="n">
        <v>0</v>
      </c>
      <c r="T561" s="5" t="n">
        <v>0</v>
      </c>
      <c r="U561" s="5" t="n">
        <v>2</v>
      </c>
      <c r="V561" s="5" t="n">
        <v>6</v>
      </c>
      <c r="W561" s="5" t="n">
        <v>6</v>
      </c>
      <c r="X561" s="5" t="n">
        <v>0</v>
      </c>
      <c r="Y561" s="5" t="n">
        <v>0</v>
      </c>
      <c r="Z561" s="5" t="n">
        <v>0</v>
      </c>
      <c r="AA561" s="5" t="n">
        <v>0</v>
      </c>
      <c r="AB561" s="5" t="n">
        <v>28.451658</v>
      </c>
      <c r="AC561" s="5" t="inlineStr">
        <is>
          <t>Wie wird Verwaltung bei Regulierung, Genehmigung, Digitalisierung und Umsetzung leistungsfähiger?</t>
        </is>
      </c>
      <c r="AD561" s="5" t="inlineStr">
        <is>
          <t>Verwaltungswissen und digitale Umsetzung: Deutsche Universität für Verwaltungswissenschaften Speyer (academic_support, 5) + Sparkassenverband Rheinland-Pfalz (profit_anchor, 3).</t>
        </is>
      </c>
      <c r="AE561" s="5" t="inlineStr">
        <is>
          <t>Deutsche Universität für Verwaltungswissenschaften Speyer | Sparkassenverband Rheinland-Pfalz</t>
        </is>
      </c>
      <c r="AF561" s="5" t="inlineStr">
        <is>
          <t>verwaltungswissen-digitalisierung-deutsche-universität-für-verwaltungswissenschaften-speyer-spa</t>
        </is>
      </c>
    </row>
    <row r="562">
      <c r="A562" s="5" t="inlineStr">
        <is>
          <t>C0561</t>
        </is>
      </c>
      <c r="B562" s="5" t="inlineStr">
        <is>
          <t>x_0561</t>
        </is>
      </c>
      <c r="C562" s="5" t="n">
        <v>0</v>
      </c>
      <c r="D562" s="5" t="inlineStr">
        <is>
          <t>Deutsche Universität für Verwaltungswissenschaften Speyer</t>
        </is>
      </c>
      <c r="E562" s="5" t="inlineStr">
        <is>
          <t>Staatskanzlei des Landes Rheinland-Pfalz</t>
        </is>
      </c>
      <c r="F562" s="5" t="n">
        <v>19</v>
      </c>
      <c r="G562" s="5" t="n">
        <v>83</v>
      </c>
      <c r="H562" s="5" t="inlineStr">
        <is>
          <t>academic_support</t>
        </is>
      </c>
      <c r="I562" t="inlineStr">
        <is>
          <t>university_research</t>
        </is>
      </c>
      <c r="J562" s="5" t="inlineStr">
        <is>
          <t>context_actor</t>
        </is>
      </c>
      <c r="K562" t="inlineStr">
        <is>
          <t>public_policy_anchor</t>
        </is>
      </c>
      <c r="L562" s="5" t="inlineStr">
        <is>
          <t>wissen</t>
        </is>
      </c>
      <c r="M562" s="5" t="inlineStr">
        <is>
          <t>verwaltungswissen_digitalisierung</t>
        </is>
      </c>
      <c r="N562" s="5" t="inlineStr">
        <is>
          <t>Verwaltungswissen und digitale Umsetzung</t>
        </is>
      </c>
      <c r="O562" s="5" t="n">
        <v>5</v>
      </c>
      <c r="P562" s="5" t="n">
        <v>5</v>
      </c>
      <c r="Q562" s="5" t="n">
        <v>14</v>
      </c>
      <c r="R562" s="5" t="n">
        <v>4</v>
      </c>
      <c r="S562" s="5" t="n">
        <v>0</v>
      </c>
      <c r="T562" s="5" t="n">
        <v>0</v>
      </c>
      <c r="U562" s="5" t="n">
        <v>2</v>
      </c>
      <c r="V562" s="5" t="n">
        <v>5</v>
      </c>
      <c r="W562" s="5" t="n">
        <v>5</v>
      </c>
      <c r="X562" s="5" t="n">
        <v>0</v>
      </c>
      <c r="Y562" s="5" t="n">
        <v>0</v>
      </c>
      <c r="Z562" s="5" t="n">
        <v>0</v>
      </c>
      <c r="AA562" s="5" t="n">
        <v>0</v>
      </c>
      <c r="AB562" s="5" t="n">
        <v>32.944957</v>
      </c>
      <c r="AC562" s="5" t="inlineStr">
        <is>
          <t>Wie wird Verwaltung bei Regulierung, Genehmigung, Digitalisierung und Umsetzung leistungsfähiger?</t>
        </is>
      </c>
      <c r="AD562" s="5" t="inlineStr">
        <is>
          <t>Verwaltungswissen und digitale Umsetzung: Deutsche Universität für Verwaltungswissenschaften Speyer (academic_support, 5) + Staatskanzlei des Landes Rheinland-Pfalz (context_actor, 5).</t>
        </is>
      </c>
      <c r="AE562" s="5" t="inlineStr">
        <is>
          <t>Deutsche Universität für Verwaltungswissenschaften Speyer | Staatskanzlei des Landes Rheinland-Pfalz</t>
        </is>
      </c>
      <c r="AF562" s="5" t="inlineStr">
        <is>
          <t>verwaltungswissen-digitalisierung-deutsche-universität-für-verwaltungswissenschaften-speyer-sta</t>
        </is>
      </c>
    </row>
    <row r="563">
      <c r="A563" s="5" t="inlineStr">
        <is>
          <t>C0562</t>
        </is>
      </c>
      <c r="B563" s="5" t="inlineStr">
        <is>
          <t>x_0562</t>
        </is>
      </c>
      <c r="C563" s="5" t="n">
        <v>0</v>
      </c>
      <c r="D563" s="5" t="inlineStr">
        <is>
          <t>Deutsche Universität für Verwaltungswissenschaften Speyer</t>
        </is>
      </c>
      <c r="E563" s="5" t="inlineStr">
        <is>
          <t>Städtetag Rheinland-Pfalz</t>
        </is>
      </c>
      <c r="F563" s="5" t="n">
        <v>19</v>
      </c>
      <c r="G563" s="5" t="n">
        <v>85</v>
      </c>
      <c r="H563" s="5" t="inlineStr">
        <is>
          <t>academic_support</t>
        </is>
      </c>
      <c r="I563" t="inlineStr">
        <is>
          <t>university_research</t>
        </is>
      </c>
      <c r="J563" s="5" t="inlineStr">
        <is>
          <t>context_actor</t>
        </is>
      </c>
      <c r="K563" t="inlineStr">
        <is>
          <t>public_policy_anchor</t>
        </is>
      </c>
      <c r="L563" s="5" t="inlineStr">
        <is>
          <t>wissen</t>
        </is>
      </c>
      <c r="M563" s="5" t="inlineStr">
        <is>
          <t>verwaltungswissen_digitalisierung</t>
        </is>
      </c>
      <c r="N563" s="5" t="inlineStr">
        <is>
          <t>Verwaltungswissen und digitale Umsetzung</t>
        </is>
      </c>
      <c r="O563" s="5" t="n">
        <v>5</v>
      </c>
      <c r="P563" s="5" t="n">
        <v>5</v>
      </c>
      <c r="Q563" s="5" t="n">
        <v>14</v>
      </c>
      <c r="R563" s="5" t="n">
        <v>4</v>
      </c>
      <c r="S563" s="5" t="n">
        <v>0</v>
      </c>
      <c r="T563" s="5" t="n">
        <v>0</v>
      </c>
      <c r="U563" s="5" t="n">
        <v>2</v>
      </c>
      <c r="V563" s="5" t="n">
        <v>5</v>
      </c>
      <c r="W563" s="5" t="n">
        <v>5</v>
      </c>
      <c r="X563" s="5" t="n">
        <v>0</v>
      </c>
      <c r="Y563" s="5" t="n">
        <v>0</v>
      </c>
      <c r="Z563" s="5" t="n">
        <v>0</v>
      </c>
      <c r="AA563" s="5" t="n">
        <v>0</v>
      </c>
      <c r="AB563" s="5" t="n">
        <v>32.944957</v>
      </c>
      <c r="AC563" s="5" t="inlineStr">
        <is>
          <t>Wie wird Verwaltung bei Regulierung, Genehmigung, Digitalisierung und Umsetzung leistungsfähiger?</t>
        </is>
      </c>
      <c r="AD563" s="5" t="inlineStr">
        <is>
          <t>Verwaltungswissen und digitale Umsetzung: Deutsche Universität für Verwaltungswissenschaften Speyer (academic_support, 5) + Städtetag Rheinland-Pfalz (context_actor, 5).</t>
        </is>
      </c>
      <c r="AE563" s="5" t="inlineStr">
        <is>
          <t>Deutsche Universität für Verwaltungswissenschaften Speyer | Städtetag Rheinland-Pfalz</t>
        </is>
      </c>
      <c r="AF563" s="5" t="inlineStr">
        <is>
          <t>verwaltungswissen-digitalisierung-deutsche-universität-für-verwaltungswissenschaften-speyer-stä</t>
        </is>
      </c>
    </row>
    <row r="564">
      <c r="A564" s="5" t="inlineStr">
        <is>
          <t>C0563</t>
        </is>
      </c>
      <c r="B564" s="5" t="inlineStr">
        <is>
          <t>x_0563</t>
        </is>
      </c>
      <c r="C564" s="5" t="n">
        <v>0</v>
      </c>
      <c r="D564" s="5" t="inlineStr">
        <is>
          <t>Landkreistag Rheinland-Pfalz</t>
        </is>
      </c>
      <c r="E564" s="5" t="inlineStr">
        <is>
          <t>Sparkassenverband Rheinland-Pfalz</t>
        </is>
      </c>
      <c r="F564" s="5" t="n">
        <v>63</v>
      </c>
      <c r="G564" s="5" t="n">
        <v>82</v>
      </c>
      <c r="H564" s="5" t="inlineStr">
        <is>
          <t>context_actor</t>
        </is>
      </c>
      <c r="I564" t="inlineStr">
        <is>
          <t>public_policy_anchor</t>
        </is>
      </c>
      <c r="J564" s="5" t="inlineStr">
        <is>
          <t>profit_anchor</t>
        </is>
      </c>
      <c r="K564" t="inlineStr">
        <is>
          <t>bank_finance_anchor</t>
        </is>
      </c>
      <c r="L564" s="5" t="inlineStr">
        <is>
          <t>wissen</t>
        </is>
      </c>
      <c r="M564" s="5" t="inlineStr">
        <is>
          <t>verwaltungswissen_digitalisierung</t>
        </is>
      </c>
      <c r="N564" s="5" t="inlineStr">
        <is>
          <t>Verwaltungswissen und digitale Umsetzung</t>
        </is>
      </c>
      <c r="O564" s="5" t="n">
        <v>5</v>
      </c>
      <c r="P564" s="5" t="n">
        <v>3</v>
      </c>
      <c r="Q564" s="5" t="n">
        <v>12</v>
      </c>
      <c r="R564" s="5" t="n">
        <v>4</v>
      </c>
      <c r="S564" s="5" t="n">
        <v>0</v>
      </c>
      <c r="T564" s="5" t="n">
        <v>0</v>
      </c>
      <c r="U564" s="5" t="n">
        <v>2</v>
      </c>
      <c r="V564" s="5" t="n">
        <v>6</v>
      </c>
      <c r="W564" s="5" t="n">
        <v>6</v>
      </c>
      <c r="X564" s="5" t="n">
        <v>0</v>
      </c>
      <c r="Y564" s="5" t="n">
        <v>0</v>
      </c>
      <c r="Z564" s="5" t="n">
        <v>0</v>
      </c>
      <c r="AA564" s="5" t="n">
        <v>0</v>
      </c>
      <c r="AB564" s="5" t="n">
        <v>26.069425</v>
      </c>
      <c r="AC564" s="5" t="inlineStr">
        <is>
          <t>Wie wird Verwaltung bei Regulierung, Genehmigung, Digitalisierung und Umsetzung leistungsfähiger?</t>
        </is>
      </c>
      <c r="AD564" s="5" t="inlineStr">
        <is>
          <t>Verwaltungswissen und digitale Umsetzung: Landkreistag Rheinland-Pfalz (context_actor, 5) + Sparkassenverband Rheinland-Pfalz (profit_anchor, 3).</t>
        </is>
      </c>
      <c r="AE564" s="5" t="inlineStr">
        <is>
          <t>Landkreistag Rheinland-Pfalz | Sparkassenverband Rheinland-Pfalz</t>
        </is>
      </c>
      <c r="AF564" s="5" t="inlineStr">
        <is>
          <t>verwaltungswissen-digitalisierung-landkreistag-rheinland-pfalz-sparkassenverband-rheinland-pfal</t>
        </is>
      </c>
    </row>
    <row r="565">
      <c r="A565" s="5" t="inlineStr">
        <is>
          <t>C0564</t>
        </is>
      </c>
      <c r="B565" s="5" t="inlineStr">
        <is>
          <t>x_0564</t>
        </is>
      </c>
      <c r="C565" s="5" t="n">
        <v>0</v>
      </c>
      <c r="D565" s="5" t="inlineStr">
        <is>
          <t>Sparkassenverband Rheinland-Pfalz</t>
        </is>
      </c>
      <c r="E565" s="5" t="inlineStr">
        <is>
          <t>Staatskanzlei des Landes Rheinland-Pfalz</t>
        </is>
      </c>
      <c r="F565" s="5" t="n">
        <v>82</v>
      </c>
      <c r="G565" s="5" t="n">
        <v>83</v>
      </c>
      <c r="H565" s="5" t="inlineStr">
        <is>
          <t>profit_anchor</t>
        </is>
      </c>
      <c r="I565" t="inlineStr">
        <is>
          <t>bank_finance_anchor</t>
        </is>
      </c>
      <c r="J565" s="5" t="inlineStr">
        <is>
          <t>context_actor</t>
        </is>
      </c>
      <c r="K565" t="inlineStr">
        <is>
          <t>public_policy_anchor</t>
        </is>
      </c>
      <c r="L565" s="5" t="inlineStr">
        <is>
          <t>wissen</t>
        </is>
      </c>
      <c r="M565" s="5" t="inlineStr">
        <is>
          <t>verwaltungswissen_digitalisierung</t>
        </is>
      </c>
      <c r="N565" s="5" t="inlineStr">
        <is>
          <t>Verwaltungswissen und digitale Umsetzung</t>
        </is>
      </c>
      <c r="O565" s="5" t="n">
        <v>3</v>
      </c>
      <c r="P565" s="5" t="n">
        <v>5</v>
      </c>
      <c r="Q565" s="5" t="n">
        <v>12</v>
      </c>
      <c r="R565" s="5" t="n">
        <v>4</v>
      </c>
      <c r="S565" s="5" t="n">
        <v>0</v>
      </c>
      <c r="T565" s="5" t="n">
        <v>0</v>
      </c>
      <c r="U565" s="5" t="n">
        <v>2</v>
      </c>
      <c r="V565" s="5" t="n">
        <v>6</v>
      </c>
      <c r="W565" s="5" t="n">
        <v>6</v>
      </c>
      <c r="X565" s="5" t="n">
        <v>0</v>
      </c>
      <c r="Y565" s="5" t="n">
        <v>0</v>
      </c>
      <c r="Z565" s="5" t="n">
        <v>0</v>
      </c>
      <c r="AA565" s="5" t="n">
        <v>0</v>
      </c>
      <c r="AB565" s="5" t="n">
        <v>26.069425</v>
      </c>
      <c r="AC565" s="5" t="inlineStr">
        <is>
          <t>Wie wird Verwaltung bei Regulierung, Genehmigung, Digitalisierung und Umsetzung leistungsfähiger?</t>
        </is>
      </c>
      <c r="AD565" s="5" t="inlineStr">
        <is>
          <t>Verwaltungswissen und digitale Umsetzung: Sparkassenverband Rheinland-Pfalz (profit_anchor, 3) + Staatskanzlei des Landes Rheinland-Pfalz (context_actor, 5).</t>
        </is>
      </c>
      <c r="AE565" s="5" t="inlineStr">
        <is>
          <t>Sparkassenverband Rheinland-Pfalz | Staatskanzlei des Landes Rheinland-Pfalz</t>
        </is>
      </c>
      <c r="AF565" s="5" t="inlineStr">
        <is>
          <t>verwaltungswissen-digitalisierung-sparkassenverband-rheinland-pfalz-staatskanzlei-des-landes-rh</t>
        </is>
      </c>
    </row>
    <row r="566">
      <c r="A566" s="5" t="inlineStr">
        <is>
          <t>C0565</t>
        </is>
      </c>
      <c r="B566" s="5" t="inlineStr">
        <is>
          <t>x_0565</t>
        </is>
      </c>
      <c r="C566" s="5" t="n">
        <v>0</v>
      </c>
      <c r="D566" s="5" t="inlineStr">
        <is>
          <t>Sparkassenverband Rheinland-Pfalz</t>
        </is>
      </c>
      <c r="E566" s="5" t="inlineStr">
        <is>
          <t>Städtetag Rheinland-Pfalz</t>
        </is>
      </c>
      <c r="F566" s="5" t="n">
        <v>82</v>
      </c>
      <c r="G566" s="5" t="n">
        <v>85</v>
      </c>
      <c r="H566" s="5" t="inlineStr">
        <is>
          <t>profit_anchor</t>
        </is>
      </c>
      <c r="I566" t="inlineStr">
        <is>
          <t>bank_finance_anchor</t>
        </is>
      </c>
      <c r="J566" s="5" t="inlineStr">
        <is>
          <t>context_actor</t>
        </is>
      </c>
      <c r="K566" t="inlineStr">
        <is>
          <t>public_policy_anchor</t>
        </is>
      </c>
      <c r="L566" s="5" t="inlineStr">
        <is>
          <t>wissen</t>
        </is>
      </c>
      <c r="M566" s="5" t="inlineStr">
        <is>
          <t>verwaltungswissen_digitalisierung</t>
        </is>
      </c>
      <c r="N566" s="5" t="inlineStr">
        <is>
          <t>Verwaltungswissen und digitale Umsetzung</t>
        </is>
      </c>
      <c r="O566" s="5" t="n">
        <v>3</v>
      </c>
      <c r="P566" s="5" t="n">
        <v>5</v>
      </c>
      <c r="Q566" s="5" t="n">
        <v>12</v>
      </c>
      <c r="R566" s="5" t="n">
        <v>4</v>
      </c>
      <c r="S566" s="5" t="n">
        <v>0</v>
      </c>
      <c r="T566" s="5" t="n">
        <v>0</v>
      </c>
      <c r="U566" s="5" t="n">
        <v>2</v>
      </c>
      <c r="V566" s="5" t="n">
        <v>6</v>
      </c>
      <c r="W566" s="5" t="n">
        <v>6</v>
      </c>
      <c r="X566" s="5" t="n">
        <v>0</v>
      </c>
      <c r="Y566" s="5" t="n">
        <v>0</v>
      </c>
      <c r="Z566" s="5" t="n">
        <v>0</v>
      </c>
      <c r="AA566" s="5" t="n">
        <v>0</v>
      </c>
      <c r="AB566" s="5" t="n">
        <v>26.069425</v>
      </c>
      <c r="AC566" s="5" t="inlineStr">
        <is>
          <t>Wie wird Verwaltung bei Regulierung, Genehmigung, Digitalisierung und Umsetzung leistungsfähiger?</t>
        </is>
      </c>
      <c r="AD566" s="5" t="inlineStr">
        <is>
          <t>Verwaltungswissen und digitale Umsetzung: Sparkassenverband Rheinland-Pfalz (profit_anchor, 3) + Städtetag Rheinland-Pfalz (context_actor, 5).</t>
        </is>
      </c>
      <c r="AE566" s="5" t="inlineStr">
        <is>
          <t>Sparkassenverband Rheinland-Pfalz | Städtetag Rheinland-Pfalz</t>
        </is>
      </c>
      <c r="AF566" s="5" t="inlineStr">
        <is>
          <t>verwaltungswissen-digitalisierung-sparkassenverband-rheinland-pfalz-städtetag-rheinland-pfalz</t>
        </is>
      </c>
    </row>
    <row r="567">
      <c r="A567" s="5" t="inlineStr">
        <is>
          <t>C0566</t>
        </is>
      </c>
      <c r="B567" s="5" t="inlineStr">
        <is>
          <t>x_0566</t>
        </is>
      </c>
      <c r="C567" s="5" t="n">
        <v>0</v>
      </c>
      <c r="D567" s="5" t="inlineStr">
        <is>
          <t>Hochschule Trier</t>
        </is>
      </c>
      <c r="E567" s="5" t="inlineStr">
        <is>
          <t>Mainzer Stadtwerke AG</t>
        </is>
      </c>
      <c r="F567" s="5" t="n">
        <v>40</v>
      </c>
      <c r="G567" s="5" t="n">
        <v>68</v>
      </c>
      <c r="H567" s="5" t="inlineStr">
        <is>
          <t>academic_support</t>
        </is>
      </c>
      <c r="I567" t="inlineStr">
        <is>
          <t>university_applied_sciences</t>
        </is>
      </c>
      <c r="J567" s="5" t="inlineStr">
        <is>
          <t>profit_anchor</t>
        </is>
      </c>
      <c r="K567" t="inlineStr">
        <is>
          <t>energy_infrastructure_anchor</t>
        </is>
      </c>
      <c r="L567" s="5" t="inlineStr">
        <is>
          <t>nachhaltigkeit</t>
        </is>
      </c>
      <c r="M567" s="5" t="inlineStr">
        <is>
          <t>wasser_umwelttechnik_resilienz</t>
        </is>
      </c>
      <c r="N567" s="5" t="inlineStr">
        <is>
          <t>Wasser, Umwelttechnik und kommunale Resilienz</t>
        </is>
      </c>
      <c r="O567" s="5" t="n">
        <v>4</v>
      </c>
      <c r="P567" s="5" t="n">
        <v>4</v>
      </c>
      <c r="Q567" s="5" t="n">
        <v>12</v>
      </c>
      <c r="R567" s="5" t="n">
        <v>4</v>
      </c>
      <c r="S567" s="5" t="n">
        <v>0</v>
      </c>
      <c r="T567" s="5" t="n">
        <v>0</v>
      </c>
      <c r="U567" s="5" t="n">
        <v>2</v>
      </c>
      <c r="V567" s="5" t="n">
        <v>6</v>
      </c>
      <c r="W567" s="5" t="n">
        <v>6</v>
      </c>
      <c r="X567" s="5" t="n">
        <v>0</v>
      </c>
      <c r="Y567" s="5" t="n">
        <v>0</v>
      </c>
      <c r="Z567" s="5" t="n">
        <v>0</v>
      </c>
      <c r="AA567" s="5" t="n">
        <v>0</v>
      </c>
      <c r="AB567" s="5" t="n">
        <v>23.924287</v>
      </c>
      <c r="AC567" s="5" t="inlineStr">
        <is>
          <t>Wie können Kommunen und Infrastrukturträger Wasser-, Abwasser- und Umwelttechnik digitaler und resilienter steuern?</t>
        </is>
      </c>
      <c r="AD567" s="5" t="inlineStr">
        <is>
          <t>Wasser, Umwelttechnik und kommunale Resilienz: Hochschule Trier (academic_support, 4) + Mainzer Stadtwerke AG (profit_anchor, 4).</t>
        </is>
      </c>
      <c r="AE567" s="5" t="inlineStr">
        <is>
          <t>Hochschule Trier | Mainzer Stadtwerke AG</t>
        </is>
      </c>
      <c r="AF567" s="5" t="inlineStr">
        <is>
          <t>wasser-umwelttechnik-resilienz-hochschule-trier-mainzer-stadtwerke-ag</t>
        </is>
      </c>
    </row>
    <row r="568">
      <c r="A568" s="5" t="inlineStr">
        <is>
          <t>C0567</t>
        </is>
      </c>
      <c r="B568" s="5" t="inlineStr">
        <is>
          <t>x_0567</t>
        </is>
      </c>
      <c r="C568" s="5" t="n">
        <v>0</v>
      </c>
      <c r="D568" s="5" t="inlineStr">
        <is>
          <t>Duale Hochschule Rheinland-Pfalz</t>
        </is>
      </c>
      <c r="E568" s="5" t="inlineStr">
        <is>
          <t>GLOBUS Markthallen Holding GmbH &amp; Co. KG</t>
        </is>
      </c>
      <c r="F568" s="5" t="n">
        <v>21</v>
      </c>
      <c r="G568" s="5" t="n">
        <v>31</v>
      </c>
      <c r="H568" s="5" t="inlineStr">
        <is>
          <t>academic_support</t>
        </is>
      </c>
      <c r="I568" t="inlineStr">
        <is>
          <t>university_applied_sciences</t>
        </is>
      </c>
      <c r="J568" s="5" t="inlineStr">
        <is>
          <t>profit_anchor</t>
        </is>
      </c>
      <c r="K568" t="inlineStr">
        <is>
          <t>food_beverage_consumer_anchor</t>
        </is>
      </c>
      <c r="L568" s="5" t="inlineStr">
        <is>
          <t>wissen</t>
        </is>
      </c>
      <c r="M568" s="5" t="inlineStr">
        <is>
          <t>weiterbildung_lebenslanges_lernen</t>
        </is>
      </c>
      <c r="N568" s="5" t="inlineStr">
        <is>
          <t>Weiterbildung und lebenslanges Lernen</t>
        </is>
      </c>
      <c r="O568" s="5" t="n">
        <v>5</v>
      </c>
      <c r="P568" s="5" t="n">
        <v>3</v>
      </c>
      <c r="Q568" s="5" t="n">
        <v>12</v>
      </c>
      <c r="R568" s="5" t="n">
        <v>4</v>
      </c>
      <c r="S568" s="5" t="n">
        <v>0</v>
      </c>
      <c r="T568" s="5" t="n">
        <v>0</v>
      </c>
      <c r="U568" s="5" t="n">
        <v>2</v>
      </c>
      <c r="V568" s="5" t="n">
        <v>6</v>
      </c>
      <c r="W568" s="5" t="n">
        <v>6</v>
      </c>
      <c r="X568" s="5" t="n">
        <v>0</v>
      </c>
      <c r="Y568" s="5" t="n">
        <v>0</v>
      </c>
      <c r="Z568" s="5" t="n">
        <v>0</v>
      </c>
      <c r="AA568" s="5" t="n">
        <v>0</v>
      </c>
      <c r="AB568" s="5" t="n">
        <v>28.709145</v>
      </c>
      <c r="AC568" s="5" t="inlineStr">
        <is>
          <t>Wie können Beschäftigte, Verwaltung und Unternehmen Weiterbildung in reale Transformationsprozesse integrieren?</t>
        </is>
      </c>
      <c r="AD568" s="5" t="inlineStr">
        <is>
          <t>Weiterbildung und lebenslanges Lernen: Duale Hochschule Rheinland-Pfalz (academic_support, 5) + GLOBUS Markthallen Holding GmbH &amp; Co. KG (profit_anchor, 3).</t>
        </is>
      </c>
      <c r="AE568" s="5" t="inlineStr">
        <is>
          <t>Duale Hochschule Rheinland-Pfalz | GLOBUS Markthallen Holding GmbH &amp; Co. KG</t>
        </is>
      </c>
      <c r="AF568" s="5" t="inlineStr">
        <is>
          <t>weiterbildung-lebenslanges-lernen-duale-hochschule-rheinland-pfalz-globus-markthallen-holding-g</t>
        </is>
      </c>
    </row>
    <row r="569">
      <c r="A569" s="5" t="inlineStr">
        <is>
          <t>C0568</t>
        </is>
      </c>
      <c r="B569" s="5" t="inlineStr">
        <is>
          <t>x_0568</t>
        </is>
      </c>
      <c r="C569" s="5" t="n">
        <v>0</v>
      </c>
      <c r="D569" s="5" t="inlineStr">
        <is>
          <t>Duale Hochschule Rheinland-Pfalz</t>
        </is>
      </c>
      <c r="E569" s="5" t="inlineStr">
        <is>
          <t>Leonardo PersonalKonzept GmbH</t>
        </is>
      </c>
      <c r="F569" s="5" t="n">
        <v>21</v>
      </c>
      <c r="G569" s="5" t="n">
        <v>64</v>
      </c>
      <c r="H569" s="5" t="inlineStr">
        <is>
          <t>academic_support</t>
        </is>
      </c>
      <c r="I569" t="inlineStr">
        <is>
          <t>university_applied_sciences</t>
        </is>
      </c>
      <c r="J569" s="5" t="inlineStr">
        <is>
          <t>profit_anchor</t>
        </is>
      </c>
      <c r="K569" t="inlineStr">
        <is>
          <t>professional_services_anchor</t>
        </is>
      </c>
      <c r="L569" s="5" t="inlineStr">
        <is>
          <t>wissen</t>
        </is>
      </c>
      <c r="M569" s="5" t="inlineStr">
        <is>
          <t>weiterbildung_lebenslanges_lernen</t>
        </is>
      </c>
      <c r="N569" s="5" t="inlineStr">
        <is>
          <t>Weiterbildung und lebenslanges Lernen</t>
        </is>
      </c>
      <c r="O569" s="5" t="n">
        <v>5</v>
      </c>
      <c r="P569" s="5" t="n">
        <v>3</v>
      </c>
      <c r="Q569" s="5" t="n">
        <v>12</v>
      </c>
      <c r="R569" s="5" t="n">
        <v>4</v>
      </c>
      <c r="S569" s="5" t="n">
        <v>0</v>
      </c>
      <c r="T569" s="5" t="n">
        <v>0</v>
      </c>
      <c r="U569" s="5" t="n">
        <v>2</v>
      </c>
      <c r="V569" s="5" t="n">
        <v>6</v>
      </c>
      <c r="W569" s="5" t="n">
        <v>6</v>
      </c>
      <c r="X569" s="5" t="n">
        <v>0</v>
      </c>
      <c r="Y569" s="5" t="n">
        <v>0</v>
      </c>
      <c r="Z569" s="5" t="n">
        <v>0</v>
      </c>
      <c r="AA569" s="5" t="n">
        <v>0</v>
      </c>
      <c r="AB569" s="5" t="n">
        <v>28.709145</v>
      </c>
      <c r="AC569" s="5" t="inlineStr">
        <is>
          <t>Wie können Beschäftigte, Verwaltung und Unternehmen Weiterbildung in reale Transformationsprozesse integrieren?</t>
        </is>
      </c>
      <c r="AD569" s="5" t="inlineStr">
        <is>
          <t>Weiterbildung und lebenslanges Lernen: Duale Hochschule Rheinland-Pfalz (academic_support, 5) + Leonardo PersonalKonzept GmbH (profit_anchor, 3).</t>
        </is>
      </c>
      <c r="AE569" s="5" t="inlineStr">
        <is>
          <t>Duale Hochschule Rheinland-Pfalz | Leonardo PersonalKonzept GmbH</t>
        </is>
      </c>
      <c r="AF569" s="5" t="inlineStr">
        <is>
          <t>weiterbildung-lebenslanges-lernen-duale-hochschule-rheinland-pfalz-leonardo-personalkonzept-gmb</t>
        </is>
      </c>
    </row>
    <row r="570">
      <c r="A570" s="5" t="inlineStr">
        <is>
          <t>C0569</t>
        </is>
      </c>
      <c r="B570" s="5" t="inlineStr">
        <is>
          <t>x_0569</t>
        </is>
      </c>
      <c r="C570" s="5" t="n">
        <v>0</v>
      </c>
      <c r="D570" s="5" t="inlineStr">
        <is>
          <t>Deutsche Universität für Verwaltungswissenschaften Speyer</t>
        </is>
      </c>
      <c r="E570" s="5" t="inlineStr">
        <is>
          <t>Evangelische Kirche der Pfalz</t>
        </is>
      </c>
      <c r="F570" s="5" t="n">
        <v>19</v>
      </c>
      <c r="G570" s="5" t="n">
        <v>28</v>
      </c>
      <c r="H570" s="5" t="inlineStr">
        <is>
          <t>academic_support</t>
        </is>
      </c>
      <c r="I570" t="inlineStr">
        <is>
          <t>university_research</t>
        </is>
      </c>
      <c r="J570" s="5" t="inlineStr">
        <is>
          <t>context_actor</t>
        </is>
      </c>
      <c r="K570" t="inlineStr">
        <is>
          <t>culture_foundation_anchor</t>
        </is>
      </c>
      <c r="L570" s="5" t="inlineStr">
        <is>
          <t>wissen</t>
        </is>
      </c>
      <c r="M570" s="5" t="inlineStr">
        <is>
          <t>wissenschaft_demokratie_gesellschaft</t>
        </is>
      </c>
      <c r="N570" s="5" t="inlineStr">
        <is>
          <t>Wissenschaft, Demokratie und gesellschaftlicher Zusammenhalt</t>
        </is>
      </c>
      <c r="O570" s="5" t="n">
        <v>5</v>
      </c>
      <c r="P570" s="5" t="n">
        <v>5</v>
      </c>
      <c r="Q570" s="5" t="n">
        <v>14</v>
      </c>
      <c r="R570" s="5" t="n">
        <v>4</v>
      </c>
      <c r="S570" s="5" t="n">
        <v>0</v>
      </c>
      <c r="T570" s="5" t="n">
        <v>0</v>
      </c>
      <c r="U570" s="5" t="n">
        <v>2</v>
      </c>
      <c r="V570" s="5" t="n">
        <v>5</v>
      </c>
      <c r="W570" s="5" t="n">
        <v>5</v>
      </c>
      <c r="X570" s="5" t="n">
        <v>0</v>
      </c>
      <c r="Y570" s="5" t="n">
        <v>0</v>
      </c>
      <c r="Z570" s="5" t="n">
        <v>0</v>
      </c>
      <c r="AA570" s="5" t="n">
        <v>0</v>
      </c>
      <c r="AB570" s="5" t="n">
        <v>40.863189</v>
      </c>
      <c r="AC570" s="5" t="inlineStr">
        <is>
          <t>Wie kann wissenschaftliches Wissen in gesellschaftliche Debatten, Demokratiebildung und öffentliche Orientierung wirken?</t>
        </is>
      </c>
      <c r="AD570" s="5" t="inlineStr">
        <is>
          <t>Wissenschaft, Demokratie und gesellschaftlicher Zusammenhalt: Deutsche Universität für Verwaltungswissenschaften Speyer (academic_support, 5) + Evangelische Kirche der Pfalz (context_actor, 5).</t>
        </is>
      </c>
      <c r="AE570" s="5" t="inlineStr">
        <is>
          <t>Deutsche Universität für Verwaltungswissenschaften Speyer | Evangelische Kirche der Pfalz</t>
        </is>
      </c>
      <c r="AF570" s="5" t="inlineStr">
        <is>
          <t>wissenschaft-demokratie-gesellschaft-deutsche-universität-für-verwaltungswissenschaften-speyer-</t>
        </is>
      </c>
    </row>
    <row r="571">
      <c r="A571" s="5" t="inlineStr">
        <is>
          <t>C0570</t>
        </is>
      </c>
      <c r="B571" s="5" t="inlineStr">
        <is>
          <t>x_0570</t>
        </is>
      </c>
      <c r="C571" s="5" t="n">
        <v>0</v>
      </c>
      <c r="D571" s="5" t="inlineStr">
        <is>
          <t>Deutsche Universität für Verwaltungswissenschaften Speyer</t>
        </is>
      </c>
      <c r="E571" s="5" t="inlineStr">
        <is>
          <t>SWR – Südwestrundfunk</t>
        </is>
      </c>
      <c r="F571" s="5" t="n">
        <v>19</v>
      </c>
      <c r="G571" s="5" t="n">
        <v>86</v>
      </c>
      <c r="H571" s="5" t="inlineStr">
        <is>
          <t>academic_support</t>
        </is>
      </c>
      <c r="I571" t="inlineStr">
        <is>
          <t>university_research</t>
        </is>
      </c>
      <c r="J571" s="5" t="inlineStr">
        <is>
          <t>context_actor</t>
        </is>
      </c>
      <c r="K571" t="inlineStr">
        <is>
          <t>media_publicity_anchor</t>
        </is>
      </c>
      <c r="L571" s="5" t="inlineStr">
        <is>
          <t>wissen</t>
        </is>
      </c>
      <c r="M571" s="5" t="inlineStr">
        <is>
          <t>wissenschaft_demokratie_gesellschaft</t>
        </is>
      </c>
      <c r="N571" s="5" t="inlineStr">
        <is>
          <t>Wissenschaft, Demokratie und gesellschaftlicher Zusammenhalt</t>
        </is>
      </c>
      <c r="O571" s="5" t="n">
        <v>5</v>
      </c>
      <c r="P571" s="5" t="n">
        <v>5</v>
      </c>
      <c r="Q571" s="5" t="n">
        <v>14</v>
      </c>
      <c r="R571" s="5" t="n">
        <v>4</v>
      </c>
      <c r="S571" s="5" t="n">
        <v>0</v>
      </c>
      <c r="T571" s="5" t="n">
        <v>0</v>
      </c>
      <c r="U571" s="5" t="n">
        <v>2</v>
      </c>
      <c r="V571" s="5" t="n">
        <v>5</v>
      </c>
      <c r="W571" s="5" t="n">
        <v>5</v>
      </c>
      <c r="X571" s="5" t="n">
        <v>0</v>
      </c>
      <c r="Y571" s="5" t="n">
        <v>0</v>
      </c>
      <c r="Z571" s="5" t="n">
        <v>0</v>
      </c>
      <c r="AA571" s="5" t="n">
        <v>0</v>
      </c>
      <c r="AB571" s="5" t="n">
        <v>40.863189</v>
      </c>
      <c r="AC571" s="5" t="inlineStr">
        <is>
          <t>Wie kann wissenschaftliches Wissen in gesellschaftliche Debatten, Demokratiebildung und öffentliche Orientierung wirken?</t>
        </is>
      </c>
      <c r="AD571" s="5" t="inlineStr">
        <is>
          <t>Wissenschaft, Demokratie und gesellschaftlicher Zusammenhalt: Deutsche Universität für Verwaltungswissenschaften Speyer (academic_support, 5) + SWR – Südwestrundfunk (context_actor, 5).</t>
        </is>
      </c>
      <c r="AE571" s="5" t="inlineStr">
        <is>
          <t>Deutsche Universität für Verwaltungswissenschaften Speyer | SWR – Südwestrundfunk</t>
        </is>
      </c>
      <c r="AF571" s="5" t="inlineStr">
        <is>
          <t>wissenschaft-demokratie-gesellschaft-deutsche-universität-für-verwaltungswissenschaften-speyer-</t>
        </is>
      </c>
    </row>
    <row r="572">
      <c r="A572" s="5" t="inlineStr">
        <is>
          <t>C0571</t>
        </is>
      </c>
      <c r="B572" s="5" t="inlineStr">
        <is>
          <t>x_0571</t>
        </is>
      </c>
      <c r="C572" s="5" t="n">
        <v>0</v>
      </c>
      <c r="D572" s="5" t="inlineStr">
        <is>
          <t>Deutsche Universität für Verwaltungswissenschaften Speyer</t>
        </is>
      </c>
      <c r="E572" s="5" t="inlineStr">
        <is>
          <t>Staatskanzlei des Landes Rheinland-Pfalz</t>
        </is>
      </c>
      <c r="F572" s="5" t="n">
        <v>19</v>
      </c>
      <c r="G572" s="5" t="n">
        <v>83</v>
      </c>
      <c r="H572" s="5" t="inlineStr">
        <is>
          <t>academic_support</t>
        </is>
      </c>
      <c r="I572" t="inlineStr">
        <is>
          <t>university_research</t>
        </is>
      </c>
      <c r="J572" s="5" t="inlineStr">
        <is>
          <t>context_actor</t>
        </is>
      </c>
      <c r="K572" t="inlineStr">
        <is>
          <t>public_policy_anchor</t>
        </is>
      </c>
      <c r="L572" s="5" t="inlineStr">
        <is>
          <t>wissen</t>
        </is>
      </c>
      <c r="M572" s="5" t="inlineStr">
        <is>
          <t>wissenschaft_demokratie_gesellschaft</t>
        </is>
      </c>
      <c r="N572" s="5" t="inlineStr">
        <is>
          <t>Wissenschaft, Demokratie und gesellschaftlicher Zusammenhalt</t>
        </is>
      </c>
      <c r="O572" s="5" t="n">
        <v>5</v>
      </c>
      <c r="P572" s="5" t="n">
        <v>5</v>
      </c>
      <c r="Q572" s="5" t="n">
        <v>14</v>
      </c>
      <c r="R572" s="5" t="n">
        <v>4</v>
      </c>
      <c r="S572" s="5" t="n">
        <v>0</v>
      </c>
      <c r="T572" s="5" t="n">
        <v>0</v>
      </c>
      <c r="U572" s="5" t="n">
        <v>2</v>
      </c>
      <c r="V572" s="5" t="n">
        <v>5</v>
      </c>
      <c r="W572" s="5" t="n">
        <v>5</v>
      </c>
      <c r="X572" s="5" t="n">
        <v>0</v>
      </c>
      <c r="Y572" s="5" t="n">
        <v>0</v>
      </c>
      <c r="Z572" s="5" t="n">
        <v>0</v>
      </c>
      <c r="AA572" s="5" t="n">
        <v>0</v>
      </c>
      <c r="AB572" s="5" t="n">
        <v>32.944957</v>
      </c>
      <c r="AC572" s="5" t="inlineStr">
        <is>
          <t>Wie kann wissenschaftliches Wissen in gesellschaftliche Debatten, Demokratiebildung und öffentliche Orientierung wirken?</t>
        </is>
      </c>
      <c r="AD572" s="5" t="inlineStr">
        <is>
          <t>Wissenschaft, Demokratie und gesellschaftlicher Zusammenhalt: Deutsche Universität für Verwaltungswissenschaften Speyer (academic_support, 5) + Staatskanzlei des Landes Rheinland-Pfalz (context_actor, 5).</t>
        </is>
      </c>
      <c r="AE572" s="5" t="inlineStr">
        <is>
          <t>Deutsche Universität für Verwaltungswissenschaften Speyer | Staatskanzlei des Landes Rheinland-Pfalz</t>
        </is>
      </c>
      <c r="AF572" s="5" t="inlineStr">
        <is>
          <t>wissenschaft-demokratie-gesellschaft-deutsche-universität-für-verwaltungswissenschaften-speyer-</t>
        </is>
      </c>
    </row>
    <row r="573">
      <c r="A573" s="5" t="inlineStr">
        <is>
          <t>C0572</t>
        </is>
      </c>
      <c r="B573" s="5" t="inlineStr">
        <is>
          <t>x_0572</t>
        </is>
      </c>
      <c r="C573" s="5" t="n">
        <v>0</v>
      </c>
      <c r="D573" s="5" t="inlineStr">
        <is>
          <t>Deutsche Universität für Verwaltungswissenschaften Speyer</t>
        </is>
      </c>
      <c r="E573" s="5" t="inlineStr">
        <is>
          <t>ZDF – Zweites Deutsches Fernsehen</t>
        </is>
      </c>
      <c r="F573" s="5" t="n">
        <v>19</v>
      </c>
      <c r="G573" s="5" t="n">
        <v>102</v>
      </c>
      <c r="H573" s="5" t="inlineStr">
        <is>
          <t>academic_support</t>
        </is>
      </c>
      <c r="I573" t="inlineStr">
        <is>
          <t>university_research</t>
        </is>
      </c>
      <c r="J573" s="5" t="inlineStr">
        <is>
          <t>context_actor</t>
        </is>
      </c>
      <c r="K573" t="inlineStr">
        <is>
          <t>media_publicity_anchor</t>
        </is>
      </c>
      <c r="L573" s="5" t="inlineStr">
        <is>
          <t>wissen</t>
        </is>
      </c>
      <c r="M573" s="5" t="inlineStr">
        <is>
          <t>wissenschaft_demokratie_gesellschaft</t>
        </is>
      </c>
      <c r="N573" s="5" t="inlineStr">
        <is>
          <t>Wissenschaft, Demokratie und gesellschaftlicher Zusammenhalt</t>
        </is>
      </c>
      <c r="O573" s="5" t="n">
        <v>5</v>
      </c>
      <c r="P573" s="5" t="n">
        <v>5</v>
      </c>
      <c r="Q573" s="5" t="n">
        <v>14</v>
      </c>
      <c r="R573" s="5" t="n">
        <v>4</v>
      </c>
      <c r="S573" s="5" t="n">
        <v>0</v>
      </c>
      <c r="T573" s="5" t="n">
        <v>0</v>
      </c>
      <c r="U573" s="5" t="n">
        <v>2</v>
      </c>
      <c r="V573" s="5" t="n">
        <v>5</v>
      </c>
      <c r="W573" s="5" t="n">
        <v>5</v>
      </c>
      <c r="X573" s="5" t="n">
        <v>0</v>
      </c>
      <c r="Y573" s="5" t="n">
        <v>0</v>
      </c>
      <c r="Z573" s="5" t="n">
        <v>0</v>
      </c>
      <c r="AA573" s="5" t="n">
        <v>0</v>
      </c>
      <c r="AB573" s="5" t="n">
        <v>40.863189</v>
      </c>
      <c r="AC573" s="5" t="inlineStr">
        <is>
          <t>Wie kann wissenschaftliches Wissen in gesellschaftliche Debatten, Demokratiebildung und öffentliche Orientierung wirken?</t>
        </is>
      </c>
      <c r="AD573" s="5" t="inlineStr">
        <is>
          <t>Wissenschaft, Demokratie und gesellschaftlicher Zusammenhalt: Deutsche Universität für Verwaltungswissenschaften Speyer (academic_support, 5) + ZDF – Zweites Deutsches Fernsehen (context_actor, 5).</t>
        </is>
      </c>
      <c r="AE573" s="5" t="inlineStr">
        <is>
          <t>Deutsche Universität für Verwaltungswissenschaften Speyer | ZDF – Zweites Deutsches Fernsehen</t>
        </is>
      </c>
      <c r="AF573" s="5" t="inlineStr">
        <is>
          <t>wissenschaft-demokratie-gesellschaft-deutsche-universität-für-verwaltungswissenschaften-speyer-</t>
        </is>
      </c>
    </row>
    <row r="574">
      <c r="A574" s="5" t="inlineStr">
        <is>
          <t>C0573</t>
        </is>
      </c>
      <c r="B574" s="5" t="inlineStr">
        <is>
          <t>x_0573</t>
        </is>
      </c>
      <c r="C574" s="5" t="n">
        <v>0</v>
      </c>
      <c r="D574" s="5" t="inlineStr">
        <is>
          <t>Evangelische Kirche der Pfalz</t>
        </is>
      </c>
      <c r="E574" s="5" t="inlineStr">
        <is>
          <t>Hochschule für Gesellschaftsgestaltung (HfGG)</t>
        </is>
      </c>
      <c r="F574" s="5" t="n">
        <v>28</v>
      </c>
      <c r="G574" s="5" t="n">
        <v>34</v>
      </c>
      <c r="H574" s="5" t="inlineStr">
        <is>
          <t>context_actor</t>
        </is>
      </c>
      <c r="I574" t="inlineStr">
        <is>
          <t>culture_foundation_anchor</t>
        </is>
      </c>
      <c r="J574" s="5" t="inlineStr">
        <is>
          <t>academic_support</t>
        </is>
      </c>
      <c r="K574" t="inlineStr">
        <is>
          <t>university_applied_sciences</t>
        </is>
      </c>
      <c r="L574" s="5" t="inlineStr">
        <is>
          <t>wissen</t>
        </is>
      </c>
      <c r="M574" s="5" t="inlineStr">
        <is>
          <t>wissenschaft_demokratie_gesellschaft</t>
        </is>
      </c>
      <c r="N574" s="5" t="inlineStr">
        <is>
          <t>Wissenschaft, Demokratie und gesellschaftlicher Zusammenhalt</t>
        </is>
      </c>
      <c r="O574" s="5" t="n">
        <v>5</v>
      </c>
      <c r="P574" s="5" t="n">
        <v>5</v>
      </c>
      <c r="Q574" s="5" t="n">
        <v>14</v>
      </c>
      <c r="R574" s="5" t="n">
        <v>4</v>
      </c>
      <c r="S574" s="5" t="n">
        <v>0</v>
      </c>
      <c r="T574" s="5" t="n">
        <v>0</v>
      </c>
      <c r="U574" s="5" t="n">
        <v>2</v>
      </c>
      <c r="V574" s="5" t="n">
        <v>5</v>
      </c>
      <c r="W574" s="5" t="n">
        <v>5</v>
      </c>
      <c r="X574" s="5" t="n">
        <v>0</v>
      </c>
      <c r="Y574" s="5" t="n">
        <v>0</v>
      </c>
      <c r="Z574" s="5" t="n">
        <v>0</v>
      </c>
      <c r="AA574" s="5" t="n">
        <v>0</v>
      </c>
      <c r="AB574" s="5" t="n">
        <v>38.569939</v>
      </c>
      <c r="AC574" s="5" t="inlineStr">
        <is>
          <t>Wie kann wissenschaftliches Wissen in gesellschaftliche Debatten, Demokratiebildung und öffentliche Orientierung wirken?</t>
        </is>
      </c>
      <c r="AD574" s="5" t="inlineStr">
        <is>
          <t>Wissenschaft, Demokratie und gesellschaftlicher Zusammenhalt: Evangelische Kirche der Pfalz (context_actor, 5) + Hochschule für Gesellschaftsgestaltung (HfGG) (academic_support, 5).</t>
        </is>
      </c>
      <c r="AE574" s="5" t="inlineStr">
        <is>
          <t>Evangelische Kirche der Pfalz | Hochschule für Gesellschaftsgestaltung (HfGG)</t>
        </is>
      </c>
      <c r="AF574" s="5" t="inlineStr">
        <is>
          <t>wissenschaft-demokratie-gesellschaft-evangelische-kirche-der-pfalz-hochschule-für-gesellschafts</t>
        </is>
      </c>
    </row>
    <row r="575">
      <c r="A575" s="5" t="inlineStr">
        <is>
          <t>C0574</t>
        </is>
      </c>
      <c r="B575" s="5" t="inlineStr">
        <is>
          <t>x_0574</t>
        </is>
      </c>
      <c r="C575" s="5" t="n">
        <v>0</v>
      </c>
      <c r="D575" s="5" t="inlineStr">
        <is>
          <t>Evangelische Kirche der Pfalz</t>
        </is>
      </c>
      <c r="E575" s="5" t="inlineStr">
        <is>
          <t>Johannes Gutenberg-Universität Mainz</t>
        </is>
      </c>
      <c r="F575" s="5" t="n">
        <v>28</v>
      </c>
      <c r="G575" s="5" t="n">
        <v>49</v>
      </c>
      <c r="H575" s="5" t="inlineStr">
        <is>
          <t>context_actor</t>
        </is>
      </c>
      <c r="I575" t="inlineStr">
        <is>
          <t>culture_foundation_anchor</t>
        </is>
      </c>
      <c r="J575" s="5" t="inlineStr">
        <is>
          <t>academic_support</t>
        </is>
      </c>
      <c r="K575" t="inlineStr">
        <is>
          <t>university_research</t>
        </is>
      </c>
      <c r="L575" s="5" t="inlineStr">
        <is>
          <t>wissen</t>
        </is>
      </c>
      <c r="M575" s="5" t="inlineStr">
        <is>
          <t>wissenschaft_demokratie_gesellschaft</t>
        </is>
      </c>
      <c r="N575" s="5" t="inlineStr">
        <is>
          <t>Wissenschaft, Demokratie und gesellschaftlicher Zusammenhalt</t>
        </is>
      </c>
      <c r="O575" s="5" t="n">
        <v>5</v>
      </c>
      <c r="P575" s="5" t="n">
        <v>5</v>
      </c>
      <c r="Q575" s="5" t="n">
        <v>14</v>
      </c>
      <c r="R575" s="5" t="n">
        <v>4</v>
      </c>
      <c r="S575" s="5" t="n">
        <v>0</v>
      </c>
      <c r="T575" s="5" t="n">
        <v>0</v>
      </c>
      <c r="U575" s="5" t="n">
        <v>2</v>
      </c>
      <c r="V575" s="5" t="n">
        <v>5</v>
      </c>
      <c r="W575" s="5" t="n">
        <v>5</v>
      </c>
      <c r="X575" s="5" t="n">
        <v>0</v>
      </c>
      <c r="Y575" s="5" t="n">
        <v>0</v>
      </c>
      <c r="Z575" s="5" t="n">
        <v>0</v>
      </c>
      <c r="AA575" s="5" t="n">
        <v>0</v>
      </c>
      <c r="AB575" s="5" t="n">
        <v>40.863189</v>
      </c>
      <c r="AC575" s="5" t="inlineStr">
        <is>
          <t>Wie kann wissenschaftliches Wissen in gesellschaftliche Debatten, Demokratiebildung und öffentliche Orientierung wirken?</t>
        </is>
      </c>
      <c r="AD575" s="5" t="inlineStr">
        <is>
          <t>Wissenschaft, Demokratie und gesellschaftlicher Zusammenhalt: Evangelische Kirche der Pfalz (context_actor, 5) + Johannes Gutenberg-Universität Mainz (academic_support, 5).</t>
        </is>
      </c>
      <c r="AE575" s="5" t="inlineStr">
        <is>
          <t>Evangelische Kirche der Pfalz | Johannes Gutenberg-Universität Mainz</t>
        </is>
      </c>
      <c r="AF575" s="5" t="inlineStr">
        <is>
          <t>wissenschaft-demokratie-gesellschaft-evangelische-kirche-der-pfalz-johannes-gutenberg-universit</t>
        </is>
      </c>
    </row>
    <row r="576">
      <c r="A576" s="5" t="inlineStr">
        <is>
          <t>C0575</t>
        </is>
      </c>
      <c r="B576" s="5" t="inlineStr">
        <is>
          <t>x_0575</t>
        </is>
      </c>
      <c r="C576" s="5" t="n">
        <v>0</v>
      </c>
      <c r="D576" s="5" t="inlineStr">
        <is>
          <t>Evangelische Kirche der Pfalz</t>
        </is>
      </c>
      <c r="E576" s="5" t="inlineStr">
        <is>
          <t>Universität Trier</t>
        </is>
      </c>
      <c r="F576" s="5" t="n">
        <v>28</v>
      </c>
      <c r="G576" s="5" t="n">
        <v>93</v>
      </c>
      <c r="H576" s="5" t="inlineStr">
        <is>
          <t>context_actor</t>
        </is>
      </c>
      <c r="I576" t="inlineStr">
        <is>
          <t>culture_foundation_anchor</t>
        </is>
      </c>
      <c r="J576" s="5" t="inlineStr">
        <is>
          <t>academic_support</t>
        </is>
      </c>
      <c r="K576" t="inlineStr">
        <is>
          <t>university_research</t>
        </is>
      </c>
      <c r="L576" s="5" t="inlineStr">
        <is>
          <t>wissen</t>
        </is>
      </c>
      <c r="M576" s="5" t="inlineStr">
        <is>
          <t>wissenschaft_demokratie_gesellschaft</t>
        </is>
      </c>
      <c r="N576" s="5" t="inlineStr">
        <is>
          <t>Wissenschaft, Demokratie und gesellschaftlicher Zusammenhalt</t>
        </is>
      </c>
      <c r="O576" s="5" t="n">
        <v>5</v>
      </c>
      <c r="P576" s="5" t="n">
        <v>5</v>
      </c>
      <c r="Q576" s="5" t="n">
        <v>14</v>
      </c>
      <c r="R576" s="5" t="n">
        <v>4</v>
      </c>
      <c r="S576" s="5" t="n">
        <v>0</v>
      </c>
      <c r="T576" s="5" t="n">
        <v>0</v>
      </c>
      <c r="U576" s="5" t="n">
        <v>2</v>
      </c>
      <c r="V576" s="5" t="n">
        <v>5</v>
      </c>
      <c r="W576" s="5" t="n">
        <v>5</v>
      </c>
      <c r="X576" s="5" t="n">
        <v>0</v>
      </c>
      <c r="Y576" s="5" t="n">
        <v>0</v>
      </c>
      <c r="Z576" s="5" t="n">
        <v>0</v>
      </c>
      <c r="AA576" s="5" t="n">
        <v>0</v>
      </c>
      <c r="AB576" s="5" t="n">
        <v>40.863189</v>
      </c>
      <c r="AC576" s="5" t="inlineStr">
        <is>
          <t>Wie kann wissenschaftliches Wissen in gesellschaftliche Debatten, Demokratiebildung und öffentliche Orientierung wirken?</t>
        </is>
      </c>
      <c r="AD576" s="5" t="inlineStr">
        <is>
          <t>Wissenschaft, Demokratie und gesellschaftlicher Zusammenhalt: Evangelische Kirche der Pfalz (context_actor, 5) + Universität Trier (academic_support, 5).</t>
        </is>
      </c>
      <c r="AE576" s="5" t="inlineStr">
        <is>
          <t>Evangelische Kirche der Pfalz | Universität Trier</t>
        </is>
      </c>
      <c r="AF576" s="5" t="inlineStr">
        <is>
          <t>wissenschaft-demokratie-gesellschaft-evangelische-kirche-der-pfalz-universität-trier</t>
        </is>
      </c>
    </row>
    <row r="577">
      <c r="A577" s="5" t="inlineStr">
        <is>
          <t>C0576</t>
        </is>
      </c>
      <c r="B577" s="5" t="inlineStr">
        <is>
          <t>x_0576</t>
        </is>
      </c>
      <c r="C577" s="5" t="n">
        <v>0</v>
      </c>
      <c r="D577" s="5" t="inlineStr">
        <is>
          <t>Hochschule für Gesellschaftsgestaltung (HfGG)</t>
        </is>
      </c>
      <c r="E577" s="5" t="inlineStr">
        <is>
          <t>SWR – Südwestrundfunk</t>
        </is>
      </c>
      <c r="F577" s="5" t="n">
        <v>34</v>
      </c>
      <c r="G577" s="5" t="n">
        <v>86</v>
      </c>
      <c r="H577" s="5" t="inlineStr">
        <is>
          <t>academic_support</t>
        </is>
      </c>
      <c r="I577" t="inlineStr">
        <is>
          <t>university_applied_sciences</t>
        </is>
      </c>
      <c r="J577" s="5" t="inlineStr">
        <is>
          <t>context_actor</t>
        </is>
      </c>
      <c r="K577" t="inlineStr">
        <is>
          <t>media_publicity_anchor</t>
        </is>
      </c>
      <c r="L577" s="5" t="inlineStr">
        <is>
          <t>wissen</t>
        </is>
      </c>
      <c r="M577" s="5" t="inlineStr">
        <is>
          <t>wissenschaft_demokratie_gesellschaft</t>
        </is>
      </c>
      <c r="N577" s="5" t="inlineStr">
        <is>
          <t>Wissenschaft, Demokratie und gesellschaftlicher Zusammenhalt</t>
        </is>
      </c>
      <c r="O577" s="5" t="n">
        <v>5</v>
      </c>
      <c r="P577" s="5" t="n">
        <v>5</v>
      </c>
      <c r="Q577" s="5" t="n">
        <v>14</v>
      </c>
      <c r="R577" s="5" t="n">
        <v>4</v>
      </c>
      <c r="S577" s="5" t="n">
        <v>0</v>
      </c>
      <c r="T577" s="5" t="n">
        <v>0</v>
      </c>
      <c r="U577" s="5" t="n">
        <v>2</v>
      </c>
      <c r="V577" s="5" t="n">
        <v>5</v>
      </c>
      <c r="W577" s="5" t="n">
        <v>5</v>
      </c>
      <c r="X577" s="5" t="n">
        <v>0</v>
      </c>
      <c r="Y577" s="5" t="n">
        <v>0</v>
      </c>
      <c r="Z577" s="5" t="n">
        <v>0</v>
      </c>
      <c r="AA577" s="5" t="n">
        <v>0</v>
      </c>
      <c r="AB577" s="5" t="n">
        <v>38.569939</v>
      </c>
      <c r="AC577" s="5" t="inlineStr">
        <is>
          <t>Wie kann wissenschaftliches Wissen in gesellschaftliche Debatten, Demokratiebildung und öffentliche Orientierung wirken?</t>
        </is>
      </c>
      <c r="AD577" s="5" t="inlineStr">
        <is>
          <t>Wissenschaft, Demokratie und gesellschaftlicher Zusammenhalt: Hochschule für Gesellschaftsgestaltung (HfGG) (academic_support, 5) + SWR – Südwestrundfunk (context_actor, 5).</t>
        </is>
      </c>
      <c r="AE577" s="5" t="inlineStr">
        <is>
          <t>Hochschule für Gesellschaftsgestaltung (HfGG) | SWR – Südwestrundfunk</t>
        </is>
      </c>
      <c r="AF577" s="5" t="inlineStr">
        <is>
          <t>wissenschaft-demokratie-gesellschaft-hochschule-für-gesellschaftsgestaltung-hfgg-swr-südwestrun</t>
        </is>
      </c>
    </row>
    <row r="578">
      <c r="A578" s="5" t="inlineStr">
        <is>
          <t>C0577</t>
        </is>
      </c>
      <c r="B578" s="5" t="inlineStr">
        <is>
          <t>x_0577</t>
        </is>
      </c>
      <c r="C578" s="5" t="n">
        <v>0</v>
      </c>
      <c r="D578" s="5" t="inlineStr">
        <is>
          <t>Hochschule für Gesellschaftsgestaltung (HfGG)</t>
        </is>
      </c>
      <c r="E578" s="5" t="inlineStr">
        <is>
          <t>Staatskanzlei des Landes Rheinland-Pfalz</t>
        </is>
      </c>
      <c r="F578" s="5" t="n">
        <v>34</v>
      </c>
      <c r="G578" s="5" t="n">
        <v>83</v>
      </c>
      <c r="H578" s="5" t="inlineStr">
        <is>
          <t>academic_support</t>
        </is>
      </c>
      <c r="I578" t="inlineStr">
        <is>
          <t>university_applied_sciences</t>
        </is>
      </c>
      <c r="J578" s="5" t="inlineStr">
        <is>
          <t>context_actor</t>
        </is>
      </c>
      <c r="K578" t="inlineStr">
        <is>
          <t>public_policy_anchor</t>
        </is>
      </c>
      <c r="L578" s="5" t="inlineStr">
        <is>
          <t>wissen</t>
        </is>
      </c>
      <c r="M578" s="5" t="inlineStr">
        <is>
          <t>wissenschaft_demokratie_gesellschaft</t>
        </is>
      </c>
      <c r="N578" s="5" t="inlineStr">
        <is>
          <t>Wissenschaft, Demokratie und gesellschaftlicher Zusammenhalt</t>
        </is>
      </c>
      <c r="O578" s="5" t="n">
        <v>5</v>
      </c>
      <c r="P578" s="5" t="n">
        <v>5</v>
      </c>
      <c r="Q578" s="5" t="n">
        <v>14</v>
      </c>
      <c r="R578" s="5" t="n">
        <v>4</v>
      </c>
      <c r="S578" s="5" t="n">
        <v>0</v>
      </c>
      <c r="T578" s="5" t="n">
        <v>0</v>
      </c>
      <c r="U578" s="5" t="n">
        <v>2</v>
      </c>
      <c r="V578" s="5" t="n">
        <v>5</v>
      </c>
      <c r="W578" s="5" t="n">
        <v>5</v>
      </c>
      <c r="X578" s="5" t="n">
        <v>0</v>
      </c>
      <c r="Y578" s="5" t="n">
        <v>0</v>
      </c>
      <c r="Z578" s="5" t="n">
        <v>0</v>
      </c>
      <c r="AA578" s="5" t="n">
        <v>0</v>
      </c>
      <c r="AB578" s="5" t="n">
        <v>30.053455</v>
      </c>
      <c r="AC578" s="5" t="inlineStr">
        <is>
          <t>Wie kann wissenschaftliches Wissen in gesellschaftliche Debatten, Demokratiebildung und öffentliche Orientierung wirken?</t>
        </is>
      </c>
      <c r="AD578" s="5" t="inlineStr">
        <is>
          <t>Wissenschaft, Demokratie und gesellschaftlicher Zusammenhalt: Hochschule für Gesellschaftsgestaltung (HfGG) (academic_support, 5) + Staatskanzlei des Landes Rheinland-Pfalz (context_actor, 5).</t>
        </is>
      </c>
      <c r="AE578" s="5" t="inlineStr">
        <is>
          <t>Hochschule für Gesellschaftsgestaltung (HfGG) | Staatskanzlei des Landes Rheinland-Pfalz</t>
        </is>
      </c>
      <c r="AF578" s="5" t="inlineStr">
        <is>
          <t>wissenschaft-demokratie-gesellschaft-hochschule-für-gesellschaftsgestaltung-hfgg-staatskanzlei-</t>
        </is>
      </c>
    </row>
    <row r="579">
      <c r="A579" s="5" t="inlineStr">
        <is>
          <t>C0578</t>
        </is>
      </c>
      <c r="B579" s="5" t="inlineStr">
        <is>
          <t>x_0578</t>
        </is>
      </c>
      <c r="C579" s="5" t="n">
        <v>0</v>
      </c>
      <c r="D579" s="5" t="inlineStr">
        <is>
          <t>Hochschule für Gesellschaftsgestaltung (HfGG)</t>
        </is>
      </c>
      <c r="E579" s="5" t="inlineStr">
        <is>
          <t>ZDF – Zweites Deutsches Fernsehen</t>
        </is>
      </c>
      <c r="F579" s="5" t="n">
        <v>34</v>
      </c>
      <c r="G579" s="5" t="n">
        <v>102</v>
      </c>
      <c r="H579" s="5" t="inlineStr">
        <is>
          <t>academic_support</t>
        </is>
      </c>
      <c r="I579" t="inlineStr">
        <is>
          <t>university_applied_sciences</t>
        </is>
      </c>
      <c r="J579" s="5" t="inlineStr">
        <is>
          <t>context_actor</t>
        </is>
      </c>
      <c r="K579" t="inlineStr">
        <is>
          <t>media_publicity_anchor</t>
        </is>
      </c>
      <c r="L579" s="5" t="inlineStr">
        <is>
          <t>wissen</t>
        </is>
      </c>
      <c r="M579" s="5" t="inlineStr">
        <is>
          <t>wissenschaft_demokratie_gesellschaft</t>
        </is>
      </c>
      <c r="N579" s="5" t="inlineStr">
        <is>
          <t>Wissenschaft, Demokratie und gesellschaftlicher Zusammenhalt</t>
        </is>
      </c>
      <c r="O579" s="5" t="n">
        <v>5</v>
      </c>
      <c r="P579" s="5" t="n">
        <v>5</v>
      </c>
      <c r="Q579" s="5" t="n">
        <v>14</v>
      </c>
      <c r="R579" s="5" t="n">
        <v>4</v>
      </c>
      <c r="S579" s="5" t="n">
        <v>0</v>
      </c>
      <c r="T579" s="5" t="n">
        <v>0</v>
      </c>
      <c r="U579" s="5" t="n">
        <v>2</v>
      </c>
      <c r="V579" s="5" t="n">
        <v>5</v>
      </c>
      <c r="W579" s="5" t="n">
        <v>5</v>
      </c>
      <c r="X579" s="5" t="n">
        <v>0</v>
      </c>
      <c r="Y579" s="5" t="n">
        <v>0</v>
      </c>
      <c r="Z579" s="5" t="n">
        <v>0</v>
      </c>
      <c r="AA579" s="5" t="n">
        <v>0</v>
      </c>
      <c r="AB579" s="5" t="n">
        <v>38.569939</v>
      </c>
      <c r="AC579" s="5" t="inlineStr">
        <is>
          <t>Wie kann wissenschaftliches Wissen in gesellschaftliche Debatten, Demokratiebildung und öffentliche Orientierung wirken?</t>
        </is>
      </c>
      <c r="AD579" s="5" t="inlineStr">
        <is>
          <t>Wissenschaft, Demokratie und gesellschaftlicher Zusammenhalt: Hochschule für Gesellschaftsgestaltung (HfGG) (academic_support, 5) + ZDF – Zweites Deutsches Fernsehen (context_actor, 5).</t>
        </is>
      </c>
      <c r="AE579" s="5" t="inlineStr">
        <is>
          <t>Hochschule für Gesellschaftsgestaltung (HfGG) | ZDF – Zweites Deutsches Fernsehen</t>
        </is>
      </c>
      <c r="AF579" s="5" t="inlineStr">
        <is>
          <t>wissenschaft-demokratie-gesellschaft-hochschule-für-gesellschaftsgestaltung-hfgg-zdf-zweites-de</t>
        </is>
      </c>
    </row>
    <row r="580">
      <c r="A580" s="5" t="inlineStr">
        <is>
          <t>C0579</t>
        </is>
      </c>
      <c r="B580" s="5" t="inlineStr">
        <is>
          <t>x_0579</t>
        </is>
      </c>
      <c r="C580" s="5" t="n">
        <v>0</v>
      </c>
      <c r="D580" s="5" t="inlineStr">
        <is>
          <t>Johannes Gutenberg-Universität Mainz</t>
        </is>
      </c>
      <c r="E580" s="5" t="inlineStr">
        <is>
          <t>SWR – Südwestrundfunk</t>
        </is>
      </c>
      <c r="F580" s="5" t="n">
        <v>49</v>
      </c>
      <c r="G580" s="5" t="n">
        <v>86</v>
      </c>
      <c r="H580" s="5" t="inlineStr">
        <is>
          <t>academic_support</t>
        </is>
      </c>
      <c r="I580" t="inlineStr">
        <is>
          <t>university_research</t>
        </is>
      </c>
      <c r="J580" s="5" t="inlineStr">
        <is>
          <t>context_actor</t>
        </is>
      </c>
      <c r="K580" t="inlineStr">
        <is>
          <t>media_publicity_anchor</t>
        </is>
      </c>
      <c r="L580" s="5" t="inlineStr">
        <is>
          <t>wissen</t>
        </is>
      </c>
      <c r="M580" s="5" t="inlineStr">
        <is>
          <t>wissenschaft_demokratie_gesellschaft</t>
        </is>
      </c>
      <c r="N580" s="5" t="inlineStr">
        <is>
          <t>Wissenschaft, Demokratie und gesellschaftlicher Zusammenhalt</t>
        </is>
      </c>
      <c r="O580" s="5" t="n">
        <v>5</v>
      </c>
      <c r="P580" s="5" t="n">
        <v>5</v>
      </c>
      <c r="Q580" s="5" t="n">
        <v>14</v>
      </c>
      <c r="R580" s="5" t="n">
        <v>4</v>
      </c>
      <c r="S580" s="5" t="n">
        <v>0</v>
      </c>
      <c r="T580" s="5" t="n">
        <v>0</v>
      </c>
      <c r="U580" s="5" t="n">
        <v>2</v>
      </c>
      <c r="V580" s="5" t="n">
        <v>5</v>
      </c>
      <c r="W580" s="5" t="n">
        <v>5</v>
      </c>
      <c r="X580" s="5" t="n">
        <v>0</v>
      </c>
      <c r="Y580" s="5" t="n">
        <v>0</v>
      </c>
      <c r="Z580" s="5" t="n">
        <v>0</v>
      </c>
      <c r="AA580" s="5" t="n">
        <v>0</v>
      </c>
      <c r="AB580" s="5" t="n">
        <v>40.863189</v>
      </c>
      <c r="AC580" s="5" t="inlineStr">
        <is>
          <t>Wie kann wissenschaftliches Wissen in gesellschaftliche Debatten, Demokratiebildung und öffentliche Orientierung wirken?</t>
        </is>
      </c>
      <c r="AD580" s="5" t="inlineStr">
        <is>
          <t>Wissenschaft, Demokratie und gesellschaftlicher Zusammenhalt: Johannes Gutenberg-Universität Mainz (academic_support, 5) + SWR – Südwestrundfunk (context_actor, 5).</t>
        </is>
      </c>
      <c r="AE580" s="5" t="inlineStr">
        <is>
          <t>Johannes Gutenberg-Universität Mainz | SWR – Südwestrundfunk</t>
        </is>
      </c>
      <c r="AF580" s="5" t="inlineStr">
        <is>
          <t>wissenschaft-demokratie-gesellschaft-johannes-gutenberg-universität-mainz-swr-südwestrundfunk</t>
        </is>
      </c>
    </row>
    <row r="581">
      <c r="A581" s="5" t="inlineStr">
        <is>
          <t>C0580</t>
        </is>
      </c>
      <c r="B581" s="5" t="inlineStr">
        <is>
          <t>x_0580</t>
        </is>
      </c>
      <c r="C581" s="5" t="n">
        <v>0</v>
      </c>
      <c r="D581" s="5" t="inlineStr">
        <is>
          <t>Johannes Gutenberg-Universität Mainz</t>
        </is>
      </c>
      <c r="E581" s="5" t="inlineStr">
        <is>
          <t>Staatskanzlei des Landes Rheinland-Pfalz</t>
        </is>
      </c>
      <c r="F581" s="5" t="n">
        <v>49</v>
      </c>
      <c r="G581" s="5" t="n">
        <v>83</v>
      </c>
      <c r="H581" s="5" t="inlineStr">
        <is>
          <t>academic_support</t>
        </is>
      </c>
      <c r="I581" t="inlineStr">
        <is>
          <t>university_research</t>
        </is>
      </c>
      <c r="J581" s="5" t="inlineStr">
        <is>
          <t>context_actor</t>
        </is>
      </c>
      <c r="K581" t="inlineStr">
        <is>
          <t>public_policy_anchor</t>
        </is>
      </c>
      <c r="L581" s="5" t="inlineStr">
        <is>
          <t>wissen</t>
        </is>
      </c>
      <c r="M581" s="5" t="inlineStr">
        <is>
          <t>wissenschaft_demokratie_gesellschaft</t>
        </is>
      </c>
      <c r="N581" s="5" t="inlineStr">
        <is>
          <t>Wissenschaft, Demokratie und gesellschaftlicher Zusammenhalt</t>
        </is>
      </c>
      <c r="O581" s="5" t="n">
        <v>5</v>
      </c>
      <c r="P581" s="5" t="n">
        <v>5</v>
      </c>
      <c r="Q581" s="5" t="n">
        <v>14</v>
      </c>
      <c r="R581" s="5" t="n">
        <v>4</v>
      </c>
      <c r="S581" s="5" t="n">
        <v>0</v>
      </c>
      <c r="T581" s="5" t="n">
        <v>0</v>
      </c>
      <c r="U581" s="5" t="n">
        <v>2</v>
      </c>
      <c r="V581" s="5" t="n">
        <v>5</v>
      </c>
      <c r="W581" s="5" t="n">
        <v>5</v>
      </c>
      <c r="X581" s="5" t="n">
        <v>0</v>
      </c>
      <c r="Y581" s="5" t="n">
        <v>0</v>
      </c>
      <c r="Z581" s="5" t="n">
        <v>0</v>
      </c>
      <c r="AA581" s="5" t="n">
        <v>0</v>
      </c>
      <c r="AB581" s="5" t="n">
        <v>32.944957</v>
      </c>
      <c r="AC581" s="5" t="inlineStr">
        <is>
          <t>Wie kann wissenschaftliches Wissen in gesellschaftliche Debatten, Demokratiebildung und öffentliche Orientierung wirken?</t>
        </is>
      </c>
      <c r="AD581" s="5" t="inlineStr">
        <is>
          <t>Wissenschaft, Demokratie und gesellschaftlicher Zusammenhalt: Johannes Gutenberg-Universität Mainz (academic_support, 5) + Staatskanzlei des Landes Rheinland-Pfalz (context_actor, 5).</t>
        </is>
      </c>
      <c r="AE581" s="5" t="inlineStr">
        <is>
          <t>Johannes Gutenberg-Universität Mainz | Staatskanzlei des Landes Rheinland-Pfalz</t>
        </is>
      </c>
      <c r="AF581" s="5" t="inlineStr">
        <is>
          <t>wissenschaft-demokratie-gesellschaft-johannes-gutenberg-universität-mainz-staatskanzlei-des-lan</t>
        </is>
      </c>
    </row>
    <row r="582">
      <c r="A582" s="5" t="inlineStr">
        <is>
          <t>C0581</t>
        </is>
      </c>
      <c r="B582" s="5" t="inlineStr">
        <is>
          <t>x_0581</t>
        </is>
      </c>
      <c r="C582" s="5" t="n">
        <v>0</v>
      </c>
      <c r="D582" s="5" t="inlineStr">
        <is>
          <t>Johannes Gutenberg-Universität Mainz</t>
        </is>
      </c>
      <c r="E582" s="5" t="inlineStr">
        <is>
          <t>ZDF – Zweites Deutsches Fernsehen</t>
        </is>
      </c>
      <c r="F582" s="5" t="n">
        <v>49</v>
      </c>
      <c r="G582" s="5" t="n">
        <v>102</v>
      </c>
      <c r="H582" s="5" t="inlineStr">
        <is>
          <t>academic_support</t>
        </is>
      </c>
      <c r="I582" t="inlineStr">
        <is>
          <t>university_research</t>
        </is>
      </c>
      <c r="J582" s="5" t="inlineStr">
        <is>
          <t>context_actor</t>
        </is>
      </c>
      <c r="K582" t="inlineStr">
        <is>
          <t>media_publicity_anchor</t>
        </is>
      </c>
      <c r="L582" s="5" t="inlineStr">
        <is>
          <t>wissen</t>
        </is>
      </c>
      <c r="M582" s="5" t="inlineStr">
        <is>
          <t>wissenschaft_demokratie_gesellschaft</t>
        </is>
      </c>
      <c r="N582" s="5" t="inlineStr">
        <is>
          <t>Wissenschaft, Demokratie und gesellschaftlicher Zusammenhalt</t>
        </is>
      </c>
      <c r="O582" s="5" t="n">
        <v>5</v>
      </c>
      <c r="P582" s="5" t="n">
        <v>5</v>
      </c>
      <c r="Q582" s="5" t="n">
        <v>14</v>
      </c>
      <c r="R582" s="5" t="n">
        <v>4</v>
      </c>
      <c r="S582" s="5" t="n">
        <v>0</v>
      </c>
      <c r="T582" s="5" t="n">
        <v>0</v>
      </c>
      <c r="U582" s="5" t="n">
        <v>2</v>
      </c>
      <c r="V582" s="5" t="n">
        <v>5</v>
      </c>
      <c r="W582" s="5" t="n">
        <v>5</v>
      </c>
      <c r="X582" s="5" t="n">
        <v>0</v>
      </c>
      <c r="Y582" s="5" t="n">
        <v>0</v>
      </c>
      <c r="Z582" s="5" t="n">
        <v>0</v>
      </c>
      <c r="AA582" s="5" t="n">
        <v>0</v>
      </c>
      <c r="AB582" s="5" t="n">
        <v>40.863189</v>
      </c>
      <c r="AC582" s="5" t="inlineStr">
        <is>
          <t>Wie kann wissenschaftliches Wissen in gesellschaftliche Debatten, Demokratiebildung und öffentliche Orientierung wirken?</t>
        </is>
      </c>
      <c r="AD582" s="5" t="inlineStr">
        <is>
          <t>Wissenschaft, Demokratie und gesellschaftlicher Zusammenhalt: Johannes Gutenberg-Universität Mainz (academic_support, 5) + ZDF – Zweites Deutsches Fernsehen (context_actor, 5).</t>
        </is>
      </c>
      <c r="AE582" s="5" t="inlineStr">
        <is>
          <t>Johannes Gutenberg-Universität Mainz | ZDF – Zweites Deutsches Fernsehen</t>
        </is>
      </c>
      <c r="AF582" s="5" t="inlineStr">
        <is>
          <t>wissenschaft-demokratie-gesellschaft-johannes-gutenberg-universität-mainz-zdf-zweites-deutsches</t>
        </is>
      </c>
    </row>
    <row r="583">
      <c r="A583" s="5" t="inlineStr">
        <is>
          <t>C0582</t>
        </is>
      </c>
      <c r="B583" s="5" t="inlineStr">
        <is>
          <t>x_0582</t>
        </is>
      </c>
      <c r="C583" s="5" t="n">
        <v>0</v>
      </c>
      <c r="D583" s="5" t="inlineStr">
        <is>
          <t>SWR – Südwestrundfunk</t>
        </is>
      </c>
      <c r="E583" s="5" t="inlineStr">
        <is>
          <t>Universität Trier</t>
        </is>
      </c>
      <c r="F583" s="5" t="n">
        <v>86</v>
      </c>
      <c r="G583" s="5" t="n">
        <v>93</v>
      </c>
      <c r="H583" s="5" t="inlineStr">
        <is>
          <t>context_actor</t>
        </is>
      </c>
      <c r="I583" t="inlineStr">
        <is>
          <t>media_publicity_anchor</t>
        </is>
      </c>
      <c r="J583" s="5" t="inlineStr">
        <is>
          <t>academic_support</t>
        </is>
      </c>
      <c r="K583" t="inlineStr">
        <is>
          <t>university_research</t>
        </is>
      </c>
      <c r="L583" s="5" t="inlineStr">
        <is>
          <t>wissen</t>
        </is>
      </c>
      <c r="M583" s="5" t="inlineStr">
        <is>
          <t>wissenschaft_demokratie_gesellschaft</t>
        </is>
      </c>
      <c r="N583" s="5" t="inlineStr">
        <is>
          <t>Wissenschaft, Demokratie und gesellschaftlicher Zusammenhalt</t>
        </is>
      </c>
      <c r="O583" s="5" t="n">
        <v>5</v>
      </c>
      <c r="P583" s="5" t="n">
        <v>5</v>
      </c>
      <c r="Q583" s="5" t="n">
        <v>14</v>
      </c>
      <c r="R583" s="5" t="n">
        <v>4</v>
      </c>
      <c r="S583" s="5" t="n">
        <v>0</v>
      </c>
      <c r="T583" s="5" t="n">
        <v>0</v>
      </c>
      <c r="U583" s="5" t="n">
        <v>2</v>
      </c>
      <c r="V583" s="5" t="n">
        <v>5</v>
      </c>
      <c r="W583" s="5" t="n">
        <v>5</v>
      </c>
      <c r="X583" s="5" t="n">
        <v>0</v>
      </c>
      <c r="Y583" s="5" t="n">
        <v>0</v>
      </c>
      <c r="Z583" s="5" t="n">
        <v>0</v>
      </c>
      <c r="AA583" s="5" t="n">
        <v>0</v>
      </c>
      <c r="AB583" s="5" t="n">
        <v>40.863189</v>
      </c>
      <c r="AC583" s="5" t="inlineStr">
        <is>
          <t>Wie kann wissenschaftliches Wissen in gesellschaftliche Debatten, Demokratiebildung und öffentliche Orientierung wirken?</t>
        </is>
      </c>
      <c r="AD583" s="5" t="inlineStr">
        <is>
          <t>Wissenschaft, Demokratie und gesellschaftlicher Zusammenhalt: SWR – Südwestrundfunk (context_actor, 5) + Universität Trier (academic_support, 5).</t>
        </is>
      </c>
      <c r="AE583" s="5" t="inlineStr">
        <is>
          <t>SWR – Südwestrundfunk | Universität Trier</t>
        </is>
      </c>
      <c r="AF583" s="5" t="inlineStr">
        <is>
          <t>wissenschaft-demokratie-gesellschaft-swr-südwestrundfunk-universität-trier</t>
        </is>
      </c>
    </row>
    <row r="584">
      <c r="A584" s="5" t="inlineStr">
        <is>
          <t>C0583</t>
        </is>
      </c>
      <c r="B584" s="5" t="inlineStr">
        <is>
          <t>x_0583</t>
        </is>
      </c>
      <c r="C584" s="5" t="n">
        <v>0</v>
      </c>
      <c r="D584" s="5" t="inlineStr">
        <is>
          <t>Staatskanzlei des Landes Rheinland-Pfalz</t>
        </is>
      </c>
      <c r="E584" s="5" t="inlineStr">
        <is>
          <t>Universität Trier</t>
        </is>
      </c>
      <c r="F584" s="5" t="n">
        <v>83</v>
      </c>
      <c r="G584" s="5" t="n">
        <v>93</v>
      </c>
      <c r="H584" s="5" t="inlineStr">
        <is>
          <t>context_actor</t>
        </is>
      </c>
      <c r="I584" t="inlineStr">
        <is>
          <t>public_policy_anchor</t>
        </is>
      </c>
      <c r="J584" s="5" t="inlineStr">
        <is>
          <t>academic_support</t>
        </is>
      </c>
      <c r="K584" t="inlineStr">
        <is>
          <t>university_research</t>
        </is>
      </c>
      <c r="L584" s="5" t="inlineStr">
        <is>
          <t>wissen</t>
        </is>
      </c>
      <c r="M584" s="5" t="inlineStr">
        <is>
          <t>wissenschaft_demokratie_gesellschaft</t>
        </is>
      </c>
      <c r="N584" s="5" t="inlineStr">
        <is>
          <t>Wissenschaft, Demokratie und gesellschaftlicher Zusammenhalt</t>
        </is>
      </c>
      <c r="O584" s="5" t="n">
        <v>5</v>
      </c>
      <c r="P584" s="5" t="n">
        <v>5</v>
      </c>
      <c r="Q584" s="5" t="n">
        <v>14</v>
      </c>
      <c r="R584" s="5" t="n">
        <v>4</v>
      </c>
      <c r="S584" s="5" t="n">
        <v>0</v>
      </c>
      <c r="T584" s="5" t="n">
        <v>0</v>
      </c>
      <c r="U584" s="5" t="n">
        <v>2</v>
      </c>
      <c r="V584" s="5" t="n">
        <v>5</v>
      </c>
      <c r="W584" s="5" t="n">
        <v>5</v>
      </c>
      <c r="X584" s="5" t="n">
        <v>0</v>
      </c>
      <c r="Y584" s="5" t="n">
        <v>0</v>
      </c>
      <c r="Z584" s="5" t="n">
        <v>0</v>
      </c>
      <c r="AA584" s="5" t="n">
        <v>0</v>
      </c>
      <c r="AB584" s="5" t="n">
        <v>32.944957</v>
      </c>
      <c r="AC584" s="5" t="inlineStr">
        <is>
          <t>Wie kann wissenschaftliches Wissen in gesellschaftliche Debatten, Demokratiebildung und öffentliche Orientierung wirken?</t>
        </is>
      </c>
      <c r="AD584" s="5" t="inlineStr">
        <is>
          <t>Wissenschaft, Demokratie und gesellschaftlicher Zusammenhalt: Staatskanzlei des Landes Rheinland-Pfalz (context_actor, 5) + Universität Trier (academic_support, 5).</t>
        </is>
      </c>
      <c r="AE584" s="5" t="inlineStr">
        <is>
          <t>Staatskanzlei des Landes Rheinland-Pfalz | Universität Trier</t>
        </is>
      </c>
      <c r="AF584" s="5" t="inlineStr">
        <is>
          <t>wissenschaft-demokratie-gesellschaft-staatskanzlei-des-landes-rheinland-pfalz-universität-trier</t>
        </is>
      </c>
    </row>
    <row r="585">
      <c r="A585" s="5" t="inlineStr">
        <is>
          <t>C0584</t>
        </is>
      </c>
      <c r="B585" s="5" t="inlineStr">
        <is>
          <t>x_0584</t>
        </is>
      </c>
      <c r="C585" s="5" t="n">
        <v>0</v>
      </c>
      <c r="D585" s="5" t="inlineStr">
        <is>
          <t>Universität Trier</t>
        </is>
      </c>
      <c r="E585" s="5" t="inlineStr">
        <is>
          <t>ZDF – Zweites Deutsches Fernsehen</t>
        </is>
      </c>
      <c r="F585" s="5" t="n">
        <v>93</v>
      </c>
      <c r="G585" s="5" t="n">
        <v>102</v>
      </c>
      <c r="H585" s="5" t="inlineStr">
        <is>
          <t>academic_support</t>
        </is>
      </c>
      <c r="I585" t="inlineStr">
        <is>
          <t>university_research</t>
        </is>
      </c>
      <c r="J585" s="5" t="inlineStr">
        <is>
          <t>context_actor</t>
        </is>
      </c>
      <c r="K585" t="inlineStr">
        <is>
          <t>media_publicity_anchor</t>
        </is>
      </c>
      <c r="L585" s="5" t="inlineStr">
        <is>
          <t>wissen</t>
        </is>
      </c>
      <c r="M585" s="5" t="inlineStr">
        <is>
          <t>wissenschaft_demokratie_gesellschaft</t>
        </is>
      </c>
      <c r="N585" s="5" t="inlineStr">
        <is>
          <t>Wissenschaft, Demokratie und gesellschaftlicher Zusammenhalt</t>
        </is>
      </c>
      <c r="O585" s="5" t="n">
        <v>5</v>
      </c>
      <c r="P585" s="5" t="n">
        <v>5</v>
      </c>
      <c r="Q585" s="5" t="n">
        <v>14</v>
      </c>
      <c r="R585" s="5" t="n">
        <v>4</v>
      </c>
      <c r="S585" s="5" t="n">
        <v>0</v>
      </c>
      <c r="T585" s="5" t="n">
        <v>0</v>
      </c>
      <c r="U585" s="5" t="n">
        <v>2</v>
      </c>
      <c r="V585" s="5" t="n">
        <v>5</v>
      </c>
      <c r="W585" s="5" t="n">
        <v>5</v>
      </c>
      <c r="X585" s="5" t="n">
        <v>0</v>
      </c>
      <c r="Y585" s="5" t="n">
        <v>0</v>
      </c>
      <c r="Z585" s="5" t="n">
        <v>0</v>
      </c>
      <c r="AA585" s="5" t="n">
        <v>0</v>
      </c>
      <c r="AB585" s="5" t="n">
        <v>40.863189</v>
      </c>
      <c r="AC585" s="5" t="inlineStr">
        <is>
          <t>Wie kann wissenschaftliches Wissen in gesellschaftliche Debatten, Demokratiebildung und öffentliche Orientierung wirken?</t>
        </is>
      </c>
      <c r="AD585" s="5" t="inlineStr">
        <is>
          <t>Wissenschaft, Demokratie und gesellschaftlicher Zusammenhalt: Universität Trier (academic_support, 5) + ZDF – Zweites Deutsches Fernsehen (context_actor, 5).</t>
        </is>
      </c>
      <c r="AE585" s="5" t="inlineStr">
        <is>
          <t>Universität Trier | ZDF – Zweites Deutsches Fernsehen</t>
        </is>
      </c>
      <c r="AF585" s="5" t="inlineStr">
        <is>
          <t>wissenschaft-demokratie-gesellschaft-universität-trier-zdf-zweites-deutsches-fernsehen</t>
        </is>
      </c>
    </row>
    <row r="586">
      <c r="A586" s="5" t="inlineStr">
        <is>
          <t>C0585</t>
        </is>
      </c>
      <c r="B586" s="5" t="inlineStr">
        <is>
          <t>x_0585</t>
        </is>
      </c>
      <c r="C586" s="5" t="n">
        <v>0</v>
      </c>
      <c r="D586" s="5" t="inlineStr">
        <is>
          <t>BASF SE</t>
        </is>
      </c>
      <c r="E586" s="5" t="inlineStr">
        <is>
          <t>Investitions- und Strukturbank Rheinland-Pfalz (ISB)</t>
        </is>
      </c>
      <c r="F586" s="5" t="n">
        <v>6</v>
      </c>
      <c r="G586" s="5" t="n">
        <v>45</v>
      </c>
      <c r="H586" s="5" t="inlineStr">
        <is>
          <t>profit_anchor</t>
        </is>
      </c>
      <c r="I586" t="inlineStr">
        <is>
          <t>industry_anchor</t>
        </is>
      </c>
      <c r="J586" s="5" t="inlineStr">
        <is>
          <t>context_actor</t>
        </is>
      </c>
      <c r="K586" t="inlineStr">
        <is>
          <t>bank_finance_anchor</t>
        </is>
      </c>
      <c r="L586" s="5" t="inlineStr">
        <is>
          <t>nachhaltigkeit</t>
        </is>
      </c>
      <c r="M586" s="5" t="inlineStr">
        <is>
          <t>energie_versorgungssicherheit</t>
        </is>
      </c>
      <c r="N586" s="5" t="inlineStr">
        <is>
          <t>Energie, Netze und Versorgungssicherheit</t>
        </is>
      </c>
      <c r="O586" s="5" t="n">
        <v>4</v>
      </c>
      <c r="P586" s="5" t="n">
        <v>3</v>
      </c>
      <c r="Q586" s="5" t="n">
        <v>11</v>
      </c>
      <c r="R586" s="5" t="n">
        <v>4</v>
      </c>
      <c r="S586" s="5" t="n">
        <v>0</v>
      </c>
      <c r="T586" s="5" t="n">
        <v>0</v>
      </c>
      <c r="U586" s="5" t="n">
        <v>2</v>
      </c>
      <c r="V586" s="5" t="n">
        <v>6</v>
      </c>
      <c r="W586" s="5" t="n">
        <v>6</v>
      </c>
      <c r="X586" s="5" t="n">
        <v>0</v>
      </c>
      <c r="Y586" s="5" t="n">
        <v>0</v>
      </c>
      <c r="Z586" s="5" t="n">
        <v>0</v>
      </c>
      <c r="AA586" s="5" t="n">
        <v>0</v>
      </c>
      <c r="AB586" s="5" t="n">
        <v>21.9004</v>
      </c>
      <c r="AC586" s="5" t="inlineStr">
        <is>
          <t>Wie bleiben Unternehmen, Kommunen und Infrastrukturträger in Rheinland-Pfalz investitions- und versorgungssicher?</t>
        </is>
      </c>
      <c r="AD586" s="5" t="inlineStr">
        <is>
          <t>Energie, Netze und Versorgungssicherheit: BASF SE (profit_anchor, 4) + Investitions- und Strukturbank Rheinland-Pfalz (ISB) (context_actor, 3).</t>
        </is>
      </c>
      <c r="AE586" s="5" t="inlineStr">
        <is>
          <t>BASF SE | Investitions- und Strukturbank Rheinland-Pfalz (ISB)</t>
        </is>
      </c>
      <c r="AF586" s="5" t="inlineStr">
        <is>
          <t>energie-versorgungssicherheit-basf-se-investitions-und-strukturbank-rheinland-pfalz-isb</t>
        </is>
      </c>
    </row>
    <row r="587">
      <c r="A587" s="5" t="inlineStr">
        <is>
          <t>C0586</t>
        </is>
      </c>
      <c r="B587" s="5" t="inlineStr">
        <is>
          <t>x_0586</t>
        </is>
      </c>
      <c r="C587" s="5" t="n">
        <v>0</v>
      </c>
      <c r="D587" s="5" t="inlineStr">
        <is>
          <t>Investitions- und Strukturbank Rheinland-Pfalz (ISB)</t>
        </is>
      </c>
      <c r="E587" s="5" t="inlineStr">
        <is>
          <t>KÜBLER GmbH</t>
        </is>
      </c>
      <c r="F587" s="5" t="n">
        <v>45</v>
      </c>
      <c r="G587" s="5" t="n">
        <v>58</v>
      </c>
      <c r="H587" s="5" t="inlineStr">
        <is>
          <t>context_actor</t>
        </is>
      </c>
      <c r="I587" t="inlineStr">
        <is>
          <t>bank_finance_anchor</t>
        </is>
      </c>
      <c r="J587" s="5" t="inlineStr">
        <is>
          <t>profit_anchor</t>
        </is>
      </c>
      <c r="K587" t="inlineStr">
        <is>
          <t>energy_infrastructure_anchor</t>
        </is>
      </c>
      <c r="L587" s="5" t="inlineStr">
        <is>
          <t>nachhaltigkeit</t>
        </is>
      </c>
      <c r="M587" s="5" t="inlineStr">
        <is>
          <t>energie_versorgungssicherheit</t>
        </is>
      </c>
      <c r="N587" s="5" t="inlineStr">
        <is>
          <t>Energie, Netze und Versorgungssicherheit</t>
        </is>
      </c>
      <c r="O587" s="5" t="n">
        <v>3</v>
      </c>
      <c r="P587" s="5" t="n">
        <v>4</v>
      </c>
      <c r="Q587" s="5" t="n">
        <v>11</v>
      </c>
      <c r="R587" s="5" t="n">
        <v>4</v>
      </c>
      <c r="S587" s="5" t="n">
        <v>0</v>
      </c>
      <c r="T587" s="5" t="n">
        <v>0</v>
      </c>
      <c r="U587" s="5" t="n">
        <v>2</v>
      </c>
      <c r="V587" s="5" t="n">
        <v>6</v>
      </c>
      <c r="W587" s="5" t="n">
        <v>6</v>
      </c>
      <c r="X587" s="5" t="n">
        <v>0</v>
      </c>
      <c r="Y587" s="5" t="n">
        <v>0</v>
      </c>
      <c r="Z587" s="5" t="n">
        <v>0</v>
      </c>
      <c r="AA587" s="5" t="n">
        <v>0</v>
      </c>
      <c r="AB587" s="5" t="n">
        <v>22.827107</v>
      </c>
      <c r="AC587" s="5" t="inlineStr">
        <is>
          <t>Wie bleiben Unternehmen, Kommunen und Infrastrukturträger in Rheinland-Pfalz investitions- und versorgungssicher?</t>
        </is>
      </c>
      <c r="AD587" s="5" t="inlineStr">
        <is>
          <t>Energie, Netze und Versorgungssicherheit: Investitions- und Strukturbank Rheinland-Pfalz (ISB) (context_actor, 3) + KÜBLER GmbH (profit_anchor, 4).</t>
        </is>
      </c>
      <c r="AE587" s="5" t="inlineStr">
        <is>
          <t>Investitions- und Strukturbank Rheinland-Pfalz (ISB) | KÜBLER GmbH</t>
        </is>
      </c>
      <c r="AF587" s="5" t="inlineStr">
        <is>
          <t>energie-versorgungssicherheit-investitions-und-strukturbank-rheinland-pfalz-isb-kübler-gmbh</t>
        </is>
      </c>
    </row>
    <row r="588">
      <c r="A588" s="5" t="inlineStr">
        <is>
          <t>C0587</t>
        </is>
      </c>
      <c r="B588" s="5" t="inlineStr">
        <is>
          <t>x_0587</t>
        </is>
      </c>
      <c r="C588" s="5" t="n">
        <v>0</v>
      </c>
      <c r="D588" s="5" t="inlineStr">
        <is>
          <t>Investitions- und Strukturbank Rheinland-Pfalz (ISB)</t>
        </is>
      </c>
      <c r="E588" s="5" t="inlineStr">
        <is>
          <t>SCHOTT AG</t>
        </is>
      </c>
      <c r="F588" s="5" t="n">
        <v>45</v>
      </c>
      <c r="G588" s="5" t="n">
        <v>78</v>
      </c>
      <c r="H588" s="5" t="inlineStr">
        <is>
          <t>context_actor</t>
        </is>
      </c>
      <c r="I588" t="inlineStr">
        <is>
          <t>bank_finance_anchor</t>
        </is>
      </c>
      <c r="J588" s="5" t="inlineStr">
        <is>
          <t>profit_anchor</t>
        </is>
      </c>
      <c r="K588" t="inlineStr">
        <is>
          <t>industry_anchor</t>
        </is>
      </c>
      <c r="L588" s="5" t="inlineStr">
        <is>
          <t>nachhaltigkeit</t>
        </is>
      </c>
      <c r="M588" s="5" t="inlineStr">
        <is>
          <t>energie_versorgungssicherheit</t>
        </is>
      </c>
      <c r="N588" s="5" t="inlineStr">
        <is>
          <t>Energie, Netze und Versorgungssicherheit</t>
        </is>
      </c>
      <c r="O588" s="5" t="n">
        <v>3</v>
      </c>
      <c r="P588" s="5" t="n">
        <v>4</v>
      </c>
      <c r="Q588" s="5" t="n">
        <v>11</v>
      </c>
      <c r="R588" s="5" t="n">
        <v>4</v>
      </c>
      <c r="S588" s="5" t="n">
        <v>0</v>
      </c>
      <c r="T588" s="5" t="n">
        <v>0</v>
      </c>
      <c r="U588" s="5" t="n">
        <v>2</v>
      </c>
      <c r="V588" s="5" t="n">
        <v>6</v>
      </c>
      <c r="W588" s="5" t="n">
        <v>6</v>
      </c>
      <c r="X588" s="5" t="n">
        <v>0</v>
      </c>
      <c r="Y588" s="5" t="n">
        <v>0</v>
      </c>
      <c r="Z588" s="5" t="n">
        <v>0</v>
      </c>
      <c r="AA588" s="5" t="n">
        <v>0</v>
      </c>
      <c r="AB588" s="5" t="n">
        <v>21.9004</v>
      </c>
      <c r="AC588" s="5" t="inlineStr">
        <is>
          <t>Wie bleiben Unternehmen, Kommunen und Infrastrukturträger in Rheinland-Pfalz investitions- und versorgungssicher?</t>
        </is>
      </c>
      <c r="AD588" s="5" t="inlineStr">
        <is>
          <t>Energie, Netze und Versorgungssicherheit: Investitions- und Strukturbank Rheinland-Pfalz (ISB) (context_actor, 3) + SCHOTT AG (profit_anchor, 4).</t>
        </is>
      </c>
      <c r="AE588" s="5" t="inlineStr">
        <is>
          <t>Investitions- und Strukturbank Rheinland-Pfalz (ISB) | SCHOTT AG</t>
        </is>
      </c>
      <c r="AF588" s="5" t="inlineStr">
        <is>
          <t>energie-versorgungssicherheit-investitions-und-strukturbank-rheinland-pfalz-isb-schott-ag</t>
        </is>
      </c>
    </row>
    <row r="589">
      <c r="A589" s="5" t="inlineStr">
        <is>
          <t>C0588</t>
        </is>
      </c>
      <c r="B589" s="5" t="inlineStr">
        <is>
          <t>x_0588</t>
        </is>
      </c>
      <c r="C589" s="5" t="n">
        <v>0</v>
      </c>
      <c r="D589" s="5" t="inlineStr">
        <is>
          <t>Investitions- und Strukturbank Rheinland-Pfalz (ISB)</t>
        </is>
      </c>
      <c r="E589" s="5" t="inlineStr">
        <is>
          <t>Schoenergie GmbH</t>
        </is>
      </c>
      <c r="F589" s="5" t="n">
        <v>45</v>
      </c>
      <c r="G589" s="5" t="n">
        <v>77</v>
      </c>
      <c r="H589" s="5" t="inlineStr">
        <is>
          <t>context_actor</t>
        </is>
      </c>
      <c r="I589" t="inlineStr">
        <is>
          <t>bank_finance_anchor</t>
        </is>
      </c>
      <c r="J589" s="5" t="inlineStr">
        <is>
          <t>profit_anchor</t>
        </is>
      </c>
      <c r="K589" t="inlineStr">
        <is>
          <t>energy_infrastructure_anchor</t>
        </is>
      </c>
      <c r="L589" s="5" t="inlineStr">
        <is>
          <t>nachhaltigkeit</t>
        </is>
      </c>
      <c r="M589" s="5" t="inlineStr">
        <is>
          <t>energie_versorgungssicherheit</t>
        </is>
      </c>
      <c r="N589" s="5" t="inlineStr">
        <is>
          <t>Energie, Netze und Versorgungssicherheit</t>
        </is>
      </c>
      <c r="O589" s="5" t="n">
        <v>3</v>
      </c>
      <c r="P589" s="5" t="n">
        <v>4</v>
      </c>
      <c r="Q589" s="5" t="n">
        <v>11</v>
      </c>
      <c r="R589" s="5" t="n">
        <v>4</v>
      </c>
      <c r="S589" s="5" t="n">
        <v>0</v>
      </c>
      <c r="T589" s="5" t="n">
        <v>0</v>
      </c>
      <c r="U589" s="5" t="n">
        <v>2</v>
      </c>
      <c r="V589" s="5" t="n">
        <v>6</v>
      </c>
      <c r="W589" s="5" t="n">
        <v>6</v>
      </c>
      <c r="X589" s="5" t="n">
        <v>0</v>
      </c>
      <c r="Y589" s="5" t="n">
        <v>0</v>
      </c>
      <c r="Z589" s="5" t="n">
        <v>0</v>
      </c>
      <c r="AA589" s="5" t="n">
        <v>0</v>
      </c>
      <c r="AB589" s="5" t="n">
        <v>22.827107</v>
      </c>
      <c r="AC589" s="5" t="inlineStr">
        <is>
          <t>Wie bleiben Unternehmen, Kommunen und Infrastrukturträger in Rheinland-Pfalz investitions- und versorgungssicher?</t>
        </is>
      </c>
      <c r="AD589" s="5" t="inlineStr">
        <is>
          <t>Energie, Netze und Versorgungssicherheit: Investitions- und Strukturbank Rheinland-Pfalz (ISB) (context_actor, 3) + Schoenergie GmbH (profit_anchor, 4).</t>
        </is>
      </c>
      <c r="AE589" s="5" t="inlineStr">
        <is>
          <t>Investitions- und Strukturbank Rheinland-Pfalz (ISB) | Schoenergie GmbH</t>
        </is>
      </c>
      <c r="AF589" s="5" t="inlineStr">
        <is>
          <t>energie-versorgungssicherheit-investitions-und-strukturbank-rheinland-pfalz-isb-schoenergie-gmb</t>
        </is>
      </c>
    </row>
    <row r="590">
      <c r="A590" s="5" t="inlineStr">
        <is>
          <t>C0589</t>
        </is>
      </c>
      <c r="B590" s="5" t="inlineStr">
        <is>
          <t>x_0589</t>
        </is>
      </c>
      <c r="C590" s="5" t="n">
        <v>0</v>
      </c>
      <c r="D590" s="5" t="inlineStr">
        <is>
          <t>Investitions- und Strukturbank Rheinland-Pfalz (ISB)</t>
        </is>
      </c>
      <c r="E590" s="5" t="inlineStr">
        <is>
          <t>thyssenkrupp Rasselstein GmbH</t>
        </is>
      </c>
      <c r="F590" s="5" t="n">
        <v>45</v>
      </c>
      <c r="G590" s="5" t="n">
        <v>89</v>
      </c>
      <c r="H590" s="5" t="inlineStr">
        <is>
          <t>context_actor</t>
        </is>
      </c>
      <c r="I590" t="inlineStr">
        <is>
          <t>bank_finance_anchor</t>
        </is>
      </c>
      <c r="J590" s="5" t="inlineStr">
        <is>
          <t>profit_anchor</t>
        </is>
      </c>
      <c r="K590" t="inlineStr">
        <is>
          <t>industry_anchor</t>
        </is>
      </c>
      <c r="L590" s="5" t="inlineStr">
        <is>
          <t>nachhaltigkeit</t>
        </is>
      </c>
      <c r="M590" s="5" t="inlineStr">
        <is>
          <t>energie_versorgungssicherheit</t>
        </is>
      </c>
      <c r="N590" s="5" t="inlineStr">
        <is>
          <t>Energie, Netze und Versorgungssicherheit</t>
        </is>
      </c>
      <c r="O590" s="5" t="n">
        <v>3</v>
      </c>
      <c r="P590" s="5" t="n">
        <v>4</v>
      </c>
      <c r="Q590" s="5" t="n">
        <v>11</v>
      </c>
      <c r="R590" s="5" t="n">
        <v>4</v>
      </c>
      <c r="S590" s="5" t="n">
        <v>0</v>
      </c>
      <c r="T590" s="5" t="n">
        <v>0</v>
      </c>
      <c r="U590" s="5" t="n">
        <v>2</v>
      </c>
      <c r="V590" s="5" t="n">
        <v>6</v>
      </c>
      <c r="W590" s="5" t="n">
        <v>6</v>
      </c>
      <c r="X590" s="5" t="n">
        <v>0</v>
      </c>
      <c r="Y590" s="5" t="n">
        <v>0</v>
      </c>
      <c r="Z590" s="5" t="n">
        <v>0</v>
      </c>
      <c r="AA590" s="5" t="n">
        <v>0</v>
      </c>
      <c r="AB590" s="5" t="n">
        <v>21.9004</v>
      </c>
      <c r="AC590" s="5" t="inlineStr">
        <is>
          <t>Wie bleiben Unternehmen, Kommunen und Infrastrukturträger in Rheinland-Pfalz investitions- und versorgungssicher?</t>
        </is>
      </c>
      <c r="AD590" s="5" t="inlineStr">
        <is>
          <t>Energie, Netze und Versorgungssicherheit: Investitions- und Strukturbank Rheinland-Pfalz (ISB) (context_actor, 3) + thyssenkrupp Rasselstein GmbH (profit_anchor, 4).</t>
        </is>
      </c>
      <c r="AE590" s="5" t="inlineStr">
        <is>
          <t>Investitions- und Strukturbank Rheinland-Pfalz (ISB) | thyssenkrupp Rasselstein GmbH</t>
        </is>
      </c>
      <c r="AF590" s="5" t="inlineStr">
        <is>
          <t>energie-versorgungssicherheit-investitions-und-strukturbank-rheinland-pfalz-isb-thyssenkrupp-ra</t>
        </is>
      </c>
    </row>
    <row r="591">
      <c r="A591" s="5" t="inlineStr">
        <is>
          <t>C0590</t>
        </is>
      </c>
      <c r="B591" s="5" t="inlineStr">
        <is>
          <t>x_0590</t>
        </is>
      </c>
      <c r="C591" s="5" t="n">
        <v>0</v>
      </c>
      <c r="D591" s="5" t="inlineStr">
        <is>
          <t>1. FSV Mainz 05 e.V.</t>
        </is>
      </c>
      <c r="E591" s="5" t="inlineStr">
        <is>
          <t>Deutsche Telekom AG</t>
        </is>
      </c>
      <c r="F591" s="5" t="n">
        <v>1</v>
      </c>
      <c r="G591" s="5" t="n">
        <v>18</v>
      </c>
      <c r="H591" s="5" t="inlineStr">
        <is>
          <t>context_actor</t>
        </is>
      </c>
      <c r="I591" t="inlineStr">
        <is>
          <t>sports_regional_identity_anchor</t>
        </is>
      </c>
      <c r="J591" s="5" t="inlineStr">
        <is>
          <t>profit_anchor</t>
        </is>
      </c>
      <c r="K591" t="inlineStr">
        <is>
          <t>technology_digital_anchor</t>
        </is>
      </c>
      <c r="L591" s="5" t="inlineStr">
        <is>
          <t>kultur</t>
        </is>
      </c>
      <c r="M591" s="5" t="inlineStr">
        <is>
          <t>kreativwirtschaft_digitale_medien</t>
        </is>
      </c>
      <c r="N591" s="5" t="inlineStr">
        <is>
          <t>Kreativwirtschaft, Medien und digitale Öffentlichkeit</t>
        </is>
      </c>
      <c r="O591" s="5" t="n">
        <v>3</v>
      </c>
      <c r="P591" s="5" t="n">
        <v>4</v>
      </c>
      <c r="Q591" s="5" t="n">
        <v>11</v>
      </c>
      <c r="R591" s="5" t="n">
        <v>4</v>
      </c>
      <c r="S591" s="5" t="n">
        <v>0</v>
      </c>
      <c r="T591" s="5" t="n">
        <v>0</v>
      </c>
      <c r="U591" s="5" t="n">
        <v>2</v>
      </c>
      <c r="V591" s="5" t="n">
        <v>6</v>
      </c>
      <c r="W591" s="5" t="n">
        <v>6</v>
      </c>
      <c r="X591" s="5" t="n">
        <v>0</v>
      </c>
      <c r="Y591" s="5" t="n">
        <v>0</v>
      </c>
      <c r="Z591" s="5" t="n">
        <v>0</v>
      </c>
      <c r="AA591" s="5" t="n">
        <v>0</v>
      </c>
      <c r="AB591" s="5" t="n">
        <v>35.409618</v>
      </c>
      <c r="AC591" s="5" t="inlineStr">
        <is>
          <t>Wie verändern Medien, Plattformen und kreative Arbeit die öffentliche Wahrnehmung von Rheinland-Pfalz?</t>
        </is>
      </c>
      <c r="AD591" s="5" t="inlineStr">
        <is>
          <t>Kreativwirtschaft, Medien und digitale Öffentlichkeit: 1. FSV Mainz 05 e.V. (context_actor, 3) + Deutsche Telekom AG (profit_anchor, 4).</t>
        </is>
      </c>
      <c r="AE591" s="5" t="inlineStr">
        <is>
          <t>1. FSV Mainz 05 e.V. | Deutsche Telekom AG</t>
        </is>
      </c>
      <c r="AF591" s="5" t="inlineStr">
        <is>
          <t>kreativwirtschaft-digitale-medien-1-fsv-mainz-05-e-v-deutsche-telekom-ag</t>
        </is>
      </c>
    </row>
    <row r="592">
      <c r="A592" s="5" t="inlineStr">
        <is>
          <t>C0591</t>
        </is>
      </c>
      <c r="B592" s="5" t="inlineStr">
        <is>
          <t>x_0591</t>
        </is>
      </c>
      <c r="C592" s="5" t="n">
        <v>0</v>
      </c>
      <c r="D592" s="5" t="inlineStr">
        <is>
          <t>Deutsche Telekom AG</t>
        </is>
      </c>
      <c r="E592" s="5" t="inlineStr">
        <is>
          <t>Hochschule für Musik Mainz</t>
        </is>
      </c>
      <c r="F592" s="5" t="n">
        <v>18</v>
      </c>
      <c r="G592" s="5" t="n">
        <v>35</v>
      </c>
      <c r="H592" s="5" t="inlineStr">
        <is>
          <t>profit_anchor</t>
        </is>
      </c>
      <c r="I592" t="inlineStr">
        <is>
          <t>technology_digital_anchor</t>
        </is>
      </c>
      <c r="J592" s="5" t="inlineStr">
        <is>
          <t>academic_support</t>
        </is>
      </c>
      <c r="K592" t="inlineStr">
        <is>
          <t>university_applied_sciences</t>
        </is>
      </c>
      <c r="L592" s="5" t="inlineStr">
        <is>
          <t>kultur</t>
        </is>
      </c>
      <c r="M592" s="5" t="inlineStr">
        <is>
          <t>kreativwirtschaft_digitale_medien</t>
        </is>
      </c>
      <c r="N592" s="5" t="inlineStr">
        <is>
          <t>Kreativwirtschaft, Medien und digitale Öffentlichkeit</t>
        </is>
      </c>
      <c r="O592" s="5" t="n">
        <v>4</v>
      </c>
      <c r="P592" s="5" t="n">
        <v>3</v>
      </c>
      <c r="Q592" s="5" t="n">
        <v>11</v>
      </c>
      <c r="R592" s="5" t="n">
        <v>4</v>
      </c>
      <c r="S592" s="5" t="n">
        <v>0</v>
      </c>
      <c r="T592" s="5" t="n">
        <v>0</v>
      </c>
      <c r="U592" s="5" t="n">
        <v>2</v>
      </c>
      <c r="V592" s="5" t="n">
        <v>6</v>
      </c>
      <c r="W592" s="5" t="n">
        <v>6</v>
      </c>
      <c r="X592" s="5" t="n">
        <v>0</v>
      </c>
      <c r="Y592" s="5" t="n">
        <v>0</v>
      </c>
      <c r="Z592" s="5" t="n">
        <v>0</v>
      </c>
      <c r="AA592" s="5" t="n">
        <v>0</v>
      </c>
      <c r="AB592" s="5" t="n">
        <v>23.126811</v>
      </c>
      <c r="AC592" s="5" t="inlineStr">
        <is>
          <t>Wie verändern Medien, Plattformen und kreative Arbeit die öffentliche Wahrnehmung von Rheinland-Pfalz?</t>
        </is>
      </c>
      <c r="AD592" s="5" t="inlineStr">
        <is>
          <t>Kreativwirtschaft, Medien und digitale Öffentlichkeit: Deutsche Telekom AG (profit_anchor, 4) + Hochschule für Musik Mainz (academic_support, 3).</t>
        </is>
      </c>
      <c r="AE592" s="5" t="inlineStr">
        <is>
          <t>Deutsche Telekom AG | Hochschule für Musik Mainz</t>
        </is>
      </c>
      <c r="AF592" s="5" t="inlineStr">
        <is>
          <t>kreativwirtschaft-digitale-medien-deutsche-telekom-ag-hochschule-für-musik-mainz</t>
        </is>
      </c>
    </row>
    <row r="593">
      <c r="A593" s="5" t="inlineStr">
        <is>
          <t>C0592</t>
        </is>
      </c>
      <c r="B593" s="5" t="inlineStr">
        <is>
          <t>x_0592</t>
        </is>
      </c>
      <c r="C593" s="5" t="n">
        <v>0</v>
      </c>
      <c r="D593" s="5" t="inlineStr">
        <is>
          <t>Entwicklungsagentur Rheinland-Pfalz e.V.</t>
        </is>
      </c>
      <c r="E593" s="5" t="inlineStr">
        <is>
          <t>Villa Musica Rheinland-Pfalz</t>
        </is>
      </c>
      <c r="F593" s="5" t="n">
        <v>25</v>
      </c>
      <c r="G593" s="5" t="n">
        <v>96</v>
      </c>
      <c r="H593" s="5" t="inlineStr">
        <is>
          <t>implementation_anchor</t>
        </is>
      </c>
      <c r="I593" t="inlineStr">
        <is>
          <t>public_policy_anchor</t>
        </is>
      </c>
      <c r="J593" s="5" t="inlineStr">
        <is>
          <t>context_actor</t>
        </is>
      </c>
      <c r="K593" t="inlineStr">
        <is>
          <t>culture_foundation_anchor</t>
        </is>
      </c>
      <c r="L593" s="5" t="inlineStr">
        <is>
          <t>kultur</t>
        </is>
      </c>
      <c r="M593" s="5" t="inlineStr">
        <is>
          <t>kreativwirtschaft_digitale_medien</t>
        </is>
      </c>
      <c r="N593" s="5" t="inlineStr">
        <is>
          <t>Kreativwirtschaft, Medien und digitale Öffentlichkeit</t>
        </is>
      </c>
      <c r="O593" s="5" t="n">
        <v>3</v>
      </c>
      <c r="P593" s="5" t="n">
        <v>4</v>
      </c>
      <c r="Q593" s="5" t="n">
        <v>11</v>
      </c>
      <c r="R593" s="5" t="n">
        <v>4</v>
      </c>
      <c r="S593" s="5" t="n">
        <v>0</v>
      </c>
      <c r="T593" s="5" t="n">
        <v>0</v>
      </c>
      <c r="U593" s="5" t="n">
        <v>2</v>
      </c>
      <c r="V593" s="5" t="n">
        <v>6</v>
      </c>
      <c r="W593" s="5" t="n">
        <v>6</v>
      </c>
      <c r="X593" s="5" t="n">
        <v>0</v>
      </c>
      <c r="Y593" s="5" t="n">
        <v>0</v>
      </c>
      <c r="Z593" s="5" t="n">
        <v>0</v>
      </c>
      <c r="AA593" s="5" t="n">
        <v>0</v>
      </c>
      <c r="AB593" s="5" t="n">
        <v>49.120731</v>
      </c>
      <c r="AC593" s="5" t="inlineStr">
        <is>
          <t>Wie verändern Medien, Plattformen und kreative Arbeit die öffentliche Wahrnehmung von Rheinland-Pfalz?</t>
        </is>
      </c>
      <c r="AD593" s="5" t="inlineStr">
        <is>
          <t>Kreativwirtschaft, Medien und digitale Öffentlichkeit: Entwicklungsagentur Rheinland-Pfalz e.V. (implementation_anchor, 3) + Villa Musica Rheinland-Pfalz (context_actor, 4).</t>
        </is>
      </c>
      <c r="AE593" s="5" t="inlineStr">
        <is>
          <t>Entwicklungsagentur Rheinland-Pfalz e.V. | Villa Musica Rheinland-Pfalz</t>
        </is>
      </c>
      <c r="AF593" s="5" t="inlineStr">
        <is>
          <t>kreativwirtschaft-digitale-medien-entwicklungsagentur-rheinland-pfalz-e-v-villa-musica-rheinlan</t>
        </is>
      </c>
    </row>
    <row r="594">
      <c r="A594" s="5" t="inlineStr">
        <is>
          <t>C0593</t>
        </is>
      </c>
      <c r="B594" s="5" t="inlineStr">
        <is>
          <t>x_0593</t>
        </is>
      </c>
      <c r="C594" s="5" t="n">
        <v>0</v>
      </c>
      <c r="D594" s="5" t="inlineStr">
        <is>
          <t>Entwicklungsagentur Rheinland-Pfalz e.V.</t>
        </is>
      </c>
      <c r="E594" s="5" t="inlineStr">
        <is>
          <t>robotspaceship</t>
        </is>
      </c>
      <c r="F594" s="5" t="n">
        <v>25</v>
      </c>
      <c r="G594" s="5" t="n">
        <v>75</v>
      </c>
      <c r="H594" s="5" t="inlineStr">
        <is>
          <t>implementation_anchor</t>
        </is>
      </c>
      <c r="I594" t="inlineStr">
        <is>
          <t>public_policy_anchor</t>
        </is>
      </c>
      <c r="J594" s="5" t="inlineStr">
        <is>
          <t>context_actor</t>
        </is>
      </c>
      <c r="K594" t="inlineStr">
        <is>
          <t>technology_digital_anchor</t>
        </is>
      </c>
      <c r="L594" s="5" t="inlineStr">
        <is>
          <t>kultur</t>
        </is>
      </c>
      <c r="M594" s="5" t="inlineStr">
        <is>
          <t>kreativwirtschaft_digitale_medien</t>
        </is>
      </c>
      <c r="N594" s="5" t="inlineStr">
        <is>
          <t>Kreativwirtschaft, Medien und digitale Öffentlichkeit</t>
        </is>
      </c>
      <c r="O594" s="5" t="n">
        <v>3</v>
      </c>
      <c r="P594" s="5" t="n">
        <v>4</v>
      </c>
      <c r="Q594" s="5" t="n">
        <v>11</v>
      </c>
      <c r="R594" s="5" t="n">
        <v>4</v>
      </c>
      <c r="S594" s="5" t="n">
        <v>0</v>
      </c>
      <c r="T594" s="5" t="n">
        <v>0</v>
      </c>
      <c r="U594" s="5" t="n">
        <v>2</v>
      </c>
      <c r="V594" s="5" t="n">
        <v>6</v>
      </c>
      <c r="W594" s="5" t="n">
        <v>6</v>
      </c>
      <c r="X594" s="5" t="n">
        <v>0</v>
      </c>
      <c r="Y594" s="5" t="n">
        <v>0</v>
      </c>
      <c r="Z594" s="5" t="n">
        <v>0</v>
      </c>
      <c r="AA594" s="5" t="n">
        <v>0</v>
      </c>
      <c r="AB594" s="5" t="n">
        <v>36.612431</v>
      </c>
      <c r="AC594" s="5" t="inlineStr">
        <is>
          <t>Wie verändern Medien, Plattformen und kreative Arbeit die öffentliche Wahrnehmung von Rheinland-Pfalz?</t>
        </is>
      </c>
      <c r="AD594" s="5" t="inlineStr">
        <is>
          <t>Kreativwirtschaft, Medien und digitale Öffentlichkeit: Entwicklungsagentur Rheinland-Pfalz e.V. (implementation_anchor, 3) + robotspaceship (context_actor, 4).</t>
        </is>
      </c>
      <c r="AE594" s="5" t="inlineStr">
        <is>
          <t>Entwicklungsagentur Rheinland-Pfalz e.V. | robotspaceship</t>
        </is>
      </c>
      <c r="AF594" s="5" t="inlineStr">
        <is>
          <t>kreativwirtschaft-digitale-medien-entwicklungsagentur-rheinland-pfalz-e-v-robotspaceship</t>
        </is>
      </c>
    </row>
    <row r="595">
      <c r="A595" s="5" t="inlineStr">
        <is>
          <t>C0594</t>
        </is>
      </c>
      <c r="B595" s="5" t="inlineStr">
        <is>
          <t>x_0594</t>
        </is>
      </c>
      <c r="C595" s="5" t="n">
        <v>0</v>
      </c>
      <c r="D595" s="5" t="inlineStr">
        <is>
          <t>Erster FC Kaiserslautern GmbH &amp; Co. KGaA</t>
        </is>
      </c>
      <c r="E595" s="5" t="inlineStr">
        <is>
          <t>Johannes Gutenberg-Universität Mainz</t>
        </is>
      </c>
      <c r="F595" s="5" t="n">
        <v>27</v>
      </c>
      <c r="G595" s="5" t="n">
        <v>49</v>
      </c>
      <c r="H595" s="5" t="inlineStr">
        <is>
          <t>profit_anchor</t>
        </is>
      </c>
      <c r="I595" t="inlineStr">
        <is>
          <t>sports_regional_identity_anchor</t>
        </is>
      </c>
      <c r="J595" s="5" t="inlineStr">
        <is>
          <t>academic_support</t>
        </is>
      </c>
      <c r="K595" t="inlineStr">
        <is>
          <t>university_research</t>
        </is>
      </c>
      <c r="L595" s="5" t="inlineStr">
        <is>
          <t>kultur</t>
        </is>
      </c>
      <c r="M595" s="5" t="inlineStr">
        <is>
          <t>kreativwirtschaft_digitale_medien</t>
        </is>
      </c>
      <c r="N595" s="5" t="inlineStr">
        <is>
          <t>Kreativwirtschaft, Medien und digitale Öffentlichkeit</t>
        </is>
      </c>
      <c r="O595" s="5" t="n">
        <v>3</v>
      </c>
      <c r="P595" s="5" t="n">
        <v>4</v>
      </c>
      <c r="Q595" s="5" t="n">
        <v>11</v>
      </c>
      <c r="R595" s="5" t="n">
        <v>4</v>
      </c>
      <c r="S595" s="5" t="n">
        <v>0</v>
      </c>
      <c r="T595" s="5" t="n">
        <v>0</v>
      </c>
      <c r="U595" s="5" t="n">
        <v>2</v>
      </c>
      <c r="V595" s="5" t="n">
        <v>6</v>
      </c>
      <c r="W595" s="5" t="n">
        <v>6</v>
      </c>
      <c r="X595" s="5" t="n">
        <v>0</v>
      </c>
      <c r="Y595" s="5" t="n">
        <v>0</v>
      </c>
      <c r="Z595" s="5" t="n">
        <v>0</v>
      </c>
      <c r="AA595" s="5" t="n">
        <v>0</v>
      </c>
      <c r="AB595" s="5" t="n">
        <v>41.254904</v>
      </c>
      <c r="AC595" s="5" t="inlineStr">
        <is>
          <t>Wie verändern Medien, Plattformen und kreative Arbeit die öffentliche Wahrnehmung von Rheinland-Pfalz?</t>
        </is>
      </c>
      <c r="AD595" s="5" t="inlineStr">
        <is>
          <t>Kreativwirtschaft, Medien und digitale Öffentlichkeit: Erster FC Kaiserslautern GmbH &amp; Co. KGaA (profit_anchor, 3) + Johannes Gutenberg-Universität Mainz (academic_support, 4).</t>
        </is>
      </c>
      <c r="AE595" s="5" t="inlineStr">
        <is>
          <t>Erster FC Kaiserslautern GmbH &amp; Co. KGaA | Johannes Gutenberg-Universität Mainz</t>
        </is>
      </c>
      <c r="AF595" s="5" t="inlineStr">
        <is>
          <t>kreativwirtschaft-digitale-medien-erster-fc-kaiserslautern-gmbh-co-kgaa-johannes-gutenberg-univ</t>
        </is>
      </c>
    </row>
    <row r="596">
      <c r="A596" s="5" t="inlineStr">
        <is>
          <t>C0595</t>
        </is>
      </c>
      <c r="B596" s="5" t="inlineStr">
        <is>
          <t>x_0595</t>
        </is>
      </c>
      <c r="C596" s="5" t="n">
        <v>0</v>
      </c>
      <c r="D596" s="5" t="inlineStr">
        <is>
          <t>Erster FC Kaiserslautern GmbH &amp; Co. KGaA</t>
        </is>
      </c>
      <c r="E596" s="5" t="inlineStr">
        <is>
          <t>Villa Musica Rheinland-Pfalz</t>
        </is>
      </c>
      <c r="F596" s="5" t="n">
        <v>27</v>
      </c>
      <c r="G596" s="5" t="n">
        <v>96</v>
      </c>
      <c r="H596" s="5" t="inlineStr">
        <is>
          <t>profit_anchor</t>
        </is>
      </c>
      <c r="I596" t="inlineStr">
        <is>
          <t>sports_regional_identity_anchor</t>
        </is>
      </c>
      <c r="J596" s="5" t="inlineStr">
        <is>
          <t>context_actor</t>
        </is>
      </c>
      <c r="K596" t="inlineStr">
        <is>
          <t>culture_foundation_anchor</t>
        </is>
      </c>
      <c r="L596" s="5" t="inlineStr">
        <is>
          <t>kultur</t>
        </is>
      </c>
      <c r="M596" s="5" t="inlineStr">
        <is>
          <t>kreativwirtschaft_digitale_medien</t>
        </is>
      </c>
      <c r="N596" s="5" t="inlineStr">
        <is>
          <t>Kreativwirtschaft, Medien und digitale Öffentlichkeit</t>
        </is>
      </c>
      <c r="O596" s="5" t="n">
        <v>3</v>
      </c>
      <c r="P596" s="5" t="n">
        <v>4</v>
      </c>
      <c r="Q596" s="5" t="n">
        <v>11</v>
      </c>
      <c r="R596" s="5" t="n">
        <v>4</v>
      </c>
      <c r="S596" s="5" t="n">
        <v>0</v>
      </c>
      <c r="T596" s="5" t="n">
        <v>0</v>
      </c>
      <c r="U596" s="5" t="n">
        <v>2</v>
      </c>
      <c r="V596" s="5" t="n">
        <v>6</v>
      </c>
      <c r="W596" s="5" t="n">
        <v>6</v>
      </c>
      <c r="X596" s="5" t="n">
        <v>0</v>
      </c>
      <c r="Y596" s="5" t="n">
        <v>0</v>
      </c>
      <c r="Z596" s="5" t="n">
        <v>0</v>
      </c>
      <c r="AA596" s="5" t="n">
        <v>0</v>
      </c>
      <c r="AB596" s="5" t="n">
        <v>41.349526</v>
      </c>
      <c r="AC596" s="5" t="inlineStr">
        <is>
          <t>Wie verändern Medien, Plattformen und kreative Arbeit die öffentliche Wahrnehmung von Rheinland-Pfalz?</t>
        </is>
      </c>
      <c r="AD596" s="5" t="inlineStr">
        <is>
          <t>Kreativwirtschaft, Medien und digitale Öffentlichkeit: Erster FC Kaiserslautern GmbH &amp; Co. KGaA (profit_anchor, 3) + Villa Musica Rheinland-Pfalz (context_actor, 4).</t>
        </is>
      </c>
      <c r="AE596" s="5" t="inlineStr">
        <is>
          <t>Erster FC Kaiserslautern GmbH &amp; Co. KGaA | Villa Musica Rheinland-Pfalz</t>
        </is>
      </c>
      <c r="AF596" s="5" t="inlineStr">
        <is>
          <t>kreativwirtschaft-digitale-medien-erster-fc-kaiserslautern-gmbh-co-kgaa-villa-musica-rheinland-</t>
        </is>
      </c>
    </row>
    <row r="597">
      <c r="A597" s="5" t="inlineStr">
        <is>
          <t>C0596</t>
        </is>
      </c>
      <c r="B597" s="5" t="inlineStr">
        <is>
          <t>x_0596</t>
        </is>
      </c>
      <c r="C597" s="5" t="n">
        <v>0</v>
      </c>
      <c r="D597" s="5" t="inlineStr">
        <is>
          <t>Erster FC Kaiserslautern GmbH &amp; Co. KGaA</t>
        </is>
      </c>
      <c r="E597" s="5" t="inlineStr">
        <is>
          <t>robotspaceship</t>
        </is>
      </c>
      <c r="F597" s="5" t="n">
        <v>27</v>
      </c>
      <c r="G597" s="5" t="n">
        <v>75</v>
      </c>
      <c r="H597" s="5" t="inlineStr">
        <is>
          <t>profit_anchor</t>
        </is>
      </c>
      <c r="I597" t="inlineStr">
        <is>
          <t>sports_regional_identity_anchor</t>
        </is>
      </c>
      <c r="J597" s="5" t="inlineStr">
        <is>
          <t>context_actor</t>
        </is>
      </c>
      <c r="K597" t="inlineStr">
        <is>
          <t>technology_digital_anchor</t>
        </is>
      </c>
      <c r="L597" s="5" t="inlineStr">
        <is>
          <t>kultur</t>
        </is>
      </c>
      <c r="M597" s="5" t="inlineStr">
        <is>
          <t>kreativwirtschaft_digitale_medien</t>
        </is>
      </c>
      <c r="N597" s="5" t="inlineStr">
        <is>
          <t>Kreativwirtschaft, Medien und digitale Öffentlichkeit</t>
        </is>
      </c>
      <c r="O597" s="5" t="n">
        <v>3</v>
      </c>
      <c r="P597" s="5" t="n">
        <v>4</v>
      </c>
      <c r="Q597" s="5" t="n">
        <v>11</v>
      </c>
      <c r="R597" s="5" t="n">
        <v>4</v>
      </c>
      <c r="S597" s="5" t="n">
        <v>0</v>
      </c>
      <c r="T597" s="5" t="n">
        <v>0</v>
      </c>
      <c r="U597" s="5" t="n">
        <v>2</v>
      </c>
      <c r="V597" s="5" t="n">
        <v>6</v>
      </c>
      <c r="W597" s="5" t="n">
        <v>6</v>
      </c>
      <c r="X597" s="5" t="n">
        <v>0</v>
      </c>
      <c r="Y597" s="5" t="n">
        <v>0</v>
      </c>
      <c r="Z597" s="5" t="n">
        <v>0</v>
      </c>
      <c r="AA597" s="5" t="n">
        <v>0</v>
      </c>
      <c r="AB597" s="5" t="n">
        <v>35.409618</v>
      </c>
      <c r="AC597" s="5" t="inlineStr">
        <is>
          <t>Wie verändern Medien, Plattformen und kreative Arbeit die öffentliche Wahrnehmung von Rheinland-Pfalz?</t>
        </is>
      </c>
      <c r="AD597" s="5" t="inlineStr">
        <is>
          <t>Kreativwirtschaft, Medien und digitale Öffentlichkeit: Erster FC Kaiserslautern GmbH &amp; Co. KGaA (profit_anchor, 3) + robotspaceship (context_actor, 4).</t>
        </is>
      </c>
      <c r="AE597" s="5" t="inlineStr">
        <is>
          <t>Erster FC Kaiserslautern GmbH &amp; Co. KGaA | robotspaceship</t>
        </is>
      </c>
      <c r="AF597" s="5" t="inlineStr">
        <is>
          <t>kreativwirtschaft-digitale-medien-erster-fc-kaiserslautern-gmbh-co-kgaa-robotspaceship</t>
        </is>
      </c>
    </row>
    <row r="598">
      <c r="A598" s="5" t="inlineStr">
        <is>
          <t>C0597</t>
        </is>
      </c>
      <c r="B598" s="5" t="inlineStr">
        <is>
          <t>x_0597</t>
        </is>
      </c>
      <c r="C598" s="5" t="n">
        <v>0</v>
      </c>
      <c r="D598" s="5" t="inlineStr">
        <is>
          <t>Hochschule Mainz</t>
        </is>
      </c>
      <c r="E598" s="5" t="inlineStr">
        <is>
          <t>Villa Musica Rheinland-Pfalz</t>
        </is>
      </c>
      <c r="F598" s="5" t="n">
        <v>39</v>
      </c>
      <c r="G598" s="5" t="n">
        <v>96</v>
      </c>
      <c r="H598" s="5" t="inlineStr">
        <is>
          <t>academic_support</t>
        </is>
      </c>
      <c r="I598" t="inlineStr">
        <is>
          <t>university_applied_sciences</t>
        </is>
      </c>
      <c r="J598" s="5" t="inlineStr">
        <is>
          <t>context_actor</t>
        </is>
      </c>
      <c r="K598" t="inlineStr">
        <is>
          <t>culture_foundation_anchor</t>
        </is>
      </c>
      <c r="L598" s="5" t="inlineStr">
        <is>
          <t>kultur</t>
        </is>
      </c>
      <c r="M598" s="5" t="inlineStr">
        <is>
          <t>kreativwirtschaft_digitale_medien</t>
        </is>
      </c>
      <c r="N598" s="5" t="inlineStr">
        <is>
          <t>Kreativwirtschaft, Medien und digitale Öffentlichkeit</t>
        </is>
      </c>
      <c r="O598" s="5" t="n">
        <v>5</v>
      </c>
      <c r="P598" s="5" t="n">
        <v>4</v>
      </c>
      <c r="Q598" s="5" t="n">
        <v>13</v>
      </c>
      <c r="R598" s="5" t="n">
        <v>4</v>
      </c>
      <c r="S598" s="5" t="n">
        <v>0</v>
      </c>
      <c r="T598" s="5" t="n">
        <v>0</v>
      </c>
      <c r="U598" s="5" t="n">
        <v>2</v>
      </c>
      <c r="V598" s="5" t="n">
        <v>5</v>
      </c>
      <c r="W598" s="5" t="n">
        <v>5</v>
      </c>
      <c r="X598" s="5" t="n">
        <v>0</v>
      </c>
      <c r="Y598" s="5" t="n">
        <v>0</v>
      </c>
      <c r="Z598" s="5" t="n">
        <v>0</v>
      </c>
      <c r="AA598" s="5" t="n">
        <v>0</v>
      </c>
      <c r="AB598" s="5" t="n">
        <v>37.284275</v>
      </c>
      <c r="AC598" s="5" t="inlineStr">
        <is>
          <t>Wie verändern Medien, Plattformen und kreative Arbeit die öffentliche Wahrnehmung von Rheinland-Pfalz?</t>
        </is>
      </c>
      <c r="AD598" s="5" t="inlineStr">
        <is>
          <t>Kreativwirtschaft, Medien und digitale Öffentlichkeit: Hochschule Mainz (academic_support, 5) + Villa Musica Rheinland-Pfalz (context_actor, 4).</t>
        </is>
      </c>
      <c r="AE598" s="5" t="inlineStr">
        <is>
          <t>Hochschule Mainz | Villa Musica Rheinland-Pfalz</t>
        </is>
      </c>
      <c r="AF598" s="5" t="inlineStr">
        <is>
          <t>kreativwirtschaft-digitale-medien-hochschule-mainz-villa-musica-rheinland-pfalz</t>
        </is>
      </c>
    </row>
    <row r="599">
      <c r="A599" s="5" t="inlineStr">
        <is>
          <t>C0598</t>
        </is>
      </c>
      <c r="B599" s="5" t="inlineStr">
        <is>
          <t>x_0598</t>
        </is>
      </c>
      <c r="C599" s="5" t="n">
        <v>0</v>
      </c>
      <c r="D599" s="5" t="inlineStr">
        <is>
          <t>1. FSV Mainz 05 e.V.</t>
        </is>
      </c>
      <c r="E599" s="5" t="inlineStr">
        <is>
          <t>LOTTO Rheinland-Pfalz GmbH</t>
        </is>
      </c>
      <c r="F599" s="5" t="n">
        <v>1</v>
      </c>
      <c r="G599" s="5" t="n">
        <v>66</v>
      </c>
      <c r="H599" s="5" t="inlineStr">
        <is>
          <t>context_actor</t>
        </is>
      </c>
      <c r="I599" t="inlineStr">
        <is>
          <t>sports_regional_identity_anchor</t>
        </is>
      </c>
      <c r="J599" s="5" t="inlineStr">
        <is>
          <t>profit_anchor</t>
        </is>
      </c>
      <c r="K599" t="inlineStr">
        <is>
          <t>culture_foundation_anchor</t>
        </is>
      </c>
      <c r="L599" s="5" t="inlineStr">
        <is>
          <t>kultur</t>
        </is>
      </c>
      <c r="M599" s="5" t="inlineStr">
        <is>
          <t>kultur_standort_identitaet</t>
        </is>
      </c>
      <c r="N599" s="5" t="inlineStr">
        <is>
          <t>Kultur, Standortidentität und regionale Attraktivität</t>
        </is>
      </c>
      <c r="O599" s="5" t="n">
        <v>4</v>
      </c>
      <c r="P599" s="5" t="n">
        <v>3</v>
      </c>
      <c r="Q599" s="5" t="n">
        <v>11</v>
      </c>
      <c r="R599" s="5" t="n">
        <v>4</v>
      </c>
      <c r="S599" s="5" t="n">
        <v>0</v>
      </c>
      <c r="T599" s="5" t="n">
        <v>0</v>
      </c>
      <c r="U599" s="5" t="n">
        <v>2</v>
      </c>
      <c r="V599" s="5" t="n">
        <v>6</v>
      </c>
      <c r="W599" s="5" t="n">
        <v>6</v>
      </c>
      <c r="X599" s="5" t="n">
        <v>0</v>
      </c>
      <c r="Y599" s="5" t="n">
        <v>0</v>
      </c>
      <c r="Z599" s="5" t="n">
        <v>0</v>
      </c>
      <c r="AA599" s="5" t="n">
        <v>0</v>
      </c>
      <c r="AB599" s="5" t="n">
        <v>41.349526</v>
      </c>
      <c r="AC599" s="5" t="inlineStr">
        <is>
          <t>Wie stärkt Kultur die Attraktivität von Städten, Regionen und Arbeitgeberstandorten?</t>
        </is>
      </c>
      <c r="AD599" s="5" t="inlineStr">
        <is>
          <t>Kultur, Standortidentität und regionale Attraktivität: 1. FSV Mainz 05 e.V. (context_actor, 4) + LOTTO Rheinland-Pfalz GmbH (profit_anchor, 3).</t>
        </is>
      </c>
      <c r="AE599" s="5" t="inlineStr">
        <is>
          <t>1. FSV Mainz 05 e.V. | LOTTO Rheinland-Pfalz GmbH</t>
        </is>
      </c>
      <c r="AF599" s="5" t="inlineStr">
        <is>
          <t>kultur-standort-identitaet-1-fsv-mainz-05-e-v-lotto-rheinland-pfalz-gmbh</t>
        </is>
      </c>
    </row>
    <row r="600">
      <c r="A600" s="5" t="inlineStr">
        <is>
          <t>C0599</t>
        </is>
      </c>
      <c r="B600" s="5" t="inlineStr">
        <is>
          <t>x_0599</t>
        </is>
      </c>
      <c r="C600" s="5" t="n">
        <v>0</v>
      </c>
      <c r="D600" s="5" t="inlineStr">
        <is>
          <t>Evangelische Kirche der Pfalz</t>
        </is>
      </c>
      <c r="E600" s="5" t="inlineStr">
        <is>
          <t>LOTTO Rheinland-Pfalz GmbH</t>
        </is>
      </c>
      <c r="F600" s="5" t="n">
        <v>28</v>
      </c>
      <c r="G600" s="5" t="n">
        <v>66</v>
      </c>
      <c r="H600" s="5" t="inlineStr">
        <is>
          <t>context_actor</t>
        </is>
      </c>
      <c r="I600" t="inlineStr">
        <is>
          <t>culture_foundation_anchor</t>
        </is>
      </c>
      <c r="J600" s="5" t="inlineStr">
        <is>
          <t>profit_anchor</t>
        </is>
      </c>
      <c r="K600" t="inlineStr">
        <is>
          <t>culture_foundation_anchor</t>
        </is>
      </c>
      <c r="L600" s="5" t="inlineStr">
        <is>
          <t>kultur</t>
        </is>
      </c>
      <c r="M600" s="5" t="inlineStr">
        <is>
          <t>kultur_standort_identitaet</t>
        </is>
      </c>
      <c r="N600" s="5" t="inlineStr">
        <is>
          <t>Kultur, Standortidentität und regionale Attraktivität</t>
        </is>
      </c>
      <c r="O600" s="5" t="n">
        <v>4</v>
      </c>
      <c r="P600" s="5" t="n">
        <v>3</v>
      </c>
      <c r="Q600" s="5" t="n">
        <v>11</v>
      </c>
      <c r="R600" s="5" t="n">
        <v>4</v>
      </c>
      <c r="S600" s="5" t="n">
        <v>0</v>
      </c>
      <c r="T600" s="5" t="n">
        <v>0</v>
      </c>
      <c r="U600" s="5" t="n">
        <v>2</v>
      </c>
      <c r="V600" s="5" t="n">
        <v>6</v>
      </c>
      <c r="W600" s="5" t="n">
        <v>6</v>
      </c>
      <c r="X600" s="5" t="n">
        <v>0</v>
      </c>
      <c r="Y600" s="5" t="n">
        <v>0</v>
      </c>
      <c r="Z600" s="5" t="n">
        <v>0</v>
      </c>
      <c r="AA600" s="5" t="n">
        <v>0</v>
      </c>
      <c r="AB600" s="5" t="n">
        <v>36.98414</v>
      </c>
      <c r="AC600" s="5" t="inlineStr">
        <is>
          <t>Wie stärkt Kultur die Attraktivität von Städten, Regionen und Arbeitgeberstandorten?</t>
        </is>
      </c>
      <c r="AD600" s="5" t="inlineStr">
        <is>
          <t>Kultur, Standortidentität und regionale Attraktivität: Evangelische Kirche der Pfalz (context_actor, 4) + LOTTO Rheinland-Pfalz GmbH (profit_anchor, 3).</t>
        </is>
      </c>
      <c r="AE600" s="5" t="inlineStr">
        <is>
          <t>Evangelische Kirche der Pfalz | LOTTO Rheinland-Pfalz GmbH</t>
        </is>
      </c>
      <c r="AF600" s="5" t="inlineStr">
        <is>
          <t>kultur-standort-identitaet-evangelische-kirche-der-pfalz-lotto-rheinland-pfalz-gmbh</t>
        </is>
      </c>
    </row>
    <row r="601">
      <c r="A601" s="5" t="inlineStr">
        <is>
          <t>C0600</t>
        </is>
      </c>
      <c r="B601" s="5" t="inlineStr">
        <is>
          <t>x_0600</t>
        </is>
      </c>
      <c r="C601" s="5" t="n">
        <v>0</v>
      </c>
      <c r="D601" s="5" t="inlineStr">
        <is>
          <t>Hochschule für Musik Mainz</t>
        </is>
      </c>
      <c r="E601" s="5" t="inlineStr">
        <is>
          <t>LOTTO Rheinland-Pfalz GmbH</t>
        </is>
      </c>
      <c r="F601" s="5" t="n">
        <v>35</v>
      </c>
      <c r="G601" s="5" t="n">
        <v>66</v>
      </c>
      <c r="H601" s="5" t="inlineStr">
        <is>
          <t>academic_support</t>
        </is>
      </c>
      <c r="I601" t="inlineStr">
        <is>
          <t>university_applied_sciences</t>
        </is>
      </c>
      <c r="J601" s="5" t="inlineStr">
        <is>
          <t>profit_anchor</t>
        </is>
      </c>
      <c r="K601" t="inlineStr">
        <is>
          <t>culture_foundation_anchor</t>
        </is>
      </c>
      <c r="L601" s="5" t="inlineStr">
        <is>
          <t>kultur</t>
        </is>
      </c>
      <c r="M601" s="5" t="inlineStr">
        <is>
          <t>kultur_standort_identitaet</t>
        </is>
      </c>
      <c r="N601" s="5" t="inlineStr">
        <is>
          <t>Kultur, Standortidentität und regionale Attraktivität</t>
        </is>
      </c>
      <c r="O601" s="5" t="n">
        <v>4</v>
      </c>
      <c r="P601" s="5" t="n">
        <v>3</v>
      </c>
      <c r="Q601" s="5" t="n">
        <v>11</v>
      </c>
      <c r="R601" s="5" t="n">
        <v>4</v>
      </c>
      <c r="S601" s="5" t="n">
        <v>0</v>
      </c>
      <c r="T601" s="5" t="n">
        <v>0</v>
      </c>
      <c r="U601" s="5" t="n">
        <v>2</v>
      </c>
      <c r="V601" s="5" t="n">
        <v>6</v>
      </c>
      <c r="W601" s="5" t="n">
        <v>6</v>
      </c>
      <c r="X601" s="5" t="n">
        <v>0</v>
      </c>
      <c r="Y601" s="5" t="n">
        <v>0</v>
      </c>
      <c r="Z601" s="5" t="n">
        <v>0</v>
      </c>
      <c r="AA601" s="5" t="n">
        <v>0</v>
      </c>
      <c r="AB601" s="5" t="n">
        <v>33.513933</v>
      </c>
      <c r="AC601" s="5" t="inlineStr">
        <is>
          <t>Wie stärkt Kultur die Attraktivität von Städten, Regionen und Arbeitgeberstandorten?</t>
        </is>
      </c>
      <c r="AD601" s="5" t="inlineStr">
        <is>
          <t>Kultur, Standortidentität und regionale Attraktivität: Hochschule für Musik Mainz (academic_support, 4) + LOTTO Rheinland-Pfalz GmbH (profit_anchor, 3).</t>
        </is>
      </c>
      <c r="AE601" s="5" t="inlineStr">
        <is>
          <t>Hochschule für Musik Mainz | LOTTO Rheinland-Pfalz GmbH</t>
        </is>
      </c>
      <c r="AF601" s="5" t="inlineStr">
        <is>
          <t>kultur-standort-identitaet-hochschule-für-musik-mainz-lotto-rheinland-pfalz-gmbh</t>
        </is>
      </c>
    </row>
    <row r="602">
      <c r="A602" s="5" t="inlineStr">
        <is>
          <t>C0601</t>
        </is>
      </c>
      <c r="B602" s="5" t="inlineStr">
        <is>
          <t>x_0601</t>
        </is>
      </c>
      <c r="C602" s="5" t="n">
        <v>0</v>
      </c>
      <c r="D602" s="5" t="inlineStr">
        <is>
          <t>Hochschule für Musik Mainz</t>
        </is>
      </c>
      <c r="E602" s="5" t="inlineStr">
        <is>
          <t>SWR – Südwestrundfunk</t>
        </is>
      </c>
      <c r="F602" s="5" t="n">
        <v>35</v>
      </c>
      <c r="G602" s="5" t="n">
        <v>86</v>
      </c>
      <c r="H602" s="5" t="inlineStr">
        <is>
          <t>academic_support</t>
        </is>
      </c>
      <c r="I602" t="inlineStr">
        <is>
          <t>university_applied_sciences</t>
        </is>
      </c>
      <c r="J602" s="5" t="inlineStr">
        <is>
          <t>context_actor</t>
        </is>
      </c>
      <c r="K602" t="inlineStr">
        <is>
          <t>media_publicity_anchor</t>
        </is>
      </c>
      <c r="L602" s="5" t="inlineStr">
        <is>
          <t>kultur</t>
        </is>
      </c>
      <c r="M602" s="5" t="inlineStr">
        <is>
          <t>kultur_standort_identitaet</t>
        </is>
      </c>
      <c r="N602" s="5" t="inlineStr">
        <is>
          <t>Kultur, Standortidentität und regionale Attraktivität</t>
        </is>
      </c>
      <c r="O602" s="5" t="n">
        <v>4</v>
      </c>
      <c r="P602" s="5" t="n">
        <v>5</v>
      </c>
      <c r="Q602" s="5" t="n">
        <v>13</v>
      </c>
      <c r="R602" s="5" t="n">
        <v>4</v>
      </c>
      <c r="S602" s="5" t="n">
        <v>0</v>
      </c>
      <c r="T602" s="5" t="n">
        <v>0</v>
      </c>
      <c r="U602" s="5" t="n">
        <v>2</v>
      </c>
      <c r="V602" s="5" t="n">
        <v>5</v>
      </c>
      <c r="W602" s="5" t="n">
        <v>5</v>
      </c>
      <c r="X602" s="5" t="n">
        <v>0</v>
      </c>
      <c r="Y602" s="5" t="n">
        <v>0</v>
      </c>
      <c r="Z602" s="5" t="n">
        <v>0</v>
      </c>
      <c r="AA602" s="5" t="n">
        <v>0</v>
      </c>
      <c r="AB602" s="5" t="n">
        <v>37.284275</v>
      </c>
      <c r="AC602" s="5" t="inlineStr">
        <is>
          <t>Wie stärkt Kultur die Attraktivität von Städten, Regionen und Arbeitgeberstandorten?</t>
        </is>
      </c>
      <c r="AD602" s="5" t="inlineStr">
        <is>
          <t>Kultur, Standortidentität und regionale Attraktivität: Hochschule für Musik Mainz (academic_support, 4) + SWR – Südwestrundfunk (context_actor, 5).</t>
        </is>
      </c>
      <c r="AE602" s="5" t="inlineStr">
        <is>
          <t>Hochschule für Musik Mainz | SWR – Südwestrundfunk</t>
        </is>
      </c>
      <c r="AF602" s="5" t="inlineStr">
        <is>
          <t>kultur-standort-identitaet-hochschule-für-musik-mainz-swr-südwestrundfunk</t>
        </is>
      </c>
    </row>
    <row r="603">
      <c r="A603" s="5" t="inlineStr">
        <is>
          <t>C0602</t>
        </is>
      </c>
      <c r="B603" s="5" t="inlineStr">
        <is>
          <t>x_0602</t>
        </is>
      </c>
      <c r="C603" s="5" t="n">
        <v>0</v>
      </c>
      <c r="D603" s="5" t="inlineStr">
        <is>
          <t>Hochschule für Musik Mainz</t>
        </is>
      </c>
      <c r="E603" s="5" t="inlineStr">
        <is>
          <t>Städtetag Rheinland-Pfalz</t>
        </is>
      </c>
      <c r="F603" s="5" t="n">
        <v>35</v>
      </c>
      <c r="G603" s="5" t="n">
        <v>85</v>
      </c>
      <c r="H603" s="5" t="inlineStr">
        <is>
          <t>academic_support</t>
        </is>
      </c>
      <c r="I603" t="inlineStr">
        <is>
          <t>university_applied_sciences</t>
        </is>
      </c>
      <c r="J603" s="5" t="inlineStr">
        <is>
          <t>context_actor</t>
        </is>
      </c>
      <c r="K603" t="inlineStr">
        <is>
          <t>public_policy_anchor</t>
        </is>
      </c>
      <c r="L603" s="5" t="inlineStr">
        <is>
          <t>kultur</t>
        </is>
      </c>
      <c r="M603" s="5" t="inlineStr">
        <is>
          <t>kultur_standort_identitaet</t>
        </is>
      </c>
      <c r="N603" s="5" t="inlineStr">
        <is>
          <t>Kultur, Standortidentität und regionale Attraktivität</t>
        </is>
      </c>
      <c r="O603" s="5" t="n">
        <v>4</v>
      </c>
      <c r="P603" s="5" t="n">
        <v>5</v>
      </c>
      <c r="Q603" s="5" t="n">
        <v>13</v>
      </c>
      <c r="R603" s="5" t="n">
        <v>4</v>
      </c>
      <c r="S603" s="5" t="n">
        <v>0</v>
      </c>
      <c r="T603" s="5" t="n">
        <v>0</v>
      </c>
      <c r="U603" s="5" t="n">
        <v>2</v>
      </c>
      <c r="V603" s="5" t="n">
        <v>5</v>
      </c>
      <c r="W603" s="5" t="n">
        <v>5</v>
      </c>
      <c r="X603" s="5" t="n">
        <v>0</v>
      </c>
      <c r="Y603" s="5" t="n">
        <v>0</v>
      </c>
      <c r="Z603" s="5" t="n">
        <v>0</v>
      </c>
      <c r="AA603" s="5" t="n">
        <v>0</v>
      </c>
      <c r="AB603" s="5" t="n">
        <v>29.051673</v>
      </c>
      <c r="AC603" s="5" t="inlineStr">
        <is>
          <t>Wie stärkt Kultur die Attraktivität von Städten, Regionen und Arbeitgeberstandorten?</t>
        </is>
      </c>
      <c r="AD603" s="5" t="inlineStr">
        <is>
          <t>Kultur, Standortidentität und regionale Attraktivität: Hochschule für Musik Mainz (academic_support, 4) + Städtetag Rheinland-Pfalz (context_actor, 5).</t>
        </is>
      </c>
      <c r="AE603" s="5" t="inlineStr">
        <is>
          <t>Hochschule für Musik Mainz | Städtetag Rheinland-Pfalz</t>
        </is>
      </c>
      <c r="AF603" s="5" t="inlineStr">
        <is>
          <t>kultur-standort-identitaet-hochschule-für-musik-mainz-städtetag-rheinland-pfalz</t>
        </is>
      </c>
    </row>
    <row r="604">
      <c r="A604" s="5" t="inlineStr">
        <is>
          <t>C0603</t>
        </is>
      </c>
      <c r="B604" s="5" t="inlineStr">
        <is>
          <t>x_0603</t>
        </is>
      </c>
      <c r="C604" s="5" t="n">
        <v>0</v>
      </c>
      <c r="D604" s="5" t="inlineStr">
        <is>
          <t>Hochschule für Musik Mainz</t>
        </is>
      </c>
      <c r="E604" s="5" t="inlineStr">
        <is>
          <t>Villa Musica Rheinland-Pfalz</t>
        </is>
      </c>
      <c r="F604" s="5" t="n">
        <v>35</v>
      </c>
      <c r="G604" s="5" t="n">
        <v>96</v>
      </c>
      <c r="H604" s="5" t="inlineStr">
        <is>
          <t>academic_support</t>
        </is>
      </c>
      <c r="I604" t="inlineStr">
        <is>
          <t>university_applied_sciences</t>
        </is>
      </c>
      <c r="J604" s="5" t="inlineStr">
        <is>
          <t>context_actor</t>
        </is>
      </c>
      <c r="K604" t="inlineStr">
        <is>
          <t>culture_foundation_anchor</t>
        </is>
      </c>
      <c r="L604" s="5" t="inlineStr">
        <is>
          <t>kultur</t>
        </is>
      </c>
      <c r="M604" s="5" t="inlineStr">
        <is>
          <t>kultur_standort_identitaet</t>
        </is>
      </c>
      <c r="N604" s="5" t="inlineStr">
        <is>
          <t>Kultur, Standortidentität und regionale Attraktivität</t>
        </is>
      </c>
      <c r="O604" s="5" t="n">
        <v>4</v>
      </c>
      <c r="P604" s="5" t="n">
        <v>5</v>
      </c>
      <c r="Q604" s="5" t="n">
        <v>13</v>
      </c>
      <c r="R604" s="5" t="n">
        <v>4</v>
      </c>
      <c r="S604" s="5" t="n">
        <v>0</v>
      </c>
      <c r="T604" s="5" t="n">
        <v>0</v>
      </c>
      <c r="U604" s="5" t="n">
        <v>2</v>
      </c>
      <c r="V604" s="5" t="n">
        <v>5</v>
      </c>
      <c r="W604" s="5" t="n">
        <v>5</v>
      </c>
      <c r="X604" s="5" t="n">
        <v>0</v>
      </c>
      <c r="Y604" s="5" t="n">
        <v>0</v>
      </c>
      <c r="Z604" s="5" t="n">
        <v>0</v>
      </c>
      <c r="AA604" s="5" t="n">
        <v>0</v>
      </c>
      <c r="AB604" s="5" t="n">
        <v>37.284275</v>
      </c>
      <c r="AC604" s="5" t="inlineStr">
        <is>
          <t>Wie stärkt Kultur die Attraktivität von Städten, Regionen und Arbeitgeberstandorten?</t>
        </is>
      </c>
      <c r="AD604" s="5" t="inlineStr">
        <is>
          <t>Kultur, Standortidentität und regionale Attraktivität: Hochschule für Musik Mainz (academic_support, 4) + Villa Musica Rheinland-Pfalz (context_actor, 5).</t>
        </is>
      </c>
      <c r="AE604" s="5" t="inlineStr">
        <is>
          <t>Hochschule für Musik Mainz | Villa Musica Rheinland-Pfalz</t>
        </is>
      </c>
      <c r="AF604" s="5" t="inlineStr">
        <is>
          <t>kultur-standort-identitaet-hochschule-für-musik-mainz-villa-musica-rheinland-pfalz</t>
        </is>
      </c>
    </row>
    <row r="605">
      <c r="A605" s="5" t="inlineStr">
        <is>
          <t>C0604</t>
        </is>
      </c>
      <c r="B605" s="5" t="inlineStr">
        <is>
          <t>x_0604</t>
        </is>
      </c>
      <c r="C605" s="5" t="n">
        <v>0</v>
      </c>
      <c r="D605" s="5" t="inlineStr">
        <is>
          <t>Hochschule für Musik Mainz</t>
        </is>
      </c>
      <c r="E605" s="5" t="inlineStr">
        <is>
          <t>ZDF – Zweites Deutsches Fernsehen</t>
        </is>
      </c>
      <c r="F605" s="5" t="n">
        <v>35</v>
      </c>
      <c r="G605" s="5" t="n">
        <v>102</v>
      </c>
      <c r="H605" s="5" t="inlineStr">
        <is>
          <t>academic_support</t>
        </is>
      </c>
      <c r="I605" t="inlineStr">
        <is>
          <t>university_applied_sciences</t>
        </is>
      </c>
      <c r="J605" s="5" t="inlineStr">
        <is>
          <t>context_actor</t>
        </is>
      </c>
      <c r="K605" t="inlineStr">
        <is>
          <t>media_publicity_anchor</t>
        </is>
      </c>
      <c r="L605" s="5" t="inlineStr">
        <is>
          <t>kultur</t>
        </is>
      </c>
      <c r="M605" s="5" t="inlineStr">
        <is>
          <t>kultur_standort_identitaet</t>
        </is>
      </c>
      <c r="N605" s="5" t="inlineStr">
        <is>
          <t>Kultur, Standortidentität und regionale Attraktivität</t>
        </is>
      </c>
      <c r="O605" s="5" t="n">
        <v>4</v>
      </c>
      <c r="P605" s="5" t="n">
        <v>5</v>
      </c>
      <c r="Q605" s="5" t="n">
        <v>13</v>
      </c>
      <c r="R605" s="5" t="n">
        <v>4</v>
      </c>
      <c r="S605" s="5" t="n">
        <v>0</v>
      </c>
      <c r="T605" s="5" t="n">
        <v>0</v>
      </c>
      <c r="U605" s="5" t="n">
        <v>2</v>
      </c>
      <c r="V605" s="5" t="n">
        <v>5</v>
      </c>
      <c r="W605" s="5" t="n">
        <v>5</v>
      </c>
      <c r="X605" s="5" t="n">
        <v>0</v>
      </c>
      <c r="Y605" s="5" t="n">
        <v>0</v>
      </c>
      <c r="Z605" s="5" t="n">
        <v>0</v>
      </c>
      <c r="AA605" s="5" t="n">
        <v>0</v>
      </c>
      <c r="AB605" s="5" t="n">
        <v>37.284275</v>
      </c>
      <c r="AC605" s="5" t="inlineStr">
        <is>
          <t>Wie stärkt Kultur die Attraktivität von Städten, Regionen und Arbeitgeberstandorten?</t>
        </is>
      </c>
      <c r="AD605" s="5" t="inlineStr">
        <is>
          <t>Kultur, Standortidentität und regionale Attraktivität: Hochschule für Musik Mainz (academic_support, 4) + ZDF – Zweites Deutsches Fernsehen (context_actor, 5).</t>
        </is>
      </c>
      <c r="AE605" s="5" t="inlineStr">
        <is>
          <t>Hochschule für Musik Mainz | ZDF – Zweites Deutsches Fernsehen</t>
        </is>
      </c>
      <c r="AF605" s="5" t="inlineStr">
        <is>
          <t>kultur-standort-identitaet-hochschule-für-musik-mainz-zdf-zweites-deutsches-fernsehen</t>
        </is>
      </c>
    </row>
    <row r="606">
      <c r="A606" s="5" t="inlineStr">
        <is>
          <t>C0605</t>
        </is>
      </c>
      <c r="B606" s="5" t="inlineStr">
        <is>
          <t>x_0605</t>
        </is>
      </c>
      <c r="C606" s="5" t="n">
        <v>0</v>
      </c>
      <c r="D606" s="5" t="inlineStr">
        <is>
          <t>LOTTO Rheinland-Pfalz GmbH</t>
        </is>
      </c>
      <c r="E606" s="5" t="inlineStr">
        <is>
          <t>RPR1.</t>
        </is>
      </c>
      <c r="F606" s="5" t="n">
        <v>66</v>
      </c>
      <c r="G606" s="5" t="n">
        <v>76</v>
      </c>
      <c r="H606" s="5" t="inlineStr">
        <is>
          <t>profit_anchor</t>
        </is>
      </c>
      <c r="I606" t="inlineStr">
        <is>
          <t>culture_foundation_anchor</t>
        </is>
      </c>
      <c r="J606" s="5" t="inlineStr">
        <is>
          <t>context_actor</t>
        </is>
      </c>
      <c r="K606" t="inlineStr">
        <is>
          <t>media_publicity_anchor</t>
        </is>
      </c>
      <c r="L606" s="5" t="inlineStr">
        <is>
          <t>kultur</t>
        </is>
      </c>
      <c r="M606" s="5" t="inlineStr">
        <is>
          <t>kultur_standort_identitaet</t>
        </is>
      </c>
      <c r="N606" s="5" t="inlineStr">
        <is>
          <t>Kultur, Standortidentität und regionale Attraktivität</t>
        </is>
      </c>
      <c r="O606" s="5" t="n">
        <v>3</v>
      </c>
      <c r="P606" s="5" t="n">
        <v>4</v>
      </c>
      <c r="Q606" s="5" t="n">
        <v>11</v>
      </c>
      <c r="R606" s="5" t="n">
        <v>4</v>
      </c>
      <c r="S606" s="5" t="n">
        <v>0</v>
      </c>
      <c r="T606" s="5" t="n">
        <v>0</v>
      </c>
      <c r="U606" s="5" t="n">
        <v>2</v>
      </c>
      <c r="V606" s="5" t="n">
        <v>6</v>
      </c>
      <c r="W606" s="5" t="n">
        <v>6</v>
      </c>
      <c r="X606" s="5" t="n">
        <v>0</v>
      </c>
      <c r="Y606" s="5" t="n">
        <v>0</v>
      </c>
      <c r="Z606" s="5" t="n">
        <v>0</v>
      </c>
      <c r="AA606" s="5" t="n">
        <v>0</v>
      </c>
      <c r="AB606" s="5" t="n">
        <v>36.98414</v>
      </c>
      <c r="AC606" s="5" t="inlineStr">
        <is>
          <t>Wie stärkt Kultur die Attraktivität von Städten, Regionen und Arbeitgeberstandorten?</t>
        </is>
      </c>
      <c r="AD606" s="5" t="inlineStr">
        <is>
          <t>Kultur, Standortidentität und regionale Attraktivität: LOTTO Rheinland-Pfalz GmbH (profit_anchor, 3) + RPR1. (context_actor, 4).</t>
        </is>
      </c>
      <c r="AE606" s="5" t="inlineStr">
        <is>
          <t>LOTTO Rheinland-Pfalz GmbH | RPR1.</t>
        </is>
      </c>
      <c r="AF606" s="5" t="inlineStr">
        <is>
          <t>kultur-standort-identitaet-lotto-rheinland-pfalz-gmbh-rpr1</t>
        </is>
      </c>
    </row>
    <row r="607">
      <c r="A607" s="5" t="inlineStr">
        <is>
          <t>C0606</t>
        </is>
      </c>
      <c r="B607" s="5" t="inlineStr">
        <is>
          <t>x_0606</t>
        </is>
      </c>
      <c r="C607" s="5" t="n">
        <v>0</v>
      </c>
      <c r="D607" s="5" t="inlineStr">
        <is>
          <t>Hochschule für Musik Mainz</t>
        </is>
      </c>
      <c r="E607" s="5" t="inlineStr">
        <is>
          <t>SWR – Südwestrundfunk</t>
        </is>
      </c>
      <c r="F607" s="5" t="n">
        <v>35</v>
      </c>
      <c r="G607" s="5" t="n">
        <v>86</v>
      </c>
      <c r="H607" s="5" t="inlineStr">
        <is>
          <t>academic_support</t>
        </is>
      </c>
      <c r="I607" t="inlineStr">
        <is>
          <t>university_applied_sciences</t>
        </is>
      </c>
      <c r="J607" s="5" t="inlineStr">
        <is>
          <t>context_actor</t>
        </is>
      </c>
      <c r="K607" t="inlineStr">
        <is>
          <t>media_publicity_anchor</t>
        </is>
      </c>
      <c r="L607" s="5" t="inlineStr">
        <is>
          <t>kultur</t>
        </is>
      </c>
      <c r="M607" s="5" t="inlineStr">
        <is>
          <t>musikstipendium_talentfoerderung</t>
        </is>
      </c>
      <c r="N607" s="5" t="inlineStr">
        <is>
          <t>Talentförderung, Musik und Nachwuchs</t>
        </is>
      </c>
      <c r="O607" s="5" t="n">
        <v>5</v>
      </c>
      <c r="P607" s="5" t="n">
        <v>4</v>
      </c>
      <c r="Q607" s="5" t="n">
        <v>13</v>
      </c>
      <c r="R607" s="5" t="n">
        <v>4</v>
      </c>
      <c r="S607" s="5" t="n">
        <v>0</v>
      </c>
      <c r="T607" s="5" t="n">
        <v>0</v>
      </c>
      <c r="U607" s="5" t="n">
        <v>2</v>
      </c>
      <c r="V607" s="5" t="n">
        <v>5</v>
      </c>
      <c r="W607" s="5" t="n">
        <v>5</v>
      </c>
      <c r="X607" s="5" t="n">
        <v>0</v>
      </c>
      <c r="Y607" s="5" t="n">
        <v>0</v>
      </c>
      <c r="Z607" s="5" t="n">
        <v>0</v>
      </c>
      <c r="AA607" s="5" t="n">
        <v>0</v>
      </c>
      <c r="AB607" s="5" t="n">
        <v>37.284275</v>
      </c>
      <c r="AC607" s="5" t="inlineStr">
        <is>
          <t>Wie lassen sich kulturelle Talentförderung, Bildung und regionale Sichtbarkeit verbinden?</t>
        </is>
      </c>
      <c r="AD607" s="5" t="inlineStr">
        <is>
          <t>Talentförderung, Musik und Nachwuchs: Hochschule für Musik Mainz (academic_support, 5) + SWR – Südwestrundfunk (context_actor, 4).</t>
        </is>
      </c>
      <c r="AE607" s="5" t="inlineStr">
        <is>
          <t>Hochschule für Musik Mainz | SWR – Südwestrundfunk</t>
        </is>
      </c>
      <c r="AF607" s="5" t="inlineStr">
        <is>
          <t>musikstipendium-talentfoerderung-hochschule-für-musik-mainz-swr-südwestrundfunk</t>
        </is>
      </c>
    </row>
    <row r="608">
      <c r="A608" s="5" t="inlineStr">
        <is>
          <t>C0607</t>
        </is>
      </c>
      <c r="B608" s="5" t="inlineStr">
        <is>
          <t>x_0607</t>
        </is>
      </c>
      <c r="C608" s="5" t="n">
        <v>0</v>
      </c>
      <c r="D608" s="5" t="inlineStr">
        <is>
          <t>Hochschule für Musik Mainz</t>
        </is>
      </c>
      <c r="E608" s="5" t="inlineStr">
        <is>
          <t>ZDF – Zweites Deutsches Fernsehen</t>
        </is>
      </c>
      <c r="F608" s="5" t="n">
        <v>35</v>
      </c>
      <c r="G608" s="5" t="n">
        <v>102</v>
      </c>
      <c r="H608" s="5" t="inlineStr">
        <is>
          <t>academic_support</t>
        </is>
      </c>
      <c r="I608" t="inlineStr">
        <is>
          <t>university_applied_sciences</t>
        </is>
      </c>
      <c r="J608" s="5" t="inlineStr">
        <is>
          <t>context_actor</t>
        </is>
      </c>
      <c r="K608" t="inlineStr">
        <is>
          <t>media_publicity_anchor</t>
        </is>
      </c>
      <c r="L608" s="5" t="inlineStr">
        <is>
          <t>kultur</t>
        </is>
      </c>
      <c r="M608" s="5" t="inlineStr">
        <is>
          <t>musikstipendium_talentfoerderung</t>
        </is>
      </c>
      <c r="N608" s="5" t="inlineStr">
        <is>
          <t>Talentförderung, Musik und Nachwuchs</t>
        </is>
      </c>
      <c r="O608" s="5" t="n">
        <v>5</v>
      </c>
      <c r="P608" s="5" t="n">
        <v>4</v>
      </c>
      <c r="Q608" s="5" t="n">
        <v>13</v>
      </c>
      <c r="R608" s="5" t="n">
        <v>4</v>
      </c>
      <c r="S608" s="5" t="n">
        <v>0</v>
      </c>
      <c r="T608" s="5" t="n">
        <v>0</v>
      </c>
      <c r="U608" s="5" t="n">
        <v>2</v>
      </c>
      <c r="V608" s="5" t="n">
        <v>5</v>
      </c>
      <c r="W608" s="5" t="n">
        <v>5</v>
      </c>
      <c r="X608" s="5" t="n">
        <v>0</v>
      </c>
      <c r="Y608" s="5" t="n">
        <v>0</v>
      </c>
      <c r="Z608" s="5" t="n">
        <v>0</v>
      </c>
      <c r="AA608" s="5" t="n">
        <v>0</v>
      </c>
      <c r="AB608" s="5" t="n">
        <v>37.284275</v>
      </c>
      <c r="AC608" s="5" t="inlineStr">
        <is>
          <t>Wie lassen sich kulturelle Talentförderung, Bildung und regionale Sichtbarkeit verbinden?</t>
        </is>
      </c>
      <c r="AD608" s="5" t="inlineStr">
        <is>
          <t>Talentförderung, Musik und Nachwuchs: Hochschule für Musik Mainz (academic_support, 5) + ZDF – Zweites Deutsches Fernsehen (context_actor, 4).</t>
        </is>
      </c>
      <c r="AE608" s="5" t="inlineStr">
        <is>
          <t>Hochschule für Musik Mainz | ZDF – Zweites Deutsches Fernsehen</t>
        </is>
      </c>
      <c r="AF608" s="5" t="inlineStr">
        <is>
          <t>musikstipendium-talentfoerderung-hochschule-für-musik-mainz-zdf-zweites-deutsches-fernsehen</t>
        </is>
      </c>
    </row>
    <row r="609">
      <c r="A609" s="5" t="inlineStr">
        <is>
          <t>C0608</t>
        </is>
      </c>
      <c r="B609" s="5" t="inlineStr">
        <is>
          <t>x_0608</t>
        </is>
      </c>
      <c r="C609" s="5" t="n">
        <v>0</v>
      </c>
      <c r="D609" s="5" t="inlineStr">
        <is>
          <t>LOTTO Rheinland-Pfalz GmbH</t>
        </is>
      </c>
      <c r="E609" s="5" t="inlineStr">
        <is>
          <t>SWR – Südwestrundfunk</t>
        </is>
      </c>
      <c r="F609" s="5" t="n">
        <v>66</v>
      </c>
      <c r="G609" s="5" t="n">
        <v>86</v>
      </c>
      <c r="H609" s="5" t="inlineStr">
        <is>
          <t>profit_anchor</t>
        </is>
      </c>
      <c r="I609" t="inlineStr">
        <is>
          <t>culture_foundation_anchor</t>
        </is>
      </c>
      <c r="J609" s="5" t="inlineStr">
        <is>
          <t>context_actor</t>
        </is>
      </c>
      <c r="K609" t="inlineStr">
        <is>
          <t>media_publicity_anchor</t>
        </is>
      </c>
      <c r="L609" s="5" t="inlineStr">
        <is>
          <t>kultur</t>
        </is>
      </c>
      <c r="M609" s="5" t="inlineStr">
        <is>
          <t>musikstipendium_talentfoerderung</t>
        </is>
      </c>
      <c r="N609" s="5" t="inlineStr">
        <is>
          <t>Talentförderung, Musik und Nachwuchs</t>
        </is>
      </c>
      <c r="O609" s="5" t="n">
        <v>3</v>
      </c>
      <c r="P609" s="5" t="n">
        <v>4</v>
      </c>
      <c r="Q609" s="5" t="n">
        <v>11</v>
      </c>
      <c r="R609" s="5" t="n">
        <v>4</v>
      </c>
      <c r="S609" s="5" t="n">
        <v>0</v>
      </c>
      <c r="T609" s="5" t="n">
        <v>0</v>
      </c>
      <c r="U609" s="5" t="n">
        <v>2</v>
      </c>
      <c r="V609" s="5" t="n">
        <v>6</v>
      </c>
      <c r="W609" s="5" t="n">
        <v>6</v>
      </c>
      <c r="X609" s="5" t="n">
        <v>0</v>
      </c>
      <c r="Y609" s="5" t="n">
        <v>0</v>
      </c>
      <c r="Z609" s="5" t="n">
        <v>0</v>
      </c>
      <c r="AA609" s="5" t="n">
        <v>0</v>
      </c>
      <c r="AB609" s="5" t="n">
        <v>36.98414</v>
      </c>
      <c r="AC609" s="5" t="inlineStr">
        <is>
          <t>Wie lassen sich kulturelle Talentförderung, Bildung und regionale Sichtbarkeit verbinden?</t>
        </is>
      </c>
      <c r="AD609" s="5" t="inlineStr">
        <is>
          <t>Talentförderung, Musik und Nachwuchs: LOTTO Rheinland-Pfalz GmbH (profit_anchor, 3) + SWR – Südwestrundfunk (context_actor, 4).</t>
        </is>
      </c>
      <c r="AE609" s="5" t="inlineStr">
        <is>
          <t>LOTTO Rheinland-Pfalz GmbH | SWR – Südwestrundfunk</t>
        </is>
      </c>
      <c r="AF609" s="5" t="inlineStr">
        <is>
          <t>musikstipendium-talentfoerderung-lotto-rheinland-pfalz-gmbh-swr-südwestrundfunk</t>
        </is>
      </c>
    </row>
    <row r="610">
      <c r="A610" s="5" t="inlineStr">
        <is>
          <t>C0609</t>
        </is>
      </c>
      <c r="B610" s="5" t="inlineStr">
        <is>
          <t>x_0609</t>
        </is>
      </c>
      <c r="C610" s="5" t="n">
        <v>0</v>
      </c>
      <c r="D610" s="5" t="inlineStr">
        <is>
          <t>LOTTO Rheinland-Pfalz GmbH</t>
        </is>
      </c>
      <c r="E610" s="5" t="inlineStr">
        <is>
          <t>ZDF – Zweites Deutsches Fernsehen</t>
        </is>
      </c>
      <c r="F610" s="5" t="n">
        <v>66</v>
      </c>
      <c r="G610" s="5" t="n">
        <v>102</v>
      </c>
      <c r="H610" s="5" t="inlineStr">
        <is>
          <t>profit_anchor</t>
        </is>
      </c>
      <c r="I610" t="inlineStr">
        <is>
          <t>culture_foundation_anchor</t>
        </is>
      </c>
      <c r="J610" s="5" t="inlineStr">
        <is>
          <t>context_actor</t>
        </is>
      </c>
      <c r="K610" t="inlineStr">
        <is>
          <t>media_publicity_anchor</t>
        </is>
      </c>
      <c r="L610" s="5" t="inlineStr">
        <is>
          <t>kultur</t>
        </is>
      </c>
      <c r="M610" s="5" t="inlineStr">
        <is>
          <t>musikstipendium_talentfoerderung</t>
        </is>
      </c>
      <c r="N610" s="5" t="inlineStr">
        <is>
          <t>Talentförderung, Musik und Nachwuchs</t>
        </is>
      </c>
      <c r="O610" s="5" t="n">
        <v>3</v>
      </c>
      <c r="P610" s="5" t="n">
        <v>4</v>
      </c>
      <c r="Q610" s="5" t="n">
        <v>11</v>
      </c>
      <c r="R610" s="5" t="n">
        <v>4</v>
      </c>
      <c r="S610" s="5" t="n">
        <v>0</v>
      </c>
      <c r="T610" s="5" t="n">
        <v>0</v>
      </c>
      <c r="U610" s="5" t="n">
        <v>2</v>
      </c>
      <c r="V610" s="5" t="n">
        <v>6</v>
      </c>
      <c r="W610" s="5" t="n">
        <v>6</v>
      </c>
      <c r="X610" s="5" t="n">
        <v>0</v>
      </c>
      <c r="Y610" s="5" t="n">
        <v>0</v>
      </c>
      <c r="Z610" s="5" t="n">
        <v>0</v>
      </c>
      <c r="AA610" s="5" t="n">
        <v>0</v>
      </c>
      <c r="AB610" s="5" t="n">
        <v>36.98414</v>
      </c>
      <c r="AC610" s="5" t="inlineStr">
        <is>
          <t>Wie lassen sich kulturelle Talentförderung, Bildung und regionale Sichtbarkeit verbinden?</t>
        </is>
      </c>
      <c r="AD610" s="5" t="inlineStr">
        <is>
          <t>Talentförderung, Musik und Nachwuchs: LOTTO Rheinland-Pfalz GmbH (profit_anchor, 3) + ZDF – Zweites Deutsches Fernsehen (context_actor, 4).</t>
        </is>
      </c>
      <c r="AE610" s="5" t="inlineStr">
        <is>
          <t>LOTTO Rheinland-Pfalz GmbH | ZDF – Zweites Deutsches Fernsehen</t>
        </is>
      </c>
      <c r="AF610" s="5" t="inlineStr">
        <is>
          <t>musikstipendium-talentfoerderung-lotto-rheinland-pfalz-gmbh-zdf-zweites-deutsches-fernsehen</t>
        </is>
      </c>
    </row>
    <row r="611">
      <c r="A611" s="5" t="inlineStr">
        <is>
          <t>C0610</t>
        </is>
      </c>
      <c r="B611" s="5" t="inlineStr">
        <is>
          <t>x_0610</t>
        </is>
      </c>
      <c r="C611" s="5" t="n">
        <v>0</v>
      </c>
      <c r="D611" s="5" t="inlineStr">
        <is>
          <t>AOK Rheinland-Pfalz/Saarland</t>
        </is>
      </c>
      <c r="E611" s="5" t="inlineStr">
        <is>
          <t>GLOBUS Markthallen Holding GmbH &amp; Co. KG</t>
        </is>
      </c>
      <c r="F611" s="5" t="n">
        <v>2</v>
      </c>
      <c r="G611" s="5" t="n">
        <v>31</v>
      </c>
      <c r="H611" s="5" t="inlineStr">
        <is>
          <t>context_actor</t>
        </is>
      </c>
      <c r="I611" t="inlineStr">
        <is>
          <t>health_social_anchor</t>
        </is>
      </c>
      <c r="J611" s="5" t="inlineStr">
        <is>
          <t>profit_anchor</t>
        </is>
      </c>
      <c r="K611" t="inlineStr">
        <is>
          <t>food_beverage_consumer_anchor</t>
        </is>
      </c>
      <c r="L611" s="5" t="inlineStr">
        <is>
          <t>gesellschaft</t>
        </is>
      </c>
      <c r="M611" s="5" t="inlineStr">
        <is>
          <t>sport_region_identifikation</t>
        </is>
      </c>
      <c r="N611" s="5" t="inlineStr">
        <is>
          <t>Sport, Region und gesellschaftliche Identifikation</t>
        </is>
      </c>
      <c r="O611" s="5" t="n">
        <v>4</v>
      </c>
      <c r="P611" s="5" t="n">
        <v>3</v>
      </c>
      <c r="Q611" s="5" t="n">
        <v>11</v>
      </c>
      <c r="R611" s="5" t="n">
        <v>4</v>
      </c>
      <c r="S611" s="5" t="n">
        <v>0</v>
      </c>
      <c r="T611" s="5" t="n">
        <v>0</v>
      </c>
      <c r="U611" s="5" t="n">
        <v>2</v>
      </c>
      <c r="V611" s="5" t="n">
        <v>6</v>
      </c>
      <c r="W611" s="5" t="n">
        <v>6</v>
      </c>
      <c r="X611" s="5" t="n">
        <v>0</v>
      </c>
      <c r="Y611" s="5" t="n">
        <v>0</v>
      </c>
      <c r="Z611" s="5" t="n">
        <v>0</v>
      </c>
      <c r="AA611" s="5" t="n">
        <v>0</v>
      </c>
      <c r="AB611" s="5" t="n">
        <v>24.11071</v>
      </c>
      <c r="AC611" s="5" t="inlineStr">
        <is>
          <t>Wie können Sportvereine als regionale Plattformen für Bildung, Teilhabe, Gesundheit oder Standortbindung wirken?</t>
        </is>
      </c>
      <c r="AD611" s="5" t="inlineStr">
        <is>
          <t>Sport, Region und gesellschaftliche Identifikation: AOK Rheinland-Pfalz/Saarland (context_actor, 4) + GLOBUS Markthallen Holding GmbH &amp; Co. KG (profit_anchor, 3).</t>
        </is>
      </c>
      <c r="AE611" s="5" t="inlineStr">
        <is>
          <t>AOK Rheinland-Pfalz/Saarland | GLOBUS Markthallen Holding GmbH &amp; Co. KG</t>
        </is>
      </c>
      <c r="AF611" s="5" t="inlineStr">
        <is>
          <t>sport-region-identifikation-aok-rheinland-pfalz-saarland-globus-markthallen-holding-gmbh-co-kg</t>
        </is>
      </c>
    </row>
    <row r="612">
      <c r="A612" s="5" t="inlineStr">
        <is>
          <t>C0611</t>
        </is>
      </c>
      <c r="B612" s="5" t="inlineStr">
        <is>
          <t>x_0611</t>
        </is>
      </c>
      <c r="C612" s="5" t="n">
        <v>0</v>
      </c>
      <c r="D612" s="5" t="inlineStr">
        <is>
          <t>GLOBUS Markthallen Holding GmbH &amp; Co. KG</t>
        </is>
      </c>
      <c r="E612" s="5" t="inlineStr">
        <is>
          <t>IKK Südwest</t>
        </is>
      </c>
      <c r="F612" s="5" t="n">
        <v>31</v>
      </c>
      <c r="G612" s="5" t="n">
        <v>42</v>
      </c>
      <c r="H612" s="5" t="inlineStr">
        <is>
          <t>profit_anchor</t>
        </is>
      </c>
      <c r="I612" t="inlineStr">
        <is>
          <t>food_beverage_consumer_anchor</t>
        </is>
      </c>
      <c r="J612" s="5" t="inlineStr">
        <is>
          <t>context_actor</t>
        </is>
      </c>
      <c r="K612" t="inlineStr">
        <is>
          <t>health_social_anchor</t>
        </is>
      </c>
      <c r="L612" s="5" t="inlineStr">
        <is>
          <t>gesellschaft</t>
        </is>
      </c>
      <c r="M612" s="5" t="inlineStr">
        <is>
          <t>sport_region_identifikation</t>
        </is>
      </c>
      <c r="N612" s="5" t="inlineStr">
        <is>
          <t>Sport, Region und gesellschaftliche Identifikation</t>
        </is>
      </c>
      <c r="O612" s="5" t="n">
        <v>3</v>
      </c>
      <c r="P612" s="5" t="n">
        <v>4</v>
      </c>
      <c r="Q612" s="5" t="n">
        <v>11</v>
      </c>
      <c r="R612" s="5" t="n">
        <v>4</v>
      </c>
      <c r="S612" s="5" t="n">
        <v>0</v>
      </c>
      <c r="T612" s="5" t="n">
        <v>0</v>
      </c>
      <c r="U612" s="5" t="n">
        <v>2</v>
      </c>
      <c r="V612" s="5" t="n">
        <v>6</v>
      </c>
      <c r="W612" s="5" t="n">
        <v>6</v>
      </c>
      <c r="X612" s="5" t="n">
        <v>0</v>
      </c>
      <c r="Y612" s="5" t="n">
        <v>0</v>
      </c>
      <c r="Z612" s="5" t="n">
        <v>0</v>
      </c>
      <c r="AA612" s="5" t="n">
        <v>0</v>
      </c>
      <c r="AB612" s="5" t="n">
        <v>24.11071</v>
      </c>
      <c r="AC612" s="5" t="inlineStr">
        <is>
          <t>Wie können Sportvereine als regionale Plattformen für Bildung, Teilhabe, Gesundheit oder Standortbindung wirken?</t>
        </is>
      </c>
      <c r="AD612" s="5" t="inlineStr">
        <is>
          <t>Sport, Region und gesellschaftliche Identifikation: GLOBUS Markthallen Holding GmbH &amp; Co. KG (profit_anchor, 3) + IKK Südwest (context_actor, 4).</t>
        </is>
      </c>
      <c r="AE612" s="5" t="inlineStr">
        <is>
          <t>GLOBUS Markthallen Holding GmbH &amp; Co. KG | IKK Südwest</t>
        </is>
      </c>
      <c r="AF612" s="5" t="inlineStr">
        <is>
          <t>sport-region-identifikation-globus-markthallen-holding-gmbh-co-kg-ikk-südwest</t>
        </is>
      </c>
    </row>
    <row r="613">
      <c r="A613" s="5" t="inlineStr">
        <is>
          <t>C0612</t>
        </is>
      </c>
      <c r="B613" s="5" t="inlineStr">
        <is>
          <t>x_0612</t>
        </is>
      </c>
      <c r="C613" s="5" t="n">
        <v>0</v>
      </c>
      <c r="D613" s="5" t="inlineStr">
        <is>
          <t>GLOBUS Markthallen Holding GmbH &amp; Co. KG</t>
        </is>
      </c>
      <c r="E613" s="5" t="inlineStr">
        <is>
          <t>RPR1.</t>
        </is>
      </c>
      <c r="F613" s="5" t="n">
        <v>31</v>
      </c>
      <c r="G613" s="5" t="n">
        <v>76</v>
      </c>
      <c r="H613" s="5" t="inlineStr">
        <is>
          <t>profit_anchor</t>
        </is>
      </c>
      <c r="I613" t="inlineStr">
        <is>
          <t>food_beverage_consumer_anchor</t>
        </is>
      </c>
      <c r="J613" s="5" t="inlineStr">
        <is>
          <t>context_actor</t>
        </is>
      </c>
      <c r="K613" t="inlineStr">
        <is>
          <t>media_publicity_anchor</t>
        </is>
      </c>
      <c r="L613" s="5" t="inlineStr">
        <is>
          <t>gesellschaft</t>
        </is>
      </c>
      <c r="M613" s="5" t="inlineStr">
        <is>
          <t>sport_region_identifikation</t>
        </is>
      </c>
      <c r="N613" s="5" t="inlineStr">
        <is>
          <t>Sport, Region und gesellschaftliche Identifikation</t>
        </is>
      </c>
      <c r="O613" s="5" t="n">
        <v>3</v>
      </c>
      <c r="P613" s="5" t="n">
        <v>4</v>
      </c>
      <c r="Q613" s="5" t="n">
        <v>11</v>
      </c>
      <c r="R613" s="5" t="n">
        <v>4</v>
      </c>
      <c r="S613" s="5" t="n">
        <v>0</v>
      </c>
      <c r="T613" s="5" t="n">
        <v>0</v>
      </c>
      <c r="U613" s="5" t="n">
        <v>2</v>
      </c>
      <c r="V613" s="5" t="n">
        <v>6</v>
      </c>
      <c r="W613" s="5" t="n">
        <v>6</v>
      </c>
      <c r="X613" s="5" t="n">
        <v>0</v>
      </c>
      <c r="Y613" s="5" t="n">
        <v>0</v>
      </c>
      <c r="Z613" s="5" t="n">
        <v>0</v>
      </c>
      <c r="AA613" s="5" t="n">
        <v>0</v>
      </c>
      <c r="AB613" s="5" t="n">
        <v>33.079621</v>
      </c>
      <c r="AC613" s="5" t="inlineStr">
        <is>
          <t>Wie können Sportvereine als regionale Plattformen für Bildung, Teilhabe, Gesundheit oder Standortbindung wirken?</t>
        </is>
      </c>
      <c r="AD613" s="5" t="inlineStr">
        <is>
          <t>Sport, Region und gesellschaftliche Identifikation: GLOBUS Markthallen Holding GmbH &amp; Co. KG (profit_anchor, 3) + RPR1. (context_actor, 4).</t>
        </is>
      </c>
      <c r="AE613" s="5" t="inlineStr">
        <is>
          <t>GLOBUS Markthallen Holding GmbH &amp; Co. KG | RPR1.</t>
        </is>
      </c>
      <c r="AF613" s="5" t="inlineStr">
        <is>
          <t>sport-region-identifikation-globus-markthallen-holding-gmbh-co-kg-rpr1</t>
        </is>
      </c>
    </row>
    <row r="614">
      <c r="A614" s="5" t="inlineStr">
        <is>
          <t>C0613</t>
        </is>
      </c>
      <c r="B614" s="5" t="inlineStr">
        <is>
          <t>x_0613</t>
        </is>
      </c>
      <c r="C614" s="5" t="n">
        <v>0</v>
      </c>
      <c r="D614" s="5" t="inlineStr">
        <is>
          <t>GLOBUS Markthallen Holding GmbH &amp; Co. KG</t>
        </is>
      </c>
      <c r="E614" s="5" t="inlineStr">
        <is>
          <t>Techniker Krankenkasse</t>
        </is>
      </c>
      <c r="F614" s="5" t="n">
        <v>31</v>
      </c>
      <c r="G614" s="5" t="n">
        <v>87</v>
      </c>
      <c r="H614" s="5" t="inlineStr">
        <is>
          <t>profit_anchor</t>
        </is>
      </c>
      <c r="I614" t="inlineStr">
        <is>
          <t>food_beverage_consumer_anchor</t>
        </is>
      </c>
      <c r="J614" s="5" t="inlineStr">
        <is>
          <t>context_actor</t>
        </is>
      </c>
      <c r="K614" t="inlineStr">
        <is>
          <t>health_social_anchor</t>
        </is>
      </c>
      <c r="L614" s="5" t="inlineStr">
        <is>
          <t>gesellschaft</t>
        </is>
      </c>
      <c r="M614" s="5" t="inlineStr">
        <is>
          <t>sport_region_identifikation</t>
        </is>
      </c>
      <c r="N614" s="5" t="inlineStr">
        <is>
          <t>Sport, Region und gesellschaftliche Identifikation</t>
        </is>
      </c>
      <c r="O614" s="5" t="n">
        <v>3</v>
      </c>
      <c r="P614" s="5" t="n">
        <v>4</v>
      </c>
      <c r="Q614" s="5" t="n">
        <v>11</v>
      </c>
      <c r="R614" s="5" t="n">
        <v>4</v>
      </c>
      <c r="S614" s="5" t="n">
        <v>0</v>
      </c>
      <c r="T614" s="5" t="n">
        <v>0</v>
      </c>
      <c r="U614" s="5" t="n">
        <v>2</v>
      </c>
      <c r="V614" s="5" t="n">
        <v>6</v>
      </c>
      <c r="W614" s="5" t="n">
        <v>6</v>
      </c>
      <c r="X614" s="5" t="n">
        <v>0</v>
      </c>
      <c r="Y614" s="5" t="n">
        <v>0</v>
      </c>
      <c r="Z614" s="5" t="n">
        <v>0</v>
      </c>
      <c r="AA614" s="5" t="n">
        <v>0</v>
      </c>
      <c r="AB614" s="5" t="n">
        <v>24.11071</v>
      </c>
      <c r="AC614" s="5" t="inlineStr">
        <is>
          <t>Wie können Sportvereine als regionale Plattformen für Bildung, Teilhabe, Gesundheit oder Standortbindung wirken?</t>
        </is>
      </c>
      <c r="AD614" s="5" t="inlineStr">
        <is>
          <t>Sport, Region und gesellschaftliche Identifikation: GLOBUS Markthallen Holding GmbH &amp; Co. KG (profit_anchor, 3) + Techniker Krankenkasse (context_actor, 4).</t>
        </is>
      </c>
      <c r="AE614" s="5" t="inlineStr">
        <is>
          <t>GLOBUS Markthallen Holding GmbH &amp; Co. KG | Techniker Krankenkasse</t>
        </is>
      </c>
      <c r="AF614" s="5" t="inlineStr">
        <is>
          <t>sport-region-identifikation-globus-markthallen-holding-gmbh-co-kg-techniker-krankenkasse</t>
        </is>
      </c>
    </row>
    <row r="615">
      <c r="A615" s="5" t="inlineStr">
        <is>
          <t>C0614</t>
        </is>
      </c>
      <c r="B615" s="5" t="inlineStr">
        <is>
          <t>x_0614</t>
        </is>
      </c>
      <c r="C615" s="5" t="n">
        <v>0</v>
      </c>
      <c r="D615" s="5" t="inlineStr">
        <is>
          <t>Landkreistag Rheinland-Pfalz</t>
        </is>
      </c>
      <c r="E615" s="5" t="inlineStr">
        <is>
          <t>Universität Koblenz</t>
        </is>
      </c>
      <c r="F615" s="5" t="n">
        <v>63</v>
      </c>
      <c r="G615" s="5" t="n">
        <v>92</v>
      </c>
      <c r="H615" s="5" t="inlineStr">
        <is>
          <t>context_actor</t>
        </is>
      </c>
      <c r="I615" t="inlineStr">
        <is>
          <t>public_policy_anchor</t>
        </is>
      </c>
      <c r="J615" s="5" t="inlineStr">
        <is>
          <t>academic_support</t>
        </is>
      </c>
      <c r="K615" t="inlineStr">
        <is>
          <t>university_research</t>
        </is>
      </c>
      <c r="L615" s="5" t="inlineStr">
        <is>
          <t>wissen</t>
        </is>
      </c>
      <c r="M615" s="5" t="inlineStr">
        <is>
          <t>verwaltungswissen_digitalisierung</t>
        </is>
      </c>
      <c r="N615" s="5" t="inlineStr">
        <is>
          <t>Verwaltungswissen und digitale Umsetzung</t>
        </is>
      </c>
      <c r="O615" s="5" t="n">
        <v>5</v>
      </c>
      <c r="P615" s="5" t="n">
        <v>4</v>
      </c>
      <c r="Q615" s="5" t="n">
        <v>13</v>
      </c>
      <c r="R615" s="5" t="n">
        <v>4</v>
      </c>
      <c r="S615" s="5" t="n">
        <v>0</v>
      </c>
      <c r="T615" s="5" t="n">
        <v>0</v>
      </c>
      <c r="U615" s="5" t="n">
        <v>2</v>
      </c>
      <c r="V615" s="5" t="n">
        <v>5</v>
      </c>
      <c r="W615" s="5" t="n">
        <v>5</v>
      </c>
      <c r="X615" s="5" t="n">
        <v>0</v>
      </c>
      <c r="Y615" s="5" t="n">
        <v>0</v>
      </c>
      <c r="Z615" s="5" t="n">
        <v>0</v>
      </c>
      <c r="AA615" s="5" t="n">
        <v>0</v>
      </c>
      <c r="AB615" s="5" t="n">
        <v>31.846791</v>
      </c>
      <c r="AC615" s="5" t="inlineStr">
        <is>
          <t>Wie wird Verwaltung bei Regulierung, Genehmigung, Digitalisierung und Umsetzung leistungsfähiger?</t>
        </is>
      </c>
      <c r="AD615" s="5" t="inlineStr">
        <is>
          <t>Verwaltungswissen und digitale Umsetzung: Landkreistag Rheinland-Pfalz (context_actor, 5) + Universität Koblenz (academic_support, 4).</t>
        </is>
      </c>
      <c r="AE615" s="5" t="inlineStr">
        <is>
          <t>Landkreistag Rheinland-Pfalz | Universität Koblenz</t>
        </is>
      </c>
      <c r="AF615" s="5" t="inlineStr">
        <is>
          <t>verwaltungswissen-digitalisierung-landkreistag-rheinland-pfalz-universität-koblenz</t>
        </is>
      </c>
    </row>
    <row r="616">
      <c r="A616" s="5" t="inlineStr">
        <is>
          <t>C0615</t>
        </is>
      </c>
      <c r="B616" s="5" t="inlineStr">
        <is>
          <t>x_0615</t>
        </is>
      </c>
      <c r="C616" s="5" t="n">
        <v>0</v>
      </c>
      <c r="D616" s="5" t="inlineStr">
        <is>
          <t>Sparkassenverband Rheinland-Pfalz</t>
        </is>
      </c>
      <c r="E616" s="5" t="inlineStr">
        <is>
          <t>Universität Koblenz</t>
        </is>
      </c>
      <c r="F616" s="5" t="n">
        <v>82</v>
      </c>
      <c r="G616" s="5" t="n">
        <v>92</v>
      </c>
      <c r="H616" s="5" t="inlineStr">
        <is>
          <t>profit_anchor</t>
        </is>
      </c>
      <c r="I616" t="inlineStr">
        <is>
          <t>bank_finance_anchor</t>
        </is>
      </c>
      <c r="J616" s="5" t="inlineStr">
        <is>
          <t>academic_support</t>
        </is>
      </c>
      <c r="K616" t="inlineStr">
        <is>
          <t>university_research</t>
        </is>
      </c>
      <c r="L616" s="5" t="inlineStr">
        <is>
          <t>wissen</t>
        </is>
      </c>
      <c r="M616" s="5" t="inlineStr">
        <is>
          <t>verwaltungswissen_digitalisierung</t>
        </is>
      </c>
      <c r="N616" s="5" t="inlineStr">
        <is>
          <t>Verwaltungswissen und digitale Umsetzung</t>
        </is>
      </c>
      <c r="O616" s="5" t="n">
        <v>3</v>
      </c>
      <c r="P616" s="5" t="n">
        <v>4</v>
      </c>
      <c r="Q616" s="5" t="n">
        <v>11</v>
      </c>
      <c r="R616" s="5" t="n">
        <v>4</v>
      </c>
      <c r="S616" s="5" t="n">
        <v>0</v>
      </c>
      <c r="T616" s="5" t="n">
        <v>0</v>
      </c>
      <c r="U616" s="5" t="n">
        <v>2</v>
      </c>
      <c r="V616" s="5" t="n">
        <v>6</v>
      </c>
      <c r="W616" s="5" t="n">
        <v>6</v>
      </c>
      <c r="X616" s="5" t="n">
        <v>0</v>
      </c>
      <c r="Y616" s="5" t="n">
        <v>0</v>
      </c>
      <c r="Z616" s="5" t="n">
        <v>0</v>
      </c>
      <c r="AA616" s="5" t="n">
        <v>0</v>
      </c>
      <c r="AB616" s="5" t="n">
        <v>27.50327</v>
      </c>
      <c r="AC616" s="5" t="inlineStr">
        <is>
          <t>Wie wird Verwaltung bei Regulierung, Genehmigung, Digitalisierung und Umsetzung leistungsfähiger?</t>
        </is>
      </c>
      <c r="AD616" s="5" t="inlineStr">
        <is>
          <t>Verwaltungswissen und digitale Umsetzung: Sparkassenverband Rheinland-Pfalz (profit_anchor, 3) + Universität Koblenz (academic_support, 4).</t>
        </is>
      </c>
      <c r="AE616" s="5" t="inlineStr">
        <is>
          <t>Sparkassenverband Rheinland-Pfalz | Universität Koblenz</t>
        </is>
      </c>
      <c r="AF616" s="5" t="inlineStr">
        <is>
          <t>verwaltungswissen-digitalisierung-sparkassenverband-rheinland-pfalz-universität-koblenz</t>
        </is>
      </c>
    </row>
    <row r="617">
      <c r="A617" s="5" t="inlineStr">
        <is>
          <t>C0616</t>
        </is>
      </c>
      <c r="B617" s="5" t="inlineStr">
        <is>
          <t>x_0616</t>
        </is>
      </c>
      <c r="C617" s="5" t="n">
        <v>0</v>
      </c>
      <c r="D617" s="5" t="inlineStr">
        <is>
          <t>Staatskanzlei des Landes Rheinland-Pfalz</t>
        </is>
      </c>
      <c r="E617" s="5" t="inlineStr">
        <is>
          <t>Universität Koblenz</t>
        </is>
      </c>
      <c r="F617" s="5" t="n">
        <v>83</v>
      </c>
      <c r="G617" s="5" t="n">
        <v>92</v>
      </c>
      <c r="H617" s="5" t="inlineStr">
        <is>
          <t>context_actor</t>
        </is>
      </c>
      <c r="I617" t="inlineStr">
        <is>
          <t>public_policy_anchor</t>
        </is>
      </c>
      <c r="J617" s="5" t="inlineStr">
        <is>
          <t>academic_support</t>
        </is>
      </c>
      <c r="K617" t="inlineStr">
        <is>
          <t>university_research</t>
        </is>
      </c>
      <c r="L617" s="5" t="inlineStr">
        <is>
          <t>wissen</t>
        </is>
      </c>
      <c r="M617" s="5" t="inlineStr">
        <is>
          <t>verwaltungswissen_digitalisierung</t>
        </is>
      </c>
      <c r="N617" s="5" t="inlineStr">
        <is>
          <t>Verwaltungswissen und digitale Umsetzung</t>
        </is>
      </c>
      <c r="O617" s="5" t="n">
        <v>5</v>
      </c>
      <c r="P617" s="5" t="n">
        <v>4</v>
      </c>
      <c r="Q617" s="5" t="n">
        <v>13</v>
      </c>
      <c r="R617" s="5" t="n">
        <v>4</v>
      </c>
      <c r="S617" s="5" t="n">
        <v>0</v>
      </c>
      <c r="T617" s="5" t="n">
        <v>0</v>
      </c>
      <c r="U617" s="5" t="n">
        <v>2</v>
      </c>
      <c r="V617" s="5" t="n">
        <v>5</v>
      </c>
      <c r="W617" s="5" t="n">
        <v>5</v>
      </c>
      <c r="X617" s="5" t="n">
        <v>0</v>
      </c>
      <c r="Y617" s="5" t="n">
        <v>0</v>
      </c>
      <c r="Z617" s="5" t="n">
        <v>0</v>
      </c>
      <c r="AA617" s="5" t="n">
        <v>0</v>
      </c>
      <c r="AB617" s="5" t="n">
        <v>31.846791</v>
      </c>
      <c r="AC617" s="5" t="inlineStr">
        <is>
          <t>Wie wird Verwaltung bei Regulierung, Genehmigung, Digitalisierung und Umsetzung leistungsfähiger?</t>
        </is>
      </c>
      <c r="AD617" s="5" t="inlineStr">
        <is>
          <t>Verwaltungswissen und digitale Umsetzung: Staatskanzlei des Landes Rheinland-Pfalz (context_actor, 5) + Universität Koblenz (academic_support, 4).</t>
        </is>
      </c>
      <c r="AE617" s="5" t="inlineStr">
        <is>
          <t>Staatskanzlei des Landes Rheinland-Pfalz | Universität Koblenz</t>
        </is>
      </c>
      <c r="AF617" s="5" t="inlineStr">
        <is>
          <t>verwaltungswissen-digitalisierung-staatskanzlei-des-landes-rheinland-pfalz-universität-koblenz</t>
        </is>
      </c>
    </row>
    <row r="618">
      <c r="A618" s="5" t="inlineStr">
        <is>
          <t>C0617</t>
        </is>
      </c>
      <c r="B618" s="5" t="inlineStr">
        <is>
          <t>x_0617</t>
        </is>
      </c>
      <c r="C618" s="5" t="n">
        <v>0</v>
      </c>
      <c r="D618" s="5" t="inlineStr">
        <is>
          <t>Städtetag Rheinland-Pfalz</t>
        </is>
      </c>
      <c r="E618" s="5" t="inlineStr">
        <is>
          <t>Universität Koblenz</t>
        </is>
      </c>
      <c r="F618" s="5" t="n">
        <v>85</v>
      </c>
      <c r="G618" s="5" t="n">
        <v>92</v>
      </c>
      <c r="H618" s="5" t="inlineStr">
        <is>
          <t>context_actor</t>
        </is>
      </c>
      <c r="I618" t="inlineStr">
        <is>
          <t>public_policy_anchor</t>
        </is>
      </c>
      <c r="J618" s="5" t="inlineStr">
        <is>
          <t>academic_support</t>
        </is>
      </c>
      <c r="K618" t="inlineStr">
        <is>
          <t>university_research</t>
        </is>
      </c>
      <c r="L618" s="5" t="inlineStr">
        <is>
          <t>wissen</t>
        </is>
      </c>
      <c r="M618" s="5" t="inlineStr">
        <is>
          <t>verwaltungswissen_digitalisierung</t>
        </is>
      </c>
      <c r="N618" s="5" t="inlineStr">
        <is>
          <t>Verwaltungswissen und digitale Umsetzung</t>
        </is>
      </c>
      <c r="O618" s="5" t="n">
        <v>5</v>
      </c>
      <c r="P618" s="5" t="n">
        <v>4</v>
      </c>
      <c r="Q618" s="5" t="n">
        <v>13</v>
      </c>
      <c r="R618" s="5" t="n">
        <v>4</v>
      </c>
      <c r="S618" s="5" t="n">
        <v>0</v>
      </c>
      <c r="T618" s="5" t="n">
        <v>0</v>
      </c>
      <c r="U618" s="5" t="n">
        <v>2</v>
      </c>
      <c r="V618" s="5" t="n">
        <v>5</v>
      </c>
      <c r="W618" s="5" t="n">
        <v>5</v>
      </c>
      <c r="X618" s="5" t="n">
        <v>0</v>
      </c>
      <c r="Y618" s="5" t="n">
        <v>0</v>
      </c>
      <c r="Z618" s="5" t="n">
        <v>0</v>
      </c>
      <c r="AA618" s="5" t="n">
        <v>0</v>
      </c>
      <c r="AB618" s="5" t="n">
        <v>31.846791</v>
      </c>
      <c r="AC618" s="5" t="inlineStr">
        <is>
          <t>Wie wird Verwaltung bei Regulierung, Genehmigung, Digitalisierung und Umsetzung leistungsfähiger?</t>
        </is>
      </c>
      <c r="AD618" s="5" t="inlineStr">
        <is>
          <t>Verwaltungswissen und digitale Umsetzung: Städtetag Rheinland-Pfalz (context_actor, 5) + Universität Koblenz (academic_support, 4).</t>
        </is>
      </c>
      <c r="AE618" s="5" t="inlineStr">
        <is>
          <t>Städtetag Rheinland-Pfalz | Universität Koblenz</t>
        </is>
      </c>
      <c r="AF618" s="5" t="inlineStr">
        <is>
          <t>verwaltungswissen-digitalisierung-städtetag-rheinland-pfalz-universität-koblenz</t>
        </is>
      </c>
    </row>
    <row r="619">
      <c r="A619" s="5" t="inlineStr">
        <is>
          <t>C0618</t>
        </is>
      </c>
      <c r="B619" s="5" t="inlineStr">
        <is>
          <t>x_0618</t>
        </is>
      </c>
      <c r="C619" s="5" t="n">
        <v>0</v>
      </c>
      <c r="D619" s="5" t="inlineStr">
        <is>
          <t>ENTEGA Plus GmbH</t>
        </is>
      </c>
      <c r="E619" s="5" t="inlineStr">
        <is>
          <t>Hochschule Trier</t>
        </is>
      </c>
      <c r="F619" s="5" t="n">
        <v>24</v>
      </c>
      <c r="G619" s="5" t="n">
        <v>40</v>
      </c>
      <c r="H619" s="5" t="inlineStr">
        <is>
          <t>profit_anchor</t>
        </is>
      </c>
      <c r="I619" t="inlineStr">
        <is>
          <t>energy_infrastructure_anchor</t>
        </is>
      </c>
      <c r="J619" s="5" t="inlineStr">
        <is>
          <t>academic_support</t>
        </is>
      </c>
      <c r="K619" t="inlineStr">
        <is>
          <t>university_applied_sciences</t>
        </is>
      </c>
      <c r="L619" s="5" t="inlineStr">
        <is>
          <t>nachhaltigkeit</t>
        </is>
      </c>
      <c r="M619" s="5" t="inlineStr">
        <is>
          <t>wasser_umwelttechnik_resilienz</t>
        </is>
      </c>
      <c r="N619" s="5" t="inlineStr">
        <is>
          <t>Wasser, Umwelttechnik und kommunale Resilienz</t>
        </is>
      </c>
      <c r="O619" s="5" t="n">
        <v>3</v>
      </c>
      <c r="P619" s="5" t="n">
        <v>4</v>
      </c>
      <c r="Q619" s="5" t="n">
        <v>11</v>
      </c>
      <c r="R619" s="5" t="n">
        <v>4</v>
      </c>
      <c r="S619" s="5" t="n">
        <v>0</v>
      </c>
      <c r="T619" s="5" t="n">
        <v>0</v>
      </c>
      <c r="U619" s="5" t="n">
        <v>2</v>
      </c>
      <c r="V619" s="5" t="n">
        <v>6</v>
      </c>
      <c r="W619" s="5" t="n">
        <v>6</v>
      </c>
      <c r="X619" s="5" t="n">
        <v>0</v>
      </c>
      <c r="Y619" s="5" t="n">
        <v>0</v>
      </c>
      <c r="Z619" s="5" t="n">
        <v>0</v>
      </c>
      <c r="AA619" s="5" t="n">
        <v>0</v>
      </c>
      <c r="AB619" s="5" t="n">
        <v>23.126811</v>
      </c>
      <c r="AC619" s="5" t="inlineStr">
        <is>
          <t>Wie können Kommunen und Infrastrukturträger Wasser-, Abwasser- und Umwelttechnik digitaler und resilienter steuern?</t>
        </is>
      </c>
      <c r="AD619" s="5" t="inlineStr">
        <is>
          <t>Wasser, Umwelttechnik und kommunale Resilienz: ENTEGA Plus GmbH (profit_anchor, 3) + Hochschule Trier (academic_support, 4).</t>
        </is>
      </c>
      <c r="AE619" s="5" t="inlineStr">
        <is>
          <t>ENTEGA Plus GmbH | Hochschule Trier</t>
        </is>
      </c>
      <c r="AF619" s="5" t="inlineStr">
        <is>
          <t>wasser-umwelttechnik-resilienz-entega-plus-gmbh-hochschule-trier</t>
        </is>
      </c>
    </row>
    <row r="620">
      <c r="A620" s="5" t="inlineStr">
        <is>
          <t>C0619</t>
        </is>
      </c>
      <c r="B620" s="5" t="inlineStr">
        <is>
          <t>x_0619</t>
        </is>
      </c>
      <c r="C620" s="5" t="n">
        <v>0</v>
      </c>
      <c r="D620" s="5" t="inlineStr">
        <is>
          <t>Hochschule Trier</t>
        </is>
      </c>
      <c r="E620" s="5" t="inlineStr">
        <is>
          <t>Pfalzwerke AG</t>
        </is>
      </c>
      <c r="F620" s="5" t="n">
        <v>40</v>
      </c>
      <c r="G620" s="5" t="n">
        <v>72</v>
      </c>
      <c r="H620" s="5" t="inlineStr">
        <is>
          <t>academic_support</t>
        </is>
      </c>
      <c r="I620" t="inlineStr">
        <is>
          <t>university_applied_sciences</t>
        </is>
      </c>
      <c r="J620" s="5" t="inlineStr">
        <is>
          <t>profit_anchor</t>
        </is>
      </c>
      <c r="K620" t="inlineStr">
        <is>
          <t>energy_infrastructure_anchor</t>
        </is>
      </c>
      <c r="L620" s="5" t="inlineStr">
        <is>
          <t>nachhaltigkeit</t>
        </is>
      </c>
      <c r="M620" s="5" t="inlineStr">
        <is>
          <t>wasser_umwelttechnik_resilienz</t>
        </is>
      </c>
      <c r="N620" s="5" t="inlineStr">
        <is>
          <t>Wasser, Umwelttechnik und kommunale Resilienz</t>
        </is>
      </c>
      <c r="O620" s="5" t="n">
        <v>4</v>
      </c>
      <c r="P620" s="5" t="n">
        <v>3</v>
      </c>
      <c r="Q620" s="5" t="n">
        <v>11</v>
      </c>
      <c r="R620" s="5" t="n">
        <v>4</v>
      </c>
      <c r="S620" s="5" t="n">
        <v>0</v>
      </c>
      <c r="T620" s="5" t="n">
        <v>0</v>
      </c>
      <c r="U620" s="5" t="n">
        <v>2</v>
      </c>
      <c r="V620" s="5" t="n">
        <v>6</v>
      </c>
      <c r="W620" s="5" t="n">
        <v>6</v>
      </c>
      <c r="X620" s="5" t="n">
        <v>0</v>
      </c>
      <c r="Y620" s="5" t="n">
        <v>0</v>
      </c>
      <c r="Z620" s="5" t="n">
        <v>0</v>
      </c>
      <c r="AA620" s="5" t="n">
        <v>0</v>
      </c>
      <c r="AB620" s="5" t="n">
        <v>23.126811</v>
      </c>
      <c r="AC620" s="5" t="inlineStr">
        <is>
          <t>Wie können Kommunen und Infrastrukturträger Wasser-, Abwasser- und Umwelttechnik digitaler und resilienter steuern?</t>
        </is>
      </c>
      <c r="AD620" s="5" t="inlineStr">
        <is>
          <t>Wasser, Umwelttechnik und kommunale Resilienz: Hochschule Trier (academic_support, 4) + Pfalzwerke AG (profit_anchor, 3).</t>
        </is>
      </c>
      <c r="AE620" s="5" t="inlineStr">
        <is>
          <t>Hochschule Trier | Pfalzwerke AG</t>
        </is>
      </c>
      <c r="AF620" s="5" t="inlineStr">
        <is>
          <t>wasser-umwelttechnik-resilienz-hochschule-trier-pfalzwerke-ag</t>
        </is>
      </c>
    </row>
    <row r="621">
      <c r="A621" s="5" t="inlineStr">
        <is>
          <t>C0620</t>
        </is>
      </c>
      <c r="B621" s="5" t="inlineStr">
        <is>
          <t>x_0620</t>
        </is>
      </c>
      <c r="C621" s="5" t="n">
        <v>0</v>
      </c>
      <c r="D621" s="5" t="inlineStr">
        <is>
          <t>Hochschule Trier</t>
        </is>
      </c>
      <c r="E621" s="5" t="inlineStr">
        <is>
          <t>Westenergie AG</t>
        </is>
      </c>
      <c r="F621" s="5" t="n">
        <v>40</v>
      </c>
      <c r="G621" s="5" t="n">
        <v>98</v>
      </c>
      <c r="H621" s="5" t="inlineStr">
        <is>
          <t>academic_support</t>
        </is>
      </c>
      <c r="I621" t="inlineStr">
        <is>
          <t>university_applied_sciences</t>
        </is>
      </c>
      <c r="J621" s="5" t="inlineStr">
        <is>
          <t>profit_anchor</t>
        </is>
      </c>
      <c r="K621" t="inlineStr">
        <is>
          <t>energy_infrastructure_anchor</t>
        </is>
      </c>
      <c r="L621" s="5" t="inlineStr">
        <is>
          <t>nachhaltigkeit</t>
        </is>
      </c>
      <c r="M621" s="5" t="inlineStr">
        <is>
          <t>wasser_umwelttechnik_resilienz</t>
        </is>
      </c>
      <c r="N621" s="5" t="inlineStr">
        <is>
          <t>Wasser, Umwelttechnik und kommunale Resilienz</t>
        </is>
      </c>
      <c r="O621" s="5" t="n">
        <v>4</v>
      </c>
      <c r="P621" s="5" t="n">
        <v>3</v>
      </c>
      <c r="Q621" s="5" t="n">
        <v>11</v>
      </c>
      <c r="R621" s="5" t="n">
        <v>4</v>
      </c>
      <c r="S621" s="5" t="n">
        <v>0</v>
      </c>
      <c r="T621" s="5" t="n">
        <v>0</v>
      </c>
      <c r="U621" s="5" t="n">
        <v>2</v>
      </c>
      <c r="V621" s="5" t="n">
        <v>6</v>
      </c>
      <c r="W621" s="5" t="n">
        <v>6</v>
      </c>
      <c r="X621" s="5" t="n">
        <v>0</v>
      </c>
      <c r="Y621" s="5" t="n">
        <v>0</v>
      </c>
      <c r="Z621" s="5" t="n">
        <v>0</v>
      </c>
      <c r="AA621" s="5" t="n">
        <v>0</v>
      </c>
      <c r="AB621" s="5" t="n">
        <v>23.126811</v>
      </c>
      <c r="AC621" s="5" t="inlineStr">
        <is>
          <t>Wie können Kommunen und Infrastrukturträger Wasser-, Abwasser- und Umwelttechnik digitaler und resilienter steuern?</t>
        </is>
      </c>
      <c r="AD621" s="5" t="inlineStr">
        <is>
          <t>Wasser, Umwelttechnik und kommunale Resilienz: Hochschule Trier (academic_support, 4) + Westenergie AG (profit_anchor, 3).</t>
        </is>
      </c>
      <c r="AE621" s="5" t="inlineStr">
        <is>
          <t>Hochschule Trier | Westenergie AG</t>
        </is>
      </c>
      <c r="AF621" s="5" t="inlineStr">
        <is>
          <t>wasser-umwelttechnik-resilienz-hochschule-trier-westenergie-ag</t>
        </is>
      </c>
    </row>
    <row r="622">
      <c r="A622" s="5" t="inlineStr">
        <is>
          <t>C0621</t>
        </is>
      </c>
      <c r="B622" s="5" t="inlineStr">
        <is>
          <t>x_0621</t>
        </is>
      </c>
      <c r="C622" s="5" t="n">
        <v>0</v>
      </c>
      <c r="D622" s="5" t="inlineStr">
        <is>
          <t>Deutsche Universität für Verwaltungswissenschaften Speyer</t>
        </is>
      </c>
      <c r="E622" s="5" t="inlineStr">
        <is>
          <t>RPR1.</t>
        </is>
      </c>
      <c r="F622" s="5" t="n">
        <v>19</v>
      </c>
      <c r="G622" s="5" t="n">
        <v>76</v>
      </c>
      <c r="H622" s="5" t="inlineStr">
        <is>
          <t>academic_support</t>
        </is>
      </c>
      <c r="I622" t="inlineStr">
        <is>
          <t>university_research</t>
        </is>
      </c>
      <c r="J622" s="5" t="inlineStr">
        <is>
          <t>context_actor</t>
        </is>
      </c>
      <c r="K622" t="inlineStr">
        <is>
          <t>media_publicity_anchor</t>
        </is>
      </c>
      <c r="L622" s="5" t="inlineStr">
        <is>
          <t>wissen</t>
        </is>
      </c>
      <c r="M622" s="5" t="inlineStr">
        <is>
          <t>wissenschaft_demokratie_gesellschaft</t>
        </is>
      </c>
      <c r="N622" s="5" t="inlineStr">
        <is>
          <t>Wissenschaft, Demokratie und gesellschaftlicher Zusammenhalt</t>
        </is>
      </c>
      <c r="O622" s="5" t="n">
        <v>5</v>
      </c>
      <c r="P622" s="5" t="n">
        <v>4</v>
      </c>
      <c r="Q622" s="5" t="n">
        <v>13</v>
      </c>
      <c r="R622" s="5" t="n">
        <v>4</v>
      </c>
      <c r="S622" s="5" t="n">
        <v>0</v>
      </c>
      <c r="T622" s="5" t="n">
        <v>0</v>
      </c>
      <c r="U622" s="5" t="n">
        <v>2</v>
      </c>
      <c r="V622" s="5" t="n">
        <v>5</v>
      </c>
      <c r="W622" s="5" t="n">
        <v>5</v>
      </c>
      <c r="X622" s="5" t="n">
        <v>0</v>
      </c>
      <c r="Y622" s="5" t="n">
        <v>0</v>
      </c>
      <c r="Z622" s="5" t="n">
        <v>0</v>
      </c>
      <c r="AA622" s="5" t="n">
        <v>0</v>
      </c>
      <c r="AB622" s="5" t="n">
        <v>39.501083</v>
      </c>
      <c r="AC622" s="5" t="inlineStr">
        <is>
          <t>Wie kann wissenschaftliches Wissen in gesellschaftliche Debatten, Demokratiebildung und öffentliche Orientierung wirken?</t>
        </is>
      </c>
      <c r="AD622" s="5" t="inlineStr">
        <is>
          <t>Wissenschaft, Demokratie und gesellschaftlicher Zusammenhalt: Deutsche Universität für Verwaltungswissenschaften Speyer (academic_support, 5) + RPR1. (context_actor, 4).</t>
        </is>
      </c>
      <c r="AE622" s="5" t="inlineStr">
        <is>
          <t>Deutsche Universität für Verwaltungswissenschaften Speyer | RPR1.</t>
        </is>
      </c>
      <c r="AF622" s="5" t="inlineStr">
        <is>
          <t>wissenschaft-demokratie-gesellschaft-deutsche-universität-für-verwaltungswissenschaften-speyer-</t>
        </is>
      </c>
    </row>
    <row r="623">
      <c r="A623" s="5" t="inlineStr">
        <is>
          <t>C0622</t>
        </is>
      </c>
      <c r="B623" s="5" t="inlineStr">
        <is>
          <t>x_0622</t>
        </is>
      </c>
      <c r="C623" s="5" t="n">
        <v>0</v>
      </c>
      <c r="D623" s="5" t="inlineStr">
        <is>
          <t>Evangelische Kirche der Pfalz</t>
        </is>
      </c>
      <c r="E623" s="5" t="inlineStr">
        <is>
          <t>Universität Koblenz</t>
        </is>
      </c>
      <c r="F623" s="5" t="n">
        <v>28</v>
      </c>
      <c r="G623" s="5" t="n">
        <v>92</v>
      </c>
      <c r="H623" s="5" t="inlineStr">
        <is>
          <t>context_actor</t>
        </is>
      </c>
      <c r="I623" t="inlineStr">
        <is>
          <t>culture_foundation_anchor</t>
        </is>
      </c>
      <c r="J623" s="5" t="inlineStr">
        <is>
          <t>academic_support</t>
        </is>
      </c>
      <c r="K623" t="inlineStr">
        <is>
          <t>university_research</t>
        </is>
      </c>
      <c r="L623" s="5" t="inlineStr">
        <is>
          <t>wissen</t>
        </is>
      </c>
      <c r="M623" s="5" t="inlineStr">
        <is>
          <t>wissenschaft_demokratie_gesellschaft</t>
        </is>
      </c>
      <c r="N623" s="5" t="inlineStr">
        <is>
          <t>Wissenschaft, Demokratie und gesellschaftlicher Zusammenhalt</t>
        </is>
      </c>
      <c r="O623" s="5" t="n">
        <v>5</v>
      </c>
      <c r="P623" s="5" t="n">
        <v>4</v>
      </c>
      <c r="Q623" s="5" t="n">
        <v>13</v>
      </c>
      <c r="R623" s="5" t="n">
        <v>4</v>
      </c>
      <c r="S623" s="5" t="n">
        <v>0</v>
      </c>
      <c r="T623" s="5" t="n">
        <v>0</v>
      </c>
      <c r="U623" s="5" t="n">
        <v>2</v>
      </c>
      <c r="V623" s="5" t="n">
        <v>5</v>
      </c>
      <c r="W623" s="5" t="n">
        <v>5</v>
      </c>
      <c r="X623" s="5" t="n">
        <v>0</v>
      </c>
      <c r="Y623" s="5" t="n">
        <v>0</v>
      </c>
      <c r="Z623" s="5" t="n">
        <v>0</v>
      </c>
      <c r="AA623" s="5" t="n">
        <v>0</v>
      </c>
      <c r="AB623" s="5" t="n">
        <v>39.501083</v>
      </c>
      <c r="AC623" s="5" t="inlineStr">
        <is>
          <t>Wie kann wissenschaftliches Wissen in gesellschaftliche Debatten, Demokratiebildung und öffentliche Orientierung wirken?</t>
        </is>
      </c>
      <c r="AD623" s="5" t="inlineStr">
        <is>
          <t>Wissenschaft, Demokratie und gesellschaftlicher Zusammenhalt: Evangelische Kirche der Pfalz (context_actor, 5) + Universität Koblenz (academic_support, 4).</t>
        </is>
      </c>
      <c r="AE623" s="5" t="inlineStr">
        <is>
          <t>Evangelische Kirche der Pfalz | Universität Koblenz</t>
        </is>
      </c>
      <c r="AF623" s="5" t="inlineStr">
        <is>
          <t>wissenschaft-demokratie-gesellschaft-evangelische-kirche-der-pfalz-universität-koblenz</t>
        </is>
      </c>
    </row>
    <row r="624">
      <c r="A624" s="5" t="inlineStr">
        <is>
          <t>C0623</t>
        </is>
      </c>
      <c r="B624" s="5" t="inlineStr">
        <is>
          <t>x_0623</t>
        </is>
      </c>
      <c r="C624" s="5" t="n">
        <v>0</v>
      </c>
      <c r="D624" s="5" t="inlineStr">
        <is>
          <t>Evangelische Kirche der Pfalz</t>
        </is>
      </c>
      <c r="E624" s="5" t="inlineStr">
        <is>
          <t>Vinzenz Pallotti University gGmbH</t>
        </is>
      </c>
      <c r="F624" s="5" t="n">
        <v>28</v>
      </c>
      <c r="G624" s="5" t="n">
        <v>97</v>
      </c>
      <c r="H624" s="5" t="inlineStr">
        <is>
          <t>context_actor</t>
        </is>
      </c>
      <c r="I624" t="inlineStr">
        <is>
          <t>culture_foundation_anchor</t>
        </is>
      </c>
      <c r="J624" s="5" t="inlineStr">
        <is>
          <t>academic_support</t>
        </is>
      </c>
      <c r="K624" t="inlineStr">
        <is>
          <t>university_research</t>
        </is>
      </c>
      <c r="L624" s="5" t="inlineStr">
        <is>
          <t>wissen</t>
        </is>
      </c>
      <c r="M624" s="5" t="inlineStr">
        <is>
          <t>wissenschaft_demokratie_gesellschaft</t>
        </is>
      </c>
      <c r="N624" s="5" t="inlineStr">
        <is>
          <t>Wissenschaft, Demokratie und gesellschaftlicher Zusammenhalt</t>
        </is>
      </c>
      <c r="O624" s="5" t="n">
        <v>5</v>
      </c>
      <c r="P624" s="5" t="n">
        <v>4</v>
      </c>
      <c r="Q624" s="5" t="n">
        <v>13</v>
      </c>
      <c r="R624" s="5" t="n">
        <v>4</v>
      </c>
      <c r="S624" s="5" t="n">
        <v>0</v>
      </c>
      <c r="T624" s="5" t="n">
        <v>0</v>
      </c>
      <c r="U624" s="5" t="n">
        <v>2</v>
      </c>
      <c r="V624" s="5" t="n">
        <v>5</v>
      </c>
      <c r="W624" s="5" t="n">
        <v>5</v>
      </c>
      <c r="X624" s="5" t="n">
        <v>0</v>
      </c>
      <c r="Y624" s="5" t="n">
        <v>0</v>
      </c>
      <c r="Z624" s="5" t="n">
        <v>0</v>
      </c>
      <c r="AA624" s="5" t="n">
        <v>0</v>
      </c>
      <c r="AB624" s="5" t="n">
        <v>39.501083</v>
      </c>
      <c r="AC624" s="5" t="inlineStr">
        <is>
          <t>Wie kann wissenschaftliches Wissen in gesellschaftliche Debatten, Demokratiebildung und öffentliche Orientierung wirken?</t>
        </is>
      </c>
      <c r="AD624" s="5" t="inlineStr">
        <is>
          <t>Wissenschaft, Demokratie und gesellschaftlicher Zusammenhalt: Evangelische Kirche der Pfalz (context_actor, 5) + Vinzenz Pallotti University gGmbH (academic_support, 4).</t>
        </is>
      </c>
      <c r="AE624" s="5" t="inlineStr">
        <is>
          <t>Evangelische Kirche der Pfalz | Vinzenz Pallotti University gGmbH</t>
        </is>
      </c>
      <c r="AF624" s="5" t="inlineStr">
        <is>
          <t>wissenschaft-demokratie-gesellschaft-evangelische-kirche-der-pfalz-vinzenz-pallotti-university-</t>
        </is>
      </c>
    </row>
    <row r="625">
      <c r="A625" s="5" t="inlineStr">
        <is>
          <t>C0624</t>
        </is>
      </c>
      <c r="B625" s="5" t="inlineStr">
        <is>
          <t>x_0624</t>
        </is>
      </c>
      <c r="C625" s="5" t="n">
        <v>0</v>
      </c>
      <c r="D625" s="5" t="inlineStr">
        <is>
          <t>Hochschule für Gesellschaftsgestaltung (HfGG)</t>
        </is>
      </c>
      <c r="E625" s="5" t="inlineStr">
        <is>
          <t>RPR1.</t>
        </is>
      </c>
      <c r="F625" s="5" t="n">
        <v>34</v>
      </c>
      <c r="G625" s="5" t="n">
        <v>76</v>
      </c>
      <c r="H625" s="5" t="inlineStr">
        <is>
          <t>academic_support</t>
        </is>
      </c>
      <c r="I625" t="inlineStr">
        <is>
          <t>university_applied_sciences</t>
        </is>
      </c>
      <c r="J625" s="5" t="inlineStr">
        <is>
          <t>context_actor</t>
        </is>
      </c>
      <c r="K625" t="inlineStr">
        <is>
          <t>media_publicity_anchor</t>
        </is>
      </c>
      <c r="L625" s="5" t="inlineStr">
        <is>
          <t>wissen</t>
        </is>
      </c>
      <c r="M625" s="5" t="inlineStr">
        <is>
          <t>wissenschaft_demokratie_gesellschaft</t>
        </is>
      </c>
      <c r="N625" s="5" t="inlineStr">
        <is>
          <t>Wissenschaft, Demokratie und gesellschaftlicher Zusammenhalt</t>
        </is>
      </c>
      <c r="O625" s="5" t="n">
        <v>5</v>
      </c>
      <c r="P625" s="5" t="n">
        <v>4</v>
      </c>
      <c r="Q625" s="5" t="n">
        <v>13</v>
      </c>
      <c r="R625" s="5" t="n">
        <v>4</v>
      </c>
      <c r="S625" s="5" t="n">
        <v>0</v>
      </c>
      <c r="T625" s="5" t="n">
        <v>0</v>
      </c>
      <c r="U625" s="5" t="n">
        <v>2</v>
      </c>
      <c r="V625" s="5" t="n">
        <v>5</v>
      </c>
      <c r="W625" s="5" t="n">
        <v>5</v>
      </c>
      <c r="X625" s="5" t="n">
        <v>0</v>
      </c>
      <c r="Y625" s="5" t="n">
        <v>0</v>
      </c>
      <c r="Z625" s="5" t="n">
        <v>0</v>
      </c>
      <c r="AA625" s="5" t="n">
        <v>0</v>
      </c>
      <c r="AB625" s="5" t="n">
        <v>37.284275</v>
      </c>
      <c r="AC625" s="5" t="inlineStr">
        <is>
          <t>Wie kann wissenschaftliches Wissen in gesellschaftliche Debatten, Demokratiebildung und öffentliche Orientierung wirken?</t>
        </is>
      </c>
      <c r="AD625" s="5" t="inlineStr">
        <is>
          <t>Wissenschaft, Demokratie und gesellschaftlicher Zusammenhalt: Hochschule für Gesellschaftsgestaltung (HfGG) (academic_support, 5) + RPR1. (context_actor, 4).</t>
        </is>
      </c>
      <c r="AE625" s="5" t="inlineStr">
        <is>
          <t>Hochschule für Gesellschaftsgestaltung (HfGG) | RPR1.</t>
        </is>
      </c>
      <c r="AF625" s="5" t="inlineStr">
        <is>
          <t>wissenschaft-demokratie-gesellschaft-hochschule-für-gesellschaftsgestaltung-hfgg-rpr1</t>
        </is>
      </c>
    </row>
    <row r="626">
      <c r="A626" s="5" t="inlineStr">
        <is>
          <t>C0625</t>
        </is>
      </c>
      <c r="B626" s="5" t="inlineStr">
        <is>
          <t>x_0625</t>
        </is>
      </c>
      <c r="C626" s="5" t="n">
        <v>0</v>
      </c>
      <c r="D626" s="5" t="inlineStr">
        <is>
          <t>Johannes Gutenberg-Universität Mainz</t>
        </is>
      </c>
      <c r="E626" s="5" t="inlineStr">
        <is>
          <t>RPR1.</t>
        </is>
      </c>
      <c r="F626" s="5" t="n">
        <v>49</v>
      </c>
      <c r="G626" s="5" t="n">
        <v>76</v>
      </c>
      <c r="H626" s="5" t="inlineStr">
        <is>
          <t>academic_support</t>
        </is>
      </c>
      <c r="I626" t="inlineStr">
        <is>
          <t>university_research</t>
        </is>
      </c>
      <c r="J626" s="5" t="inlineStr">
        <is>
          <t>context_actor</t>
        </is>
      </c>
      <c r="K626" t="inlineStr">
        <is>
          <t>media_publicity_anchor</t>
        </is>
      </c>
      <c r="L626" s="5" t="inlineStr">
        <is>
          <t>wissen</t>
        </is>
      </c>
      <c r="M626" s="5" t="inlineStr">
        <is>
          <t>wissenschaft_demokratie_gesellschaft</t>
        </is>
      </c>
      <c r="N626" s="5" t="inlineStr">
        <is>
          <t>Wissenschaft, Demokratie und gesellschaftlicher Zusammenhalt</t>
        </is>
      </c>
      <c r="O626" s="5" t="n">
        <v>5</v>
      </c>
      <c r="P626" s="5" t="n">
        <v>4</v>
      </c>
      <c r="Q626" s="5" t="n">
        <v>13</v>
      </c>
      <c r="R626" s="5" t="n">
        <v>4</v>
      </c>
      <c r="S626" s="5" t="n">
        <v>0</v>
      </c>
      <c r="T626" s="5" t="n">
        <v>0</v>
      </c>
      <c r="U626" s="5" t="n">
        <v>2</v>
      </c>
      <c r="V626" s="5" t="n">
        <v>5</v>
      </c>
      <c r="W626" s="5" t="n">
        <v>5</v>
      </c>
      <c r="X626" s="5" t="n">
        <v>0</v>
      </c>
      <c r="Y626" s="5" t="n">
        <v>0</v>
      </c>
      <c r="Z626" s="5" t="n">
        <v>0</v>
      </c>
      <c r="AA626" s="5" t="n">
        <v>0</v>
      </c>
      <c r="AB626" s="5" t="n">
        <v>39.501083</v>
      </c>
      <c r="AC626" s="5" t="inlineStr">
        <is>
          <t>Wie kann wissenschaftliches Wissen in gesellschaftliche Debatten, Demokratiebildung und öffentliche Orientierung wirken?</t>
        </is>
      </c>
      <c r="AD626" s="5" t="inlineStr">
        <is>
          <t>Wissenschaft, Demokratie und gesellschaftlicher Zusammenhalt: Johannes Gutenberg-Universität Mainz (academic_support, 5) + RPR1. (context_actor, 4).</t>
        </is>
      </c>
      <c r="AE626" s="5" t="inlineStr">
        <is>
          <t>Johannes Gutenberg-Universität Mainz | RPR1.</t>
        </is>
      </c>
      <c r="AF626" s="5" t="inlineStr">
        <is>
          <t>wissenschaft-demokratie-gesellschaft-johannes-gutenberg-universität-mainz-rpr1</t>
        </is>
      </c>
    </row>
    <row r="627">
      <c r="A627" s="5" t="inlineStr">
        <is>
          <t>C0626</t>
        </is>
      </c>
      <c r="B627" s="5" t="inlineStr">
        <is>
          <t>x_0626</t>
        </is>
      </c>
      <c r="C627" s="5" t="n">
        <v>0</v>
      </c>
      <c r="D627" s="5" t="inlineStr">
        <is>
          <t>RPR1.</t>
        </is>
      </c>
      <c r="E627" s="5" t="inlineStr">
        <is>
          <t>Universität Trier</t>
        </is>
      </c>
      <c r="F627" s="5" t="n">
        <v>76</v>
      </c>
      <c r="G627" s="5" t="n">
        <v>93</v>
      </c>
      <c r="H627" s="5" t="inlineStr">
        <is>
          <t>context_actor</t>
        </is>
      </c>
      <c r="I627" t="inlineStr">
        <is>
          <t>media_publicity_anchor</t>
        </is>
      </c>
      <c r="J627" s="5" t="inlineStr">
        <is>
          <t>academic_support</t>
        </is>
      </c>
      <c r="K627" t="inlineStr">
        <is>
          <t>university_research</t>
        </is>
      </c>
      <c r="L627" s="5" t="inlineStr">
        <is>
          <t>wissen</t>
        </is>
      </c>
      <c r="M627" s="5" t="inlineStr">
        <is>
          <t>wissenschaft_demokratie_gesellschaft</t>
        </is>
      </c>
      <c r="N627" s="5" t="inlineStr">
        <is>
          <t>Wissenschaft, Demokratie und gesellschaftlicher Zusammenhalt</t>
        </is>
      </c>
      <c r="O627" s="5" t="n">
        <v>4</v>
      </c>
      <c r="P627" s="5" t="n">
        <v>5</v>
      </c>
      <c r="Q627" s="5" t="n">
        <v>13</v>
      </c>
      <c r="R627" s="5" t="n">
        <v>4</v>
      </c>
      <c r="S627" s="5" t="n">
        <v>0</v>
      </c>
      <c r="T627" s="5" t="n">
        <v>0</v>
      </c>
      <c r="U627" s="5" t="n">
        <v>2</v>
      </c>
      <c r="V627" s="5" t="n">
        <v>5</v>
      </c>
      <c r="W627" s="5" t="n">
        <v>5</v>
      </c>
      <c r="X627" s="5" t="n">
        <v>0</v>
      </c>
      <c r="Y627" s="5" t="n">
        <v>0</v>
      </c>
      <c r="Z627" s="5" t="n">
        <v>0</v>
      </c>
      <c r="AA627" s="5" t="n">
        <v>0</v>
      </c>
      <c r="AB627" s="5" t="n">
        <v>39.501083</v>
      </c>
      <c r="AC627" s="5" t="inlineStr">
        <is>
          <t>Wie kann wissenschaftliches Wissen in gesellschaftliche Debatten, Demokratiebildung und öffentliche Orientierung wirken?</t>
        </is>
      </c>
      <c r="AD627" s="5" t="inlineStr">
        <is>
          <t>Wissenschaft, Demokratie und gesellschaftlicher Zusammenhalt: RPR1. (context_actor, 4) + Universität Trier (academic_support, 5).</t>
        </is>
      </c>
      <c r="AE627" s="5" t="inlineStr">
        <is>
          <t>RPR1. | Universität Trier</t>
        </is>
      </c>
      <c r="AF627" s="5" t="inlineStr">
        <is>
          <t>wissenschaft-demokratie-gesellschaft-rpr1-universität-trier</t>
        </is>
      </c>
    </row>
    <row r="628">
      <c r="A628" s="5" t="inlineStr">
        <is>
          <t>C0627</t>
        </is>
      </c>
      <c r="B628" s="5" t="inlineStr">
        <is>
          <t>x_0627</t>
        </is>
      </c>
      <c r="C628" s="5" t="n">
        <v>0</v>
      </c>
      <c r="D628" s="5" t="inlineStr">
        <is>
          <t>SWR – Südwestrundfunk</t>
        </is>
      </c>
      <c r="E628" s="5" t="inlineStr">
        <is>
          <t>Universität Koblenz</t>
        </is>
      </c>
      <c r="F628" s="5" t="n">
        <v>86</v>
      </c>
      <c r="G628" s="5" t="n">
        <v>92</v>
      </c>
      <c r="H628" s="5" t="inlineStr">
        <is>
          <t>context_actor</t>
        </is>
      </c>
      <c r="I628" t="inlineStr">
        <is>
          <t>media_publicity_anchor</t>
        </is>
      </c>
      <c r="J628" s="5" t="inlineStr">
        <is>
          <t>academic_support</t>
        </is>
      </c>
      <c r="K628" t="inlineStr">
        <is>
          <t>university_research</t>
        </is>
      </c>
      <c r="L628" s="5" t="inlineStr">
        <is>
          <t>wissen</t>
        </is>
      </c>
      <c r="M628" s="5" t="inlineStr">
        <is>
          <t>wissenschaft_demokratie_gesellschaft</t>
        </is>
      </c>
      <c r="N628" s="5" t="inlineStr">
        <is>
          <t>Wissenschaft, Demokratie und gesellschaftlicher Zusammenhalt</t>
        </is>
      </c>
      <c r="O628" s="5" t="n">
        <v>5</v>
      </c>
      <c r="P628" s="5" t="n">
        <v>4</v>
      </c>
      <c r="Q628" s="5" t="n">
        <v>13</v>
      </c>
      <c r="R628" s="5" t="n">
        <v>4</v>
      </c>
      <c r="S628" s="5" t="n">
        <v>0</v>
      </c>
      <c r="T628" s="5" t="n">
        <v>0</v>
      </c>
      <c r="U628" s="5" t="n">
        <v>2</v>
      </c>
      <c r="V628" s="5" t="n">
        <v>5</v>
      </c>
      <c r="W628" s="5" t="n">
        <v>5</v>
      </c>
      <c r="X628" s="5" t="n">
        <v>0</v>
      </c>
      <c r="Y628" s="5" t="n">
        <v>0</v>
      </c>
      <c r="Z628" s="5" t="n">
        <v>0</v>
      </c>
      <c r="AA628" s="5" t="n">
        <v>0</v>
      </c>
      <c r="AB628" s="5" t="n">
        <v>39.501083</v>
      </c>
      <c r="AC628" s="5" t="inlineStr">
        <is>
          <t>Wie kann wissenschaftliches Wissen in gesellschaftliche Debatten, Demokratiebildung und öffentliche Orientierung wirken?</t>
        </is>
      </c>
      <c r="AD628" s="5" t="inlineStr">
        <is>
          <t>Wissenschaft, Demokratie und gesellschaftlicher Zusammenhalt: SWR – Südwestrundfunk (context_actor, 5) + Universität Koblenz (academic_support, 4).</t>
        </is>
      </c>
      <c r="AE628" s="5" t="inlineStr">
        <is>
          <t>SWR – Südwestrundfunk | Universität Koblenz</t>
        </is>
      </c>
      <c r="AF628" s="5" t="inlineStr">
        <is>
          <t>wissenschaft-demokratie-gesellschaft-swr-südwestrundfunk-universität-koblenz</t>
        </is>
      </c>
    </row>
    <row r="629">
      <c r="A629" s="5" t="inlineStr">
        <is>
          <t>C0628</t>
        </is>
      </c>
      <c r="B629" s="5" t="inlineStr">
        <is>
          <t>x_0628</t>
        </is>
      </c>
      <c r="C629" s="5" t="n">
        <v>0</v>
      </c>
      <c r="D629" s="5" t="inlineStr">
        <is>
          <t>SWR – Südwestrundfunk</t>
        </is>
      </c>
      <c r="E629" s="5" t="inlineStr">
        <is>
          <t>Vinzenz Pallotti University gGmbH</t>
        </is>
      </c>
      <c r="F629" s="5" t="n">
        <v>86</v>
      </c>
      <c r="G629" s="5" t="n">
        <v>97</v>
      </c>
      <c r="H629" s="5" t="inlineStr">
        <is>
          <t>context_actor</t>
        </is>
      </c>
      <c r="I629" t="inlineStr">
        <is>
          <t>media_publicity_anchor</t>
        </is>
      </c>
      <c r="J629" s="5" t="inlineStr">
        <is>
          <t>academic_support</t>
        </is>
      </c>
      <c r="K629" t="inlineStr">
        <is>
          <t>university_research</t>
        </is>
      </c>
      <c r="L629" s="5" t="inlineStr">
        <is>
          <t>wissen</t>
        </is>
      </c>
      <c r="M629" s="5" t="inlineStr">
        <is>
          <t>wissenschaft_demokratie_gesellschaft</t>
        </is>
      </c>
      <c r="N629" s="5" t="inlineStr">
        <is>
          <t>Wissenschaft, Demokratie und gesellschaftlicher Zusammenhalt</t>
        </is>
      </c>
      <c r="O629" s="5" t="n">
        <v>5</v>
      </c>
      <c r="P629" s="5" t="n">
        <v>4</v>
      </c>
      <c r="Q629" s="5" t="n">
        <v>13</v>
      </c>
      <c r="R629" s="5" t="n">
        <v>4</v>
      </c>
      <c r="S629" s="5" t="n">
        <v>0</v>
      </c>
      <c r="T629" s="5" t="n">
        <v>0</v>
      </c>
      <c r="U629" s="5" t="n">
        <v>2</v>
      </c>
      <c r="V629" s="5" t="n">
        <v>5</v>
      </c>
      <c r="W629" s="5" t="n">
        <v>5</v>
      </c>
      <c r="X629" s="5" t="n">
        <v>0</v>
      </c>
      <c r="Y629" s="5" t="n">
        <v>0</v>
      </c>
      <c r="Z629" s="5" t="n">
        <v>0</v>
      </c>
      <c r="AA629" s="5" t="n">
        <v>0</v>
      </c>
      <c r="AB629" s="5" t="n">
        <v>39.501083</v>
      </c>
      <c r="AC629" s="5" t="inlineStr">
        <is>
          <t>Wie kann wissenschaftliches Wissen in gesellschaftliche Debatten, Demokratiebildung und öffentliche Orientierung wirken?</t>
        </is>
      </c>
      <c r="AD629" s="5" t="inlineStr">
        <is>
          <t>Wissenschaft, Demokratie und gesellschaftlicher Zusammenhalt: SWR – Südwestrundfunk (context_actor, 5) + Vinzenz Pallotti University gGmbH (academic_support, 4).</t>
        </is>
      </c>
      <c r="AE629" s="5" t="inlineStr">
        <is>
          <t>SWR – Südwestrundfunk | Vinzenz Pallotti University gGmbH</t>
        </is>
      </c>
      <c r="AF629" s="5" t="inlineStr">
        <is>
          <t>wissenschaft-demokratie-gesellschaft-swr-südwestrundfunk-vinzenz-pallotti-university-ggmbh</t>
        </is>
      </c>
    </row>
    <row r="630">
      <c r="A630" s="5" t="inlineStr">
        <is>
          <t>C0629</t>
        </is>
      </c>
      <c r="B630" s="5" t="inlineStr">
        <is>
          <t>x_0629</t>
        </is>
      </c>
      <c r="C630" s="5" t="n">
        <v>0</v>
      </c>
      <c r="D630" s="5" t="inlineStr">
        <is>
          <t>Staatskanzlei des Landes Rheinland-Pfalz</t>
        </is>
      </c>
      <c r="E630" s="5" t="inlineStr">
        <is>
          <t>Universität Koblenz</t>
        </is>
      </c>
      <c r="F630" s="5" t="n">
        <v>83</v>
      </c>
      <c r="G630" s="5" t="n">
        <v>92</v>
      </c>
      <c r="H630" s="5" t="inlineStr">
        <is>
          <t>context_actor</t>
        </is>
      </c>
      <c r="I630" t="inlineStr">
        <is>
          <t>public_policy_anchor</t>
        </is>
      </c>
      <c r="J630" s="5" t="inlineStr">
        <is>
          <t>academic_support</t>
        </is>
      </c>
      <c r="K630" t="inlineStr">
        <is>
          <t>university_research</t>
        </is>
      </c>
      <c r="L630" s="5" t="inlineStr">
        <is>
          <t>wissen</t>
        </is>
      </c>
      <c r="M630" s="5" t="inlineStr">
        <is>
          <t>wissenschaft_demokratie_gesellschaft</t>
        </is>
      </c>
      <c r="N630" s="5" t="inlineStr">
        <is>
          <t>Wissenschaft, Demokratie und gesellschaftlicher Zusammenhalt</t>
        </is>
      </c>
      <c r="O630" s="5" t="n">
        <v>5</v>
      </c>
      <c r="P630" s="5" t="n">
        <v>4</v>
      </c>
      <c r="Q630" s="5" t="n">
        <v>13</v>
      </c>
      <c r="R630" s="5" t="n">
        <v>4</v>
      </c>
      <c r="S630" s="5" t="n">
        <v>0</v>
      </c>
      <c r="T630" s="5" t="n">
        <v>0</v>
      </c>
      <c r="U630" s="5" t="n">
        <v>2</v>
      </c>
      <c r="V630" s="5" t="n">
        <v>5</v>
      </c>
      <c r="W630" s="5" t="n">
        <v>5</v>
      </c>
      <c r="X630" s="5" t="n">
        <v>0</v>
      </c>
      <c r="Y630" s="5" t="n">
        <v>0</v>
      </c>
      <c r="Z630" s="5" t="n">
        <v>0</v>
      </c>
      <c r="AA630" s="5" t="n">
        <v>0</v>
      </c>
      <c r="AB630" s="5" t="n">
        <v>31.846791</v>
      </c>
      <c r="AC630" s="5" t="inlineStr">
        <is>
          <t>Wie kann wissenschaftliches Wissen in gesellschaftliche Debatten, Demokratiebildung und öffentliche Orientierung wirken?</t>
        </is>
      </c>
      <c r="AD630" s="5" t="inlineStr">
        <is>
          <t>Wissenschaft, Demokratie und gesellschaftlicher Zusammenhalt: Staatskanzlei des Landes Rheinland-Pfalz (context_actor, 5) + Universität Koblenz (academic_support, 4).</t>
        </is>
      </c>
      <c r="AE630" s="5" t="inlineStr">
        <is>
          <t>Staatskanzlei des Landes Rheinland-Pfalz | Universität Koblenz</t>
        </is>
      </c>
      <c r="AF630" s="5" t="inlineStr">
        <is>
          <t>wissenschaft-demokratie-gesellschaft-staatskanzlei-des-landes-rheinland-pfalz-universität-koble</t>
        </is>
      </c>
    </row>
    <row r="631">
      <c r="A631" s="5" t="inlineStr">
        <is>
          <t>C0630</t>
        </is>
      </c>
      <c r="B631" s="5" t="inlineStr">
        <is>
          <t>x_0630</t>
        </is>
      </c>
      <c r="C631" s="5" t="n">
        <v>0</v>
      </c>
      <c r="D631" s="5" t="inlineStr">
        <is>
          <t>Staatskanzlei des Landes Rheinland-Pfalz</t>
        </is>
      </c>
      <c r="E631" s="5" t="inlineStr">
        <is>
          <t>Vinzenz Pallotti University gGmbH</t>
        </is>
      </c>
      <c r="F631" s="5" t="n">
        <v>83</v>
      </c>
      <c r="G631" s="5" t="n">
        <v>97</v>
      </c>
      <c r="H631" s="5" t="inlineStr">
        <is>
          <t>context_actor</t>
        </is>
      </c>
      <c r="I631" t="inlineStr">
        <is>
          <t>public_policy_anchor</t>
        </is>
      </c>
      <c r="J631" s="5" t="inlineStr">
        <is>
          <t>academic_support</t>
        </is>
      </c>
      <c r="K631" t="inlineStr">
        <is>
          <t>university_research</t>
        </is>
      </c>
      <c r="L631" s="5" t="inlineStr">
        <is>
          <t>wissen</t>
        </is>
      </c>
      <c r="M631" s="5" t="inlineStr">
        <is>
          <t>wissenschaft_demokratie_gesellschaft</t>
        </is>
      </c>
      <c r="N631" s="5" t="inlineStr">
        <is>
          <t>Wissenschaft, Demokratie und gesellschaftlicher Zusammenhalt</t>
        </is>
      </c>
      <c r="O631" s="5" t="n">
        <v>5</v>
      </c>
      <c r="P631" s="5" t="n">
        <v>4</v>
      </c>
      <c r="Q631" s="5" t="n">
        <v>13</v>
      </c>
      <c r="R631" s="5" t="n">
        <v>4</v>
      </c>
      <c r="S631" s="5" t="n">
        <v>0</v>
      </c>
      <c r="T631" s="5" t="n">
        <v>0</v>
      </c>
      <c r="U631" s="5" t="n">
        <v>2</v>
      </c>
      <c r="V631" s="5" t="n">
        <v>5</v>
      </c>
      <c r="W631" s="5" t="n">
        <v>5</v>
      </c>
      <c r="X631" s="5" t="n">
        <v>0</v>
      </c>
      <c r="Y631" s="5" t="n">
        <v>0</v>
      </c>
      <c r="Z631" s="5" t="n">
        <v>0</v>
      </c>
      <c r="AA631" s="5" t="n">
        <v>0</v>
      </c>
      <c r="AB631" s="5" t="n">
        <v>31.846791</v>
      </c>
      <c r="AC631" s="5" t="inlineStr">
        <is>
          <t>Wie kann wissenschaftliches Wissen in gesellschaftliche Debatten, Demokratiebildung und öffentliche Orientierung wirken?</t>
        </is>
      </c>
      <c r="AD631" s="5" t="inlineStr">
        <is>
          <t>Wissenschaft, Demokratie und gesellschaftlicher Zusammenhalt: Staatskanzlei des Landes Rheinland-Pfalz (context_actor, 5) + Vinzenz Pallotti University gGmbH (academic_support, 4).</t>
        </is>
      </c>
      <c r="AE631" s="5" t="inlineStr">
        <is>
          <t>Staatskanzlei des Landes Rheinland-Pfalz | Vinzenz Pallotti University gGmbH</t>
        </is>
      </c>
      <c r="AF631" s="5" t="inlineStr">
        <is>
          <t>wissenschaft-demokratie-gesellschaft-staatskanzlei-des-landes-rheinland-pfalz-vinzenz-pallotti-</t>
        </is>
      </c>
    </row>
    <row r="632">
      <c r="A632" s="5" t="inlineStr">
        <is>
          <t>C0631</t>
        </is>
      </c>
      <c r="B632" s="5" t="inlineStr">
        <is>
          <t>x_0631</t>
        </is>
      </c>
      <c r="C632" s="5" t="n">
        <v>0</v>
      </c>
      <c r="D632" s="5" t="inlineStr">
        <is>
          <t>Universität Koblenz</t>
        </is>
      </c>
      <c r="E632" s="5" t="inlineStr">
        <is>
          <t>ZDF – Zweites Deutsches Fernsehen</t>
        </is>
      </c>
      <c r="F632" s="5" t="n">
        <v>92</v>
      </c>
      <c r="G632" s="5" t="n">
        <v>102</v>
      </c>
      <c r="H632" s="5" t="inlineStr">
        <is>
          <t>academic_support</t>
        </is>
      </c>
      <c r="I632" t="inlineStr">
        <is>
          <t>university_research</t>
        </is>
      </c>
      <c r="J632" s="5" t="inlineStr">
        <is>
          <t>context_actor</t>
        </is>
      </c>
      <c r="K632" t="inlineStr">
        <is>
          <t>media_publicity_anchor</t>
        </is>
      </c>
      <c r="L632" s="5" t="inlineStr">
        <is>
          <t>wissen</t>
        </is>
      </c>
      <c r="M632" s="5" t="inlineStr">
        <is>
          <t>wissenschaft_demokratie_gesellschaft</t>
        </is>
      </c>
      <c r="N632" s="5" t="inlineStr">
        <is>
          <t>Wissenschaft, Demokratie und gesellschaftlicher Zusammenhalt</t>
        </is>
      </c>
      <c r="O632" s="5" t="n">
        <v>4</v>
      </c>
      <c r="P632" s="5" t="n">
        <v>5</v>
      </c>
      <c r="Q632" s="5" t="n">
        <v>13</v>
      </c>
      <c r="R632" s="5" t="n">
        <v>4</v>
      </c>
      <c r="S632" s="5" t="n">
        <v>0</v>
      </c>
      <c r="T632" s="5" t="n">
        <v>0</v>
      </c>
      <c r="U632" s="5" t="n">
        <v>2</v>
      </c>
      <c r="V632" s="5" t="n">
        <v>5</v>
      </c>
      <c r="W632" s="5" t="n">
        <v>5</v>
      </c>
      <c r="X632" s="5" t="n">
        <v>0</v>
      </c>
      <c r="Y632" s="5" t="n">
        <v>0</v>
      </c>
      <c r="Z632" s="5" t="n">
        <v>0</v>
      </c>
      <c r="AA632" s="5" t="n">
        <v>0</v>
      </c>
      <c r="AB632" s="5" t="n">
        <v>39.501083</v>
      </c>
      <c r="AC632" s="5" t="inlineStr">
        <is>
          <t>Wie kann wissenschaftliches Wissen in gesellschaftliche Debatten, Demokratiebildung und öffentliche Orientierung wirken?</t>
        </is>
      </c>
      <c r="AD632" s="5" t="inlineStr">
        <is>
          <t>Wissenschaft, Demokratie und gesellschaftlicher Zusammenhalt: Universität Koblenz (academic_support, 4) + ZDF – Zweites Deutsches Fernsehen (context_actor, 5).</t>
        </is>
      </c>
      <c r="AE632" s="5" t="inlineStr">
        <is>
          <t>Universität Koblenz | ZDF – Zweites Deutsches Fernsehen</t>
        </is>
      </c>
      <c r="AF632" s="5" t="inlineStr">
        <is>
          <t>wissenschaft-demokratie-gesellschaft-universität-koblenz-zdf-zweites-deutsches-fernsehen</t>
        </is>
      </c>
    </row>
    <row r="633">
      <c r="A633" s="5" t="inlineStr">
        <is>
          <t>C0632</t>
        </is>
      </c>
      <c r="B633" s="5" t="inlineStr">
        <is>
          <t>x_0632</t>
        </is>
      </c>
      <c r="C633" s="5" t="n">
        <v>0</v>
      </c>
      <c r="D633" s="5" t="inlineStr">
        <is>
          <t>Vinzenz Pallotti University gGmbH</t>
        </is>
      </c>
      <c r="E633" s="5" t="inlineStr">
        <is>
          <t>ZDF – Zweites Deutsches Fernsehen</t>
        </is>
      </c>
      <c r="F633" s="5" t="n">
        <v>97</v>
      </c>
      <c r="G633" s="5" t="n">
        <v>102</v>
      </c>
      <c r="H633" s="5" t="inlineStr">
        <is>
          <t>academic_support</t>
        </is>
      </c>
      <c r="I633" t="inlineStr">
        <is>
          <t>university_research</t>
        </is>
      </c>
      <c r="J633" s="5" t="inlineStr">
        <is>
          <t>context_actor</t>
        </is>
      </c>
      <c r="K633" t="inlineStr">
        <is>
          <t>media_publicity_anchor</t>
        </is>
      </c>
      <c r="L633" s="5" t="inlineStr">
        <is>
          <t>wissen</t>
        </is>
      </c>
      <c r="M633" s="5" t="inlineStr">
        <is>
          <t>wissenschaft_demokratie_gesellschaft</t>
        </is>
      </c>
      <c r="N633" s="5" t="inlineStr">
        <is>
          <t>Wissenschaft, Demokratie und gesellschaftlicher Zusammenhalt</t>
        </is>
      </c>
      <c r="O633" s="5" t="n">
        <v>4</v>
      </c>
      <c r="P633" s="5" t="n">
        <v>5</v>
      </c>
      <c r="Q633" s="5" t="n">
        <v>13</v>
      </c>
      <c r="R633" s="5" t="n">
        <v>4</v>
      </c>
      <c r="S633" s="5" t="n">
        <v>0</v>
      </c>
      <c r="T633" s="5" t="n">
        <v>0</v>
      </c>
      <c r="U633" s="5" t="n">
        <v>2</v>
      </c>
      <c r="V633" s="5" t="n">
        <v>5</v>
      </c>
      <c r="W633" s="5" t="n">
        <v>5</v>
      </c>
      <c r="X633" s="5" t="n">
        <v>0</v>
      </c>
      <c r="Y633" s="5" t="n">
        <v>0</v>
      </c>
      <c r="Z633" s="5" t="n">
        <v>0</v>
      </c>
      <c r="AA633" s="5" t="n">
        <v>0</v>
      </c>
      <c r="AB633" s="5" t="n">
        <v>39.501083</v>
      </c>
      <c r="AC633" s="5" t="inlineStr">
        <is>
          <t>Wie kann wissenschaftliches Wissen in gesellschaftliche Debatten, Demokratiebildung und öffentliche Orientierung wirken?</t>
        </is>
      </c>
      <c r="AD633" s="5" t="inlineStr">
        <is>
          <t>Wissenschaft, Demokratie und gesellschaftlicher Zusammenhalt: Vinzenz Pallotti University gGmbH (academic_support, 4) + ZDF – Zweites Deutsches Fernsehen (context_actor, 5).</t>
        </is>
      </c>
      <c r="AE633" s="5" t="inlineStr">
        <is>
          <t>Vinzenz Pallotti University gGmbH | ZDF – Zweites Deutsches Fernsehen</t>
        </is>
      </c>
      <c r="AF633" s="5" t="inlineStr">
        <is>
          <t>wissenschaft-demokratie-gesellschaft-vinzenz-pallotti-university-ggmbh-zdf-zweites-deutsches-fe</t>
        </is>
      </c>
    </row>
    <row r="634">
      <c r="A634" s="5" t="inlineStr">
        <is>
          <t>C0633</t>
        </is>
      </c>
      <c r="B634" s="5" t="inlineStr">
        <is>
          <t>x_0633</t>
        </is>
      </c>
      <c r="C634" s="5" t="n">
        <v>0</v>
      </c>
      <c r="D634" s="5" t="inlineStr">
        <is>
          <t>Investitions- und Strukturbank Rheinland-Pfalz (ISB)</t>
        </is>
      </c>
      <c r="E634" s="5" t="inlineStr">
        <is>
          <t>Landesbank Baden-Württemberg (LBBW)</t>
        </is>
      </c>
      <c r="F634" s="5" t="n">
        <v>45</v>
      </c>
      <c r="G634" s="5" t="n">
        <v>60</v>
      </c>
      <c r="H634" s="5" t="inlineStr">
        <is>
          <t>context_actor</t>
        </is>
      </c>
      <c r="I634" t="inlineStr">
        <is>
          <t>bank_finance_anchor</t>
        </is>
      </c>
      <c r="J634" s="5" t="inlineStr">
        <is>
          <t>profit_anchor</t>
        </is>
      </c>
      <c r="K634" t="inlineStr">
        <is>
          <t>bank_finance_anchor</t>
        </is>
      </c>
      <c r="L634" s="5" t="inlineStr">
        <is>
          <t>nachhaltigkeit</t>
        </is>
      </c>
      <c r="M634" s="5" t="inlineStr">
        <is>
          <t>energie_versorgungssicherheit</t>
        </is>
      </c>
      <c r="N634" s="5" t="inlineStr">
        <is>
          <t>Energie, Netze und Versorgungssicherheit</t>
        </is>
      </c>
      <c r="O634" s="5" t="n">
        <v>3</v>
      </c>
      <c r="P634" s="5" t="n">
        <v>3</v>
      </c>
      <c r="Q634" s="5" t="n">
        <v>10</v>
      </c>
      <c r="R634" s="5" t="n">
        <v>4</v>
      </c>
      <c r="S634" s="5" t="n">
        <v>0</v>
      </c>
      <c r="T634" s="5" t="n">
        <v>0</v>
      </c>
      <c r="U634" s="5" t="n">
        <v>2</v>
      </c>
      <c r="V634" s="5" t="n">
        <v>6</v>
      </c>
      <c r="W634" s="5" t="n">
        <v>6</v>
      </c>
      <c r="X634" s="5" t="n">
        <v>0</v>
      </c>
      <c r="Y634" s="5" t="n">
        <v>0</v>
      </c>
      <c r="Z634" s="5" t="n">
        <v>0</v>
      </c>
      <c r="AA634" s="5" t="n">
        <v>0</v>
      </c>
      <c r="AB634" s="5" t="n">
        <v>23.376913</v>
      </c>
      <c r="AC634" s="5" t="inlineStr">
        <is>
          <t>Wie bleiben Unternehmen, Kommunen und Infrastrukturträger in Rheinland-Pfalz investitions- und versorgungssicher?</t>
        </is>
      </c>
      <c r="AD634" s="5" t="inlineStr">
        <is>
          <t>Energie, Netze und Versorgungssicherheit: Investitions- und Strukturbank Rheinland-Pfalz (ISB) (context_actor, 3) + Landesbank Baden-Württemberg (LBBW) (profit_anchor, 3).</t>
        </is>
      </c>
      <c r="AE634" s="5" t="inlineStr">
        <is>
          <t>Investitions- und Strukturbank Rheinland-Pfalz (ISB) | Landesbank Baden-Württemberg (LBBW)</t>
        </is>
      </c>
      <c r="AF634" s="5" t="inlineStr">
        <is>
          <t>energie-versorgungssicherheit-investitions-und-strukturbank-rheinland-pfalz-isb-landesbank-bade</t>
        </is>
      </c>
    </row>
    <row r="635">
      <c r="A635" s="5" t="inlineStr">
        <is>
          <t>C0634</t>
        </is>
      </c>
      <c r="B635" s="5" t="inlineStr">
        <is>
          <t>x_0634</t>
        </is>
      </c>
      <c r="C635" s="5" t="n">
        <v>0</v>
      </c>
      <c r="D635" s="5" t="inlineStr">
        <is>
          <t>Investitions- und Strukturbank Rheinland-Pfalz (ISB)</t>
        </is>
      </c>
      <c r="E635" s="5" t="inlineStr">
        <is>
          <t>Michelin Reifenwerke AG &amp; Co. KGaA</t>
        </is>
      </c>
      <c r="F635" s="5" t="n">
        <v>45</v>
      </c>
      <c r="G635" s="5" t="n">
        <v>69</v>
      </c>
      <c r="H635" s="5" t="inlineStr">
        <is>
          <t>context_actor</t>
        </is>
      </c>
      <c r="I635" t="inlineStr">
        <is>
          <t>bank_finance_anchor</t>
        </is>
      </c>
      <c r="J635" s="5" t="inlineStr">
        <is>
          <t>profit_anchor</t>
        </is>
      </c>
      <c r="K635" t="inlineStr">
        <is>
          <t>industry_anchor</t>
        </is>
      </c>
      <c r="L635" s="5" t="inlineStr">
        <is>
          <t>nachhaltigkeit</t>
        </is>
      </c>
      <c r="M635" s="5" t="inlineStr">
        <is>
          <t>energie_versorgungssicherheit</t>
        </is>
      </c>
      <c r="N635" s="5" t="inlineStr">
        <is>
          <t>Energie, Netze und Versorgungssicherheit</t>
        </is>
      </c>
      <c r="O635" s="5" t="n">
        <v>3</v>
      </c>
      <c r="P635" s="5" t="n">
        <v>3</v>
      </c>
      <c r="Q635" s="5" t="n">
        <v>10</v>
      </c>
      <c r="R635" s="5" t="n">
        <v>4</v>
      </c>
      <c r="S635" s="5" t="n">
        <v>0</v>
      </c>
      <c r="T635" s="5" t="n">
        <v>0</v>
      </c>
      <c r="U635" s="5" t="n">
        <v>2</v>
      </c>
      <c r="V635" s="5" t="n">
        <v>6</v>
      </c>
      <c r="W635" s="5" t="n">
        <v>6</v>
      </c>
      <c r="X635" s="5" t="n">
        <v>0</v>
      </c>
      <c r="Y635" s="5" t="n">
        <v>0</v>
      </c>
      <c r="Z635" s="5" t="n">
        <v>0</v>
      </c>
      <c r="AA635" s="5" t="n">
        <v>0</v>
      </c>
      <c r="AB635" s="5" t="n">
        <v>21.145214</v>
      </c>
      <c r="AC635" s="5" t="inlineStr">
        <is>
          <t>Wie bleiben Unternehmen, Kommunen und Infrastrukturträger in Rheinland-Pfalz investitions- und versorgungssicher?</t>
        </is>
      </c>
      <c r="AD635" s="5" t="inlineStr">
        <is>
          <t>Energie, Netze und Versorgungssicherheit: Investitions- und Strukturbank Rheinland-Pfalz (ISB) (context_actor, 3) + Michelin Reifenwerke AG &amp; Co. KGaA (profit_anchor, 3).</t>
        </is>
      </c>
      <c r="AE635" s="5" t="inlineStr">
        <is>
          <t>Investitions- und Strukturbank Rheinland-Pfalz (ISB) | Michelin Reifenwerke AG &amp; Co. KGaA</t>
        </is>
      </c>
      <c r="AF635" s="5" t="inlineStr">
        <is>
          <t>energie-versorgungssicherheit-investitions-und-strukturbank-rheinland-pfalz-isb-michelin-reifen</t>
        </is>
      </c>
    </row>
    <row r="636">
      <c r="A636" s="5" t="inlineStr">
        <is>
          <t>C0635</t>
        </is>
      </c>
      <c r="B636" s="5" t="inlineStr">
        <is>
          <t>x_0635</t>
        </is>
      </c>
      <c r="C636" s="5" t="n">
        <v>0</v>
      </c>
      <c r="D636" s="5" t="inlineStr">
        <is>
          <t>Investitions- und Strukturbank Rheinland-Pfalz (ISB)</t>
        </is>
      </c>
      <c r="E636" s="5" t="inlineStr">
        <is>
          <t>SIMONA AG</t>
        </is>
      </c>
      <c r="F636" s="5" t="n">
        <v>45</v>
      </c>
      <c r="G636" s="5" t="n">
        <v>80</v>
      </c>
      <c r="H636" s="5" t="inlineStr">
        <is>
          <t>context_actor</t>
        </is>
      </c>
      <c r="I636" t="inlineStr">
        <is>
          <t>bank_finance_anchor</t>
        </is>
      </c>
      <c r="J636" s="5" t="inlineStr">
        <is>
          <t>profit_anchor</t>
        </is>
      </c>
      <c r="K636" t="inlineStr">
        <is>
          <t>industry_anchor</t>
        </is>
      </c>
      <c r="L636" s="5" t="inlineStr">
        <is>
          <t>nachhaltigkeit</t>
        </is>
      </c>
      <c r="M636" s="5" t="inlineStr">
        <is>
          <t>energie_versorgungssicherheit</t>
        </is>
      </c>
      <c r="N636" s="5" t="inlineStr">
        <is>
          <t>Energie, Netze und Versorgungssicherheit</t>
        </is>
      </c>
      <c r="O636" s="5" t="n">
        <v>3</v>
      </c>
      <c r="P636" s="5" t="n">
        <v>3</v>
      </c>
      <c r="Q636" s="5" t="n">
        <v>10</v>
      </c>
      <c r="R636" s="5" t="n">
        <v>4</v>
      </c>
      <c r="S636" s="5" t="n">
        <v>0</v>
      </c>
      <c r="T636" s="5" t="n">
        <v>0</v>
      </c>
      <c r="U636" s="5" t="n">
        <v>2</v>
      </c>
      <c r="V636" s="5" t="n">
        <v>6</v>
      </c>
      <c r="W636" s="5" t="n">
        <v>6</v>
      </c>
      <c r="X636" s="5" t="n">
        <v>0</v>
      </c>
      <c r="Y636" s="5" t="n">
        <v>0</v>
      </c>
      <c r="Z636" s="5" t="n">
        <v>0</v>
      </c>
      <c r="AA636" s="5" t="n">
        <v>0</v>
      </c>
      <c r="AB636" s="5" t="n">
        <v>21.145214</v>
      </c>
      <c r="AC636" s="5" t="inlineStr">
        <is>
          <t>Wie bleiben Unternehmen, Kommunen und Infrastrukturträger in Rheinland-Pfalz investitions- und versorgungssicher?</t>
        </is>
      </c>
      <c r="AD636" s="5" t="inlineStr">
        <is>
          <t>Energie, Netze und Versorgungssicherheit: Investitions- und Strukturbank Rheinland-Pfalz (ISB) (context_actor, 3) + SIMONA AG (profit_anchor, 3).</t>
        </is>
      </c>
      <c r="AE636" s="5" t="inlineStr">
        <is>
          <t>Investitions- und Strukturbank Rheinland-Pfalz (ISB) | SIMONA AG</t>
        </is>
      </c>
      <c r="AF636" s="5" t="inlineStr">
        <is>
          <t>energie-versorgungssicherheit-investitions-und-strukturbank-rheinland-pfalz-isb-simona-ag</t>
        </is>
      </c>
    </row>
    <row r="637">
      <c r="A637" s="5" t="inlineStr">
        <is>
          <t>C0636</t>
        </is>
      </c>
      <c r="B637" s="5" t="inlineStr">
        <is>
          <t>x_0636</t>
        </is>
      </c>
      <c r="C637" s="5" t="n">
        <v>0</v>
      </c>
      <c r="D637" s="5" t="inlineStr">
        <is>
          <t>Evangelische Kirche der Pfalz</t>
        </is>
      </c>
      <c r="E637" s="5" t="inlineStr">
        <is>
          <t>Hochschule für Musik Mainz</t>
        </is>
      </c>
      <c r="F637" s="5" t="n">
        <v>28</v>
      </c>
      <c r="G637" s="5" t="n">
        <v>35</v>
      </c>
      <c r="H637" s="5" t="inlineStr">
        <is>
          <t>context_actor</t>
        </is>
      </c>
      <c r="I637" t="inlineStr">
        <is>
          <t>culture_foundation_anchor</t>
        </is>
      </c>
      <c r="J637" s="5" t="inlineStr">
        <is>
          <t>academic_support</t>
        </is>
      </c>
      <c r="K637" t="inlineStr">
        <is>
          <t>university_applied_sciences</t>
        </is>
      </c>
      <c r="L637" s="5" t="inlineStr">
        <is>
          <t>kultur</t>
        </is>
      </c>
      <c r="M637" s="5" t="inlineStr">
        <is>
          <t>musikstipendium_talentfoerderung</t>
        </is>
      </c>
      <c r="N637" s="5" t="inlineStr">
        <is>
          <t>Talentförderung, Musik und Nachwuchs</t>
        </is>
      </c>
      <c r="O637" s="5" t="n">
        <v>3</v>
      </c>
      <c r="P637" s="5" t="n">
        <v>5</v>
      </c>
      <c r="Q637" s="5" t="n">
        <v>12</v>
      </c>
      <c r="R637" s="5" t="n">
        <v>4</v>
      </c>
      <c r="S637" s="5" t="n">
        <v>0</v>
      </c>
      <c r="T637" s="5" t="n">
        <v>0</v>
      </c>
      <c r="U637" s="5" t="n">
        <v>2</v>
      </c>
      <c r="V637" s="5" t="n">
        <v>5</v>
      </c>
      <c r="W637" s="5" t="n">
        <v>5</v>
      </c>
      <c r="X637" s="5" t="n">
        <v>0</v>
      </c>
      <c r="Y637" s="5" t="n">
        <v>0</v>
      </c>
      <c r="Z637" s="5" t="n">
        <v>0</v>
      </c>
      <c r="AA637" s="5" t="n">
        <v>0</v>
      </c>
      <c r="AB637" s="5" t="n">
        <v>35.99861</v>
      </c>
      <c r="AC637" s="5" t="inlineStr">
        <is>
          <t>Wie lassen sich kulturelle Talentförderung, Bildung und regionale Sichtbarkeit verbinden?</t>
        </is>
      </c>
      <c r="AD637" s="5" t="inlineStr">
        <is>
          <t>Talentförderung, Musik und Nachwuchs: Evangelische Kirche der Pfalz (context_actor, 3) + Hochschule für Musik Mainz (academic_support, 5).</t>
        </is>
      </c>
      <c r="AE637" s="5" t="inlineStr">
        <is>
          <t>Evangelische Kirche der Pfalz | Hochschule für Musik Mainz</t>
        </is>
      </c>
      <c r="AF637" s="5" t="inlineStr">
        <is>
          <t>musikstipendium-talentfoerderung-evangelische-kirche-der-pfalz-hochschule-für-musik-mainz</t>
        </is>
      </c>
    </row>
    <row r="638">
      <c r="A638" s="5" t="inlineStr">
        <is>
          <t>C0637</t>
        </is>
      </c>
      <c r="B638" s="5" t="inlineStr">
        <is>
          <t>x_0637</t>
        </is>
      </c>
      <c r="C638" s="5" t="n">
        <v>0</v>
      </c>
      <c r="D638" s="5" t="inlineStr">
        <is>
          <t>Evangelische Kirche der Pfalz</t>
        </is>
      </c>
      <c r="E638" s="5" t="inlineStr">
        <is>
          <t>LOTTO Rheinland-Pfalz GmbH</t>
        </is>
      </c>
      <c r="F638" s="5" t="n">
        <v>28</v>
      </c>
      <c r="G638" s="5" t="n">
        <v>66</v>
      </c>
      <c r="H638" s="5" t="inlineStr">
        <is>
          <t>context_actor</t>
        </is>
      </c>
      <c r="I638" t="inlineStr">
        <is>
          <t>culture_foundation_anchor</t>
        </is>
      </c>
      <c r="J638" s="5" t="inlineStr">
        <is>
          <t>profit_anchor</t>
        </is>
      </c>
      <c r="K638" t="inlineStr">
        <is>
          <t>culture_foundation_anchor</t>
        </is>
      </c>
      <c r="L638" s="5" t="inlineStr">
        <is>
          <t>kultur</t>
        </is>
      </c>
      <c r="M638" s="5" t="inlineStr">
        <is>
          <t>musikstipendium_talentfoerderung</t>
        </is>
      </c>
      <c r="N638" s="5" t="inlineStr">
        <is>
          <t>Talentförderung, Musik und Nachwuchs</t>
        </is>
      </c>
      <c r="O638" s="5" t="n">
        <v>3</v>
      </c>
      <c r="P638" s="5" t="n">
        <v>3</v>
      </c>
      <c r="Q638" s="5" t="n">
        <v>10</v>
      </c>
      <c r="R638" s="5" t="n">
        <v>4</v>
      </c>
      <c r="S638" s="5" t="n">
        <v>0</v>
      </c>
      <c r="T638" s="5" t="n">
        <v>0</v>
      </c>
      <c r="U638" s="5" t="n">
        <v>2</v>
      </c>
      <c r="V638" s="5" t="n">
        <v>6</v>
      </c>
      <c r="W638" s="5" t="n">
        <v>6</v>
      </c>
      <c r="X638" s="5" t="n">
        <v>0</v>
      </c>
      <c r="Y638" s="5" t="n">
        <v>0</v>
      </c>
      <c r="Z638" s="5" t="n">
        <v>0</v>
      </c>
      <c r="AA638" s="5" t="n">
        <v>0</v>
      </c>
      <c r="AB638" s="5" t="n">
        <v>35.708825</v>
      </c>
      <c r="AC638" s="5" t="inlineStr">
        <is>
          <t>Wie lassen sich kulturelle Talentförderung, Bildung und regionale Sichtbarkeit verbinden?</t>
        </is>
      </c>
      <c r="AD638" s="5" t="inlineStr">
        <is>
          <t>Talentförderung, Musik und Nachwuchs: Evangelische Kirche der Pfalz (context_actor, 3) + LOTTO Rheinland-Pfalz GmbH (profit_anchor, 3).</t>
        </is>
      </c>
      <c r="AE638" s="5" t="inlineStr">
        <is>
          <t>Evangelische Kirche der Pfalz | LOTTO Rheinland-Pfalz GmbH</t>
        </is>
      </c>
      <c r="AF638" s="5" t="inlineStr">
        <is>
          <t>musikstipendium-talentfoerderung-evangelische-kirche-der-pfalz-lotto-rheinland-pfalz-gmbh</t>
        </is>
      </c>
    </row>
    <row r="639">
      <c r="A639" s="5" t="inlineStr">
        <is>
          <t>C0638</t>
        </is>
      </c>
      <c r="B639" s="5" t="inlineStr">
        <is>
          <t>x_0638</t>
        </is>
      </c>
      <c r="C639" s="5" t="n">
        <v>0</v>
      </c>
      <c r="D639" s="5" t="inlineStr">
        <is>
          <t>Deutsche Universität für Verwaltungswissenschaften Speyer</t>
        </is>
      </c>
      <c r="E639" s="5" t="inlineStr">
        <is>
          <t>Villa Musica Rheinland-Pfalz</t>
        </is>
      </c>
      <c r="F639" s="5" t="n">
        <v>19</v>
      </c>
      <c r="G639" s="5" t="n">
        <v>96</v>
      </c>
      <c r="H639" s="5" t="inlineStr">
        <is>
          <t>academic_support</t>
        </is>
      </c>
      <c r="I639" t="inlineStr">
        <is>
          <t>university_research</t>
        </is>
      </c>
      <c r="J639" s="5" t="inlineStr">
        <is>
          <t>context_actor</t>
        </is>
      </c>
      <c r="K639" t="inlineStr">
        <is>
          <t>culture_foundation_anchor</t>
        </is>
      </c>
      <c r="L639" s="5" t="inlineStr">
        <is>
          <t>wissen</t>
        </is>
      </c>
      <c r="M639" s="5" t="inlineStr">
        <is>
          <t>wissenschaft_demokratie_gesellschaft</t>
        </is>
      </c>
      <c r="N639" s="5" t="inlineStr">
        <is>
          <t>Wissenschaft, Demokratie und gesellschaftlicher Zusammenhalt</t>
        </is>
      </c>
      <c r="O639" s="5" t="n">
        <v>5</v>
      </c>
      <c r="P639" s="5" t="n">
        <v>3</v>
      </c>
      <c r="Q639" s="5" t="n">
        <v>12</v>
      </c>
      <c r="R639" s="5" t="n">
        <v>4</v>
      </c>
      <c r="S639" s="5" t="n">
        <v>0</v>
      </c>
      <c r="T639" s="5" t="n">
        <v>0</v>
      </c>
      <c r="U639" s="5" t="n">
        <v>2</v>
      </c>
      <c r="V639" s="5" t="n">
        <v>5</v>
      </c>
      <c r="W639" s="5" t="n">
        <v>5</v>
      </c>
      <c r="X639" s="5" t="n">
        <v>0</v>
      </c>
      <c r="Y639" s="5" t="n">
        <v>0</v>
      </c>
      <c r="Z639" s="5" t="n">
        <v>0</v>
      </c>
      <c r="AA639" s="5" t="n">
        <v>0</v>
      </c>
      <c r="AB639" s="5" t="n">
        <v>38.138977</v>
      </c>
      <c r="AC639" s="5" t="inlineStr">
        <is>
          <t>Wie kann wissenschaftliches Wissen in gesellschaftliche Debatten, Demokratiebildung und öffentliche Orientierung wirken?</t>
        </is>
      </c>
      <c r="AD639" s="5" t="inlineStr">
        <is>
          <t>Wissenschaft, Demokratie und gesellschaftlicher Zusammenhalt: Deutsche Universität für Verwaltungswissenschaften Speyer (academic_support, 5) + Villa Musica Rheinland-Pfalz (context_actor, 3).</t>
        </is>
      </c>
      <c r="AE639" s="5" t="inlineStr">
        <is>
          <t>Deutsche Universität für Verwaltungswissenschaften Speyer | Villa Musica Rheinland-Pfalz</t>
        </is>
      </c>
      <c r="AF639" s="5" t="inlineStr">
        <is>
          <t>wissenschaft-demokratie-gesellschaft-deutsche-universität-für-verwaltungswissenschaften-speyer-</t>
        </is>
      </c>
    </row>
    <row r="640">
      <c r="A640" s="5" t="inlineStr">
        <is>
          <t>C0639</t>
        </is>
      </c>
      <c r="B640" s="5" t="inlineStr">
        <is>
          <t>x_0639</t>
        </is>
      </c>
      <c r="C640" s="5" t="n">
        <v>0</v>
      </c>
      <c r="D640" s="5" t="inlineStr">
        <is>
          <t>Evangelische Kirche der Pfalz</t>
        </is>
      </c>
      <c r="E640" s="5" t="inlineStr">
        <is>
          <t>Hochschule für Musik Mainz</t>
        </is>
      </c>
      <c r="F640" s="5" t="n">
        <v>28</v>
      </c>
      <c r="G640" s="5" t="n">
        <v>35</v>
      </c>
      <c r="H640" s="5" t="inlineStr">
        <is>
          <t>context_actor</t>
        </is>
      </c>
      <c r="I640" t="inlineStr">
        <is>
          <t>culture_foundation_anchor</t>
        </is>
      </c>
      <c r="J640" s="5" t="inlineStr">
        <is>
          <t>academic_support</t>
        </is>
      </c>
      <c r="K640" t="inlineStr">
        <is>
          <t>university_applied_sciences</t>
        </is>
      </c>
      <c r="L640" s="5" t="inlineStr">
        <is>
          <t>wissen</t>
        </is>
      </c>
      <c r="M640" s="5" t="inlineStr">
        <is>
          <t>wissenschaft_demokratie_gesellschaft</t>
        </is>
      </c>
      <c r="N640" s="5" t="inlineStr">
        <is>
          <t>Wissenschaft, Demokratie und gesellschaftlicher Zusammenhalt</t>
        </is>
      </c>
      <c r="O640" s="5" t="n">
        <v>5</v>
      </c>
      <c r="P640" s="5" t="n">
        <v>3</v>
      </c>
      <c r="Q640" s="5" t="n">
        <v>12</v>
      </c>
      <c r="R640" s="5" t="n">
        <v>4</v>
      </c>
      <c r="S640" s="5" t="n">
        <v>0</v>
      </c>
      <c r="T640" s="5" t="n">
        <v>0</v>
      </c>
      <c r="U640" s="5" t="n">
        <v>2</v>
      </c>
      <c r="V640" s="5" t="n">
        <v>5</v>
      </c>
      <c r="W640" s="5" t="n">
        <v>5</v>
      </c>
      <c r="X640" s="5" t="n">
        <v>0</v>
      </c>
      <c r="Y640" s="5" t="n">
        <v>0</v>
      </c>
      <c r="Z640" s="5" t="n">
        <v>0</v>
      </c>
      <c r="AA640" s="5" t="n">
        <v>0</v>
      </c>
      <c r="AB640" s="5" t="n">
        <v>35.99861</v>
      </c>
      <c r="AC640" s="5" t="inlineStr">
        <is>
          <t>Wie kann wissenschaftliches Wissen in gesellschaftliche Debatten, Demokratiebildung und öffentliche Orientierung wirken?</t>
        </is>
      </c>
      <c r="AD640" s="5" t="inlineStr">
        <is>
          <t>Wissenschaft, Demokratie und gesellschaftlicher Zusammenhalt: Evangelische Kirche der Pfalz (context_actor, 5) + Hochschule für Musik Mainz (academic_support, 3).</t>
        </is>
      </c>
      <c r="AE640" s="5" t="inlineStr">
        <is>
          <t>Evangelische Kirche der Pfalz | Hochschule für Musik Mainz</t>
        </is>
      </c>
      <c r="AF640" s="5" t="inlineStr">
        <is>
          <t>wissenschaft-demokratie-gesellschaft-evangelische-kirche-der-pfalz-hochschule-für-musik-mainz</t>
        </is>
      </c>
    </row>
    <row r="641">
      <c r="A641" s="5" t="inlineStr">
        <is>
          <t>C0640</t>
        </is>
      </c>
      <c r="B641" s="5" t="inlineStr">
        <is>
          <t>x_0640</t>
        </is>
      </c>
      <c r="C641" s="5" t="n">
        <v>0</v>
      </c>
      <c r="D641" s="5" t="inlineStr">
        <is>
          <t>ENTEGA Plus GmbH</t>
        </is>
      </c>
      <c r="E641" s="5" t="inlineStr">
        <is>
          <t>JUWI GmbH</t>
        </is>
      </c>
      <c r="F641" s="5" t="n">
        <v>24</v>
      </c>
      <c r="G641" s="5" t="n">
        <v>51</v>
      </c>
      <c r="H641" s="5" t="inlineStr">
        <is>
          <t>profit_anchor</t>
        </is>
      </c>
      <c r="I641" t="inlineStr">
        <is>
          <t>energy_infrastructure_anchor</t>
        </is>
      </c>
      <c r="J641" s="5" t="inlineStr">
        <is>
          <t>profit_anchor</t>
        </is>
      </c>
      <c r="K641" t="inlineStr">
        <is>
          <t>energy_infrastructure_anchor</t>
        </is>
      </c>
      <c r="L641" s="5" t="inlineStr">
        <is>
          <t>nachhaltigkeit</t>
        </is>
      </c>
      <c r="M641" s="5" t="inlineStr">
        <is>
          <t>energie_versorgungssicherheit</t>
        </is>
      </c>
      <c r="N641" s="5" t="inlineStr">
        <is>
          <t>Energie, Netze und Versorgungssicherheit</t>
        </is>
      </c>
      <c r="O641" s="5" t="n">
        <v>5</v>
      </c>
      <c r="P641" s="5" t="n">
        <v>5</v>
      </c>
      <c r="Q641" s="5" t="n">
        <v>14</v>
      </c>
      <c r="R641" s="5" t="n">
        <v>2</v>
      </c>
      <c r="S641" s="5" t="n">
        <v>0</v>
      </c>
      <c r="T641" s="5" t="n">
        <v>0</v>
      </c>
      <c r="U641" s="5" t="n">
        <v>1</v>
      </c>
      <c r="V641" s="5" t="n">
        <v>4</v>
      </c>
      <c r="W641" s="5" t="n">
        <v>4</v>
      </c>
      <c r="X641" s="5" t="n">
        <v>0</v>
      </c>
      <c r="Y641" s="5" t="n">
        <v>0</v>
      </c>
      <c r="Z641" s="5" t="n">
        <v>0</v>
      </c>
      <c r="AA641" s="5" t="n">
        <v>0</v>
      </c>
      <c r="AB641" s="5" t="n">
        <v>15.327381</v>
      </c>
      <c r="AC641" s="5" t="inlineStr">
        <is>
          <t>Wie bleiben Unternehmen, Kommunen und Infrastrukturträger in Rheinland-Pfalz investitions- und versorgungssicher?</t>
        </is>
      </c>
      <c r="AD641" s="5" t="inlineStr">
        <is>
          <t>Energie, Netze und Versorgungssicherheit: ENTEGA Plus GmbH (profit_anchor, 5) + JUWI GmbH (profit_anchor, 5).</t>
        </is>
      </c>
      <c r="AE641" s="5" t="inlineStr">
        <is>
          <t>ENTEGA Plus GmbH | JUWI GmbH</t>
        </is>
      </c>
      <c r="AF641" s="5" t="inlineStr">
        <is>
          <t>energie-versorgungssicherheit-entega-plus-gmbh-juwi-gmbh</t>
        </is>
      </c>
    </row>
    <row r="642">
      <c r="A642" s="5" t="inlineStr">
        <is>
          <t>C0641</t>
        </is>
      </c>
      <c r="B642" s="5" t="inlineStr">
        <is>
          <t>x_0641</t>
        </is>
      </c>
      <c r="C642" s="5" t="n">
        <v>0</v>
      </c>
      <c r="D642" s="5" t="inlineStr">
        <is>
          <t>ENTEGA Plus GmbH</t>
        </is>
      </c>
      <c r="E642" s="5" t="inlineStr">
        <is>
          <t>Mainzer Stadtwerke AG</t>
        </is>
      </c>
      <c r="F642" s="5" t="n">
        <v>24</v>
      </c>
      <c r="G642" s="5" t="n">
        <v>68</v>
      </c>
      <c r="H642" s="5" t="inlineStr">
        <is>
          <t>profit_anchor</t>
        </is>
      </c>
      <c r="I642" t="inlineStr">
        <is>
          <t>energy_infrastructure_anchor</t>
        </is>
      </c>
      <c r="J642" s="5" t="inlineStr">
        <is>
          <t>profit_anchor</t>
        </is>
      </c>
      <c r="K642" t="inlineStr">
        <is>
          <t>energy_infrastructure_anchor</t>
        </is>
      </c>
      <c r="L642" s="5" t="inlineStr">
        <is>
          <t>nachhaltigkeit</t>
        </is>
      </c>
      <c r="M642" s="5" t="inlineStr">
        <is>
          <t>energie_versorgungssicherheit</t>
        </is>
      </c>
      <c r="N642" s="5" t="inlineStr">
        <is>
          <t>Energie, Netze und Versorgungssicherheit</t>
        </is>
      </c>
      <c r="O642" s="5" t="n">
        <v>5</v>
      </c>
      <c r="P642" s="5" t="n">
        <v>5</v>
      </c>
      <c r="Q642" s="5" t="n">
        <v>14</v>
      </c>
      <c r="R642" s="5" t="n">
        <v>2</v>
      </c>
      <c r="S642" s="5" t="n">
        <v>0</v>
      </c>
      <c r="T642" s="5" t="n">
        <v>0</v>
      </c>
      <c r="U642" s="5" t="n">
        <v>1</v>
      </c>
      <c r="V642" s="5" t="n">
        <v>4</v>
      </c>
      <c r="W642" s="5" t="n">
        <v>4</v>
      </c>
      <c r="X642" s="5" t="n">
        <v>0</v>
      </c>
      <c r="Y642" s="5" t="n">
        <v>0</v>
      </c>
      <c r="Z642" s="5" t="n">
        <v>0</v>
      </c>
      <c r="AA642" s="5" t="n">
        <v>0</v>
      </c>
      <c r="AB642" s="5" t="n">
        <v>15.327381</v>
      </c>
      <c r="AC642" s="5" t="inlineStr">
        <is>
          <t>Wie bleiben Unternehmen, Kommunen und Infrastrukturträger in Rheinland-Pfalz investitions- und versorgungssicher?</t>
        </is>
      </c>
      <c r="AD642" s="5" t="inlineStr">
        <is>
          <t>Energie, Netze und Versorgungssicherheit: ENTEGA Plus GmbH (profit_anchor, 5) + Mainzer Stadtwerke AG (profit_anchor, 5).</t>
        </is>
      </c>
      <c r="AE642" s="5" t="inlineStr">
        <is>
          <t>ENTEGA Plus GmbH | Mainzer Stadtwerke AG</t>
        </is>
      </c>
      <c r="AF642" s="5" t="inlineStr">
        <is>
          <t>energie-versorgungssicherheit-entega-plus-gmbh-mainzer-stadtwerke-ag</t>
        </is>
      </c>
    </row>
    <row r="643">
      <c r="A643" s="5" t="inlineStr">
        <is>
          <t>C0642</t>
        </is>
      </c>
      <c r="B643" s="5" t="inlineStr">
        <is>
          <t>x_0642</t>
        </is>
      </c>
      <c r="C643" s="5" t="n">
        <v>0</v>
      </c>
      <c r="D643" s="5" t="inlineStr">
        <is>
          <t>ENTEGA Plus GmbH</t>
        </is>
      </c>
      <c r="E643" s="5" t="inlineStr">
        <is>
          <t>Pfalzwerke AG</t>
        </is>
      </c>
      <c r="F643" s="5" t="n">
        <v>24</v>
      </c>
      <c r="G643" s="5" t="n">
        <v>72</v>
      </c>
      <c r="H643" s="5" t="inlineStr">
        <is>
          <t>profit_anchor</t>
        </is>
      </c>
      <c r="I643" t="inlineStr">
        <is>
          <t>energy_infrastructure_anchor</t>
        </is>
      </c>
      <c r="J643" s="5" t="inlineStr">
        <is>
          <t>profit_anchor</t>
        </is>
      </c>
      <c r="K643" t="inlineStr">
        <is>
          <t>energy_infrastructure_anchor</t>
        </is>
      </c>
      <c r="L643" s="5" t="inlineStr">
        <is>
          <t>nachhaltigkeit</t>
        </is>
      </c>
      <c r="M643" s="5" t="inlineStr">
        <is>
          <t>energie_versorgungssicherheit</t>
        </is>
      </c>
      <c r="N643" s="5" t="inlineStr">
        <is>
          <t>Energie, Netze und Versorgungssicherheit</t>
        </is>
      </c>
      <c r="O643" s="5" t="n">
        <v>5</v>
      </c>
      <c r="P643" s="5" t="n">
        <v>5</v>
      </c>
      <c r="Q643" s="5" t="n">
        <v>14</v>
      </c>
      <c r="R643" s="5" t="n">
        <v>2</v>
      </c>
      <c r="S643" s="5" t="n">
        <v>0</v>
      </c>
      <c r="T643" s="5" t="n">
        <v>0</v>
      </c>
      <c r="U643" s="5" t="n">
        <v>1</v>
      </c>
      <c r="V643" s="5" t="n">
        <v>4</v>
      </c>
      <c r="W643" s="5" t="n">
        <v>4</v>
      </c>
      <c r="X643" s="5" t="n">
        <v>0</v>
      </c>
      <c r="Y643" s="5" t="n">
        <v>0</v>
      </c>
      <c r="Z643" s="5" t="n">
        <v>0</v>
      </c>
      <c r="AA643" s="5" t="n">
        <v>0</v>
      </c>
      <c r="AB643" s="5" t="n">
        <v>15.327381</v>
      </c>
      <c r="AC643" s="5" t="inlineStr">
        <is>
          <t>Wie bleiben Unternehmen, Kommunen und Infrastrukturträger in Rheinland-Pfalz investitions- und versorgungssicher?</t>
        </is>
      </c>
      <c r="AD643" s="5" t="inlineStr">
        <is>
          <t>Energie, Netze und Versorgungssicherheit: ENTEGA Plus GmbH (profit_anchor, 5) + Pfalzwerke AG (profit_anchor, 5).</t>
        </is>
      </c>
      <c r="AE643" s="5" t="inlineStr">
        <is>
          <t>ENTEGA Plus GmbH | Pfalzwerke AG</t>
        </is>
      </c>
      <c r="AF643" s="5" t="inlineStr">
        <is>
          <t>energie-versorgungssicherheit-entega-plus-gmbh-pfalzwerke-ag</t>
        </is>
      </c>
    </row>
    <row r="644">
      <c r="A644" s="5" t="inlineStr">
        <is>
          <t>C0643</t>
        </is>
      </c>
      <c r="B644" s="5" t="inlineStr">
        <is>
          <t>x_0643</t>
        </is>
      </c>
      <c r="C644" s="5" t="n">
        <v>0</v>
      </c>
      <c r="D644" s="5" t="inlineStr">
        <is>
          <t>ENTEGA Plus GmbH</t>
        </is>
      </c>
      <c r="E644" s="5" t="inlineStr">
        <is>
          <t>Westenergie AG</t>
        </is>
      </c>
      <c r="F644" s="5" t="n">
        <v>24</v>
      </c>
      <c r="G644" s="5" t="n">
        <v>98</v>
      </c>
      <c r="H644" s="5" t="inlineStr">
        <is>
          <t>profit_anchor</t>
        </is>
      </c>
      <c r="I644" t="inlineStr">
        <is>
          <t>energy_infrastructure_anchor</t>
        </is>
      </c>
      <c r="J644" s="5" t="inlineStr">
        <is>
          <t>profit_anchor</t>
        </is>
      </c>
      <c r="K644" t="inlineStr">
        <is>
          <t>energy_infrastructure_anchor</t>
        </is>
      </c>
      <c r="L644" s="5" t="inlineStr">
        <is>
          <t>nachhaltigkeit</t>
        </is>
      </c>
      <c r="M644" s="5" t="inlineStr">
        <is>
          <t>energie_versorgungssicherheit</t>
        </is>
      </c>
      <c r="N644" s="5" t="inlineStr">
        <is>
          <t>Energie, Netze und Versorgungssicherheit</t>
        </is>
      </c>
      <c r="O644" s="5" t="n">
        <v>5</v>
      </c>
      <c r="P644" s="5" t="n">
        <v>5</v>
      </c>
      <c r="Q644" s="5" t="n">
        <v>14</v>
      </c>
      <c r="R644" s="5" t="n">
        <v>2</v>
      </c>
      <c r="S644" s="5" t="n">
        <v>0</v>
      </c>
      <c r="T644" s="5" t="n">
        <v>0</v>
      </c>
      <c r="U644" s="5" t="n">
        <v>1</v>
      </c>
      <c r="V644" s="5" t="n">
        <v>4</v>
      </c>
      <c r="W644" s="5" t="n">
        <v>4</v>
      </c>
      <c r="X644" s="5" t="n">
        <v>0</v>
      </c>
      <c r="Y644" s="5" t="n">
        <v>0</v>
      </c>
      <c r="Z644" s="5" t="n">
        <v>0</v>
      </c>
      <c r="AA644" s="5" t="n">
        <v>0</v>
      </c>
      <c r="AB644" s="5" t="n">
        <v>15.327381</v>
      </c>
      <c r="AC644" s="5" t="inlineStr">
        <is>
          <t>Wie bleiben Unternehmen, Kommunen und Infrastrukturträger in Rheinland-Pfalz investitions- und versorgungssicher?</t>
        </is>
      </c>
      <c r="AD644" s="5" t="inlineStr">
        <is>
          <t>Energie, Netze und Versorgungssicherheit: ENTEGA Plus GmbH (profit_anchor, 5) + Westenergie AG (profit_anchor, 5).</t>
        </is>
      </c>
      <c r="AE644" s="5" t="inlineStr">
        <is>
          <t>ENTEGA Plus GmbH | Westenergie AG</t>
        </is>
      </c>
      <c r="AF644" s="5" t="inlineStr">
        <is>
          <t>energie-versorgungssicherheit-entega-plus-gmbh-westenergie-ag</t>
        </is>
      </c>
    </row>
    <row r="645">
      <c r="A645" s="5" t="inlineStr">
        <is>
          <t>C0644</t>
        </is>
      </c>
      <c r="B645" s="5" t="inlineStr">
        <is>
          <t>x_0644</t>
        </is>
      </c>
      <c r="C645" s="5" t="n">
        <v>0</v>
      </c>
      <c r="D645" s="5" t="inlineStr">
        <is>
          <t>JUWI GmbH</t>
        </is>
      </c>
      <c r="E645" s="5" t="inlineStr">
        <is>
          <t>Mainzer Stadtwerke AG</t>
        </is>
      </c>
      <c r="F645" s="5" t="n">
        <v>51</v>
      </c>
      <c r="G645" s="5" t="n">
        <v>68</v>
      </c>
      <c r="H645" s="5" t="inlineStr">
        <is>
          <t>profit_anchor</t>
        </is>
      </c>
      <c r="I645" t="inlineStr">
        <is>
          <t>energy_infrastructure_anchor</t>
        </is>
      </c>
      <c r="J645" s="5" t="inlineStr">
        <is>
          <t>profit_anchor</t>
        </is>
      </c>
      <c r="K645" t="inlineStr">
        <is>
          <t>energy_infrastructure_anchor</t>
        </is>
      </c>
      <c r="L645" s="5" t="inlineStr">
        <is>
          <t>nachhaltigkeit</t>
        </is>
      </c>
      <c r="M645" s="5" t="inlineStr">
        <is>
          <t>energie_versorgungssicherheit</t>
        </is>
      </c>
      <c r="N645" s="5" t="inlineStr">
        <is>
          <t>Energie, Netze und Versorgungssicherheit</t>
        </is>
      </c>
      <c r="O645" s="5" t="n">
        <v>5</v>
      </c>
      <c r="P645" s="5" t="n">
        <v>5</v>
      </c>
      <c r="Q645" s="5" t="n">
        <v>14</v>
      </c>
      <c r="R645" s="5" t="n">
        <v>2</v>
      </c>
      <c r="S645" s="5" t="n">
        <v>0</v>
      </c>
      <c r="T645" s="5" t="n">
        <v>0</v>
      </c>
      <c r="U645" s="5" t="n">
        <v>1</v>
      </c>
      <c r="V645" s="5" t="n">
        <v>4</v>
      </c>
      <c r="W645" s="5" t="n">
        <v>4</v>
      </c>
      <c r="X645" s="5" t="n">
        <v>0</v>
      </c>
      <c r="Y645" s="5" t="n">
        <v>0</v>
      </c>
      <c r="Z645" s="5" t="n">
        <v>0</v>
      </c>
      <c r="AA645" s="5" t="n">
        <v>0</v>
      </c>
      <c r="AB645" s="5" t="n">
        <v>15.327381</v>
      </c>
      <c r="AC645" s="5" t="inlineStr">
        <is>
          <t>Wie bleiben Unternehmen, Kommunen und Infrastrukturträger in Rheinland-Pfalz investitions- und versorgungssicher?</t>
        </is>
      </c>
      <c r="AD645" s="5" t="inlineStr">
        <is>
          <t>Energie, Netze und Versorgungssicherheit: JUWI GmbH (profit_anchor, 5) + Mainzer Stadtwerke AG (profit_anchor, 5).</t>
        </is>
      </c>
      <c r="AE645" s="5" t="inlineStr">
        <is>
          <t>JUWI GmbH | Mainzer Stadtwerke AG</t>
        </is>
      </c>
      <c r="AF645" s="5" t="inlineStr">
        <is>
          <t>energie-versorgungssicherheit-juwi-gmbh-mainzer-stadtwerke-ag</t>
        </is>
      </c>
    </row>
    <row r="646">
      <c r="A646" s="5" t="inlineStr">
        <is>
          <t>C0645</t>
        </is>
      </c>
      <c r="B646" s="5" t="inlineStr">
        <is>
          <t>x_0645</t>
        </is>
      </c>
      <c r="C646" s="5" t="n">
        <v>0</v>
      </c>
      <c r="D646" s="5" t="inlineStr">
        <is>
          <t>JUWI GmbH</t>
        </is>
      </c>
      <c r="E646" s="5" t="inlineStr">
        <is>
          <t>Pfalzwerke AG</t>
        </is>
      </c>
      <c r="F646" s="5" t="n">
        <v>51</v>
      </c>
      <c r="G646" s="5" t="n">
        <v>72</v>
      </c>
      <c r="H646" s="5" t="inlineStr">
        <is>
          <t>profit_anchor</t>
        </is>
      </c>
      <c r="I646" t="inlineStr">
        <is>
          <t>energy_infrastructure_anchor</t>
        </is>
      </c>
      <c r="J646" s="5" t="inlineStr">
        <is>
          <t>profit_anchor</t>
        </is>
      </c>
      <c r="K646" t="inlineStr">
        <is>
          <t>energy_infrastructure_anchor</t>
        </is>
      </c>
      <c r="L646" s="5" t="inlineStr">
        <is>
          <t>nachhaltigkeit</t>
        </is>
      </c>
      <c r="M646" s="5" t="inlineStr">
        <is>
          <t>energie_versorgungssicherheit</t>
        </is>
      </c>
      <c r="N646" s="5" t="inlineStr">
        <is>
          <t>Energie, Netze und Versorgungssicherheit</t>
        </is>
      </c>
      <c r="O646" s="5" t="n">
        <v>5</v>
      </c>
      <c r="P646" s="5" t="n">
        <v>5</v>
      </c>
      <c r="Q646" s="5" t="n">
        <v>14</v>
      </c>
      <c r="R646" s="5" t="n">
        <v>2</v>
      </c>
      <c r="S646" s="5" t="n">
        <v>0</v>
      </c>
      <c r="T646" s="5" t="n">
        <v>0</v>
      </c>
      <c r="U646" s="5" t="n">
        <v>1</v>
      </c>
      <c r="V646" s="5" t="n">
        <v>4</v>
      </c>
      <c r="W646" s="5" t="n">
        <v>4</v>
      </c>
      <c r="X646" s="5" t="n">
        <v>0</v>
      </c>
      <c r="Y646" s="5" t="n">
        <v>0</v>
      </c>
      <c r="Z646" s="5" t="n">
        <v>0</v>
      </c>
      <c r="AA646" s="5" t="n">
        <v>0</v>
      </c>
      <c r="AB646" s="5" t="n">
        <v>15.327381</v>
      </c>
      <c r="AC646" s="5" t="inlineStr">
        <is>
          <t>Wie bleiben Unternehmen, Kommunen und Infrastrukturträger in Rheinland-Pfalz investitions- und versorgungssicher?</t>
        </is>
      </c>
      <c r="AD646" s="5" t="inlineStr">
        <is>
          <t>Energie, Netze und Versorgungssicherheit: JUWI GmbH (profit_anchor, 5) + Pfalzwerke AG (profit_anchor, 5).</t>
        </is>
      </c>
      <c r="AE646" s="5" t="inlineStr">
        <is>
          <t>JUWI GmbH | Pfalzwerke AG</t>
        </is>
      </c>
      <c r="AF646" s="5" t="inlineStr">
        <is>
          <t>energie-versorgungssicherheit-juwi-gmbh-pfalzwerke-ag</t>
        </is>
      </c>
    </row>
    <row r="647">
      <c r="A647" s="5" t="inlineStr">
        <is>
          <t>C0646</t>
        </is>
      </c>
      <c r="B647" s="5" t="inlineStr">
        <is>
          <t>x_0646</t>
        </is>
      </c>
      <c r="C647" s="5" t="n">
        <v>0</v>
      </c>
      <c r="D647" s="5" t="inlineStr">
        <is>
          <t>JUWI GmbH</t>
        </is>
      </c>
      <c r="E647" s="5" t="inlineStr">
        <is>
          <t>Westenergie AG</t>
        </is>
      </c>
      <c r="F647" s="5" t="n">
        <v>51</v>
      </c>
      <c r="G647" s="5" t="n">
        <v>98</v>
      </c>
      <c r="H647" s="5" t="inlineStr">
        <is>
          <t>profit_anchor</t>
        </is>
      </c>
      <c r="I647" t="inlineStr">
        <is>
          <t>energy_infrastructure_anchor</t>
        </is>
      </c>
      <c r="J647" s="5" t="inlineStr">
        <is>
          <t>profit_anchor</t>
        </is>
      </c>
      <c r="K647" t="inlineStr">
        <is>
          <t>energy_infrastructure_anchor</t>
        </is>
      </c>
      <c r="L647" s="5" t="inlineStr">
        <is>
          <t>nachhaltigkeit</t>
        </is>
      </c>
      <c r="M647" s="5" t="inlineStr">
        <is>
          <t>energie_versorgungssicherheit</t>
        </is>
      </c>
      <c r="N647" s="5" t="inlineStr">
        <is>
          <t>Energie, Netze und Versorgungssicherheit</t>
        </is>
      </c>
      <c r="O647" s="5" t="n">
        <v>5</v>
      </c>
      <c r="P647" s="5" t="n">
        <v>5</v>
      </c>
      <c r="Q647" s="5" t="n">
        <v>14</v>
      </c>
      <c r="R647" s="5" t="n">
        <v>2</v>
      </c>
      <c r="S647" s="5" t="n">
        <v>0</v>
      </c>
      <c r="T647" s="5" t="n">
        <v>0</v>
      </c>
      <c r="U647" s="5" t="n">
        <v>1</v>
      </c>
      <c r="V647" s="5" t="n">
        <v>4</v>
      </c>
      <c r="W647" s="5" t="n">
        <v>4</v>
      </c>
      <c r="X647" s="5" t="n">
        <v>0</v>
      </c>
      <c r="Y647" s="5" t="n">
        <v>0</v>
      </c>
      <c r="Z647" s="5" t="n">
        <v>0</v>
      </c>
      <c r="AA647" s="5" t="n">
        <v>0</v>
      </c>
      <c r="AB647" s="5" t="n">
        <v>15.327381</v>
      </c>
      <c r="AC647" s="5" t="inlineStr">
        <is>
          <t>Wie bleiben Unternehmen, Kommunen und Infrastrukturträger in Rheinland-Pfalz investitions- und versorgungssicher?</t>
        </is>
      </c>
      <c r="AD647" s="5" t="inlineStr">
        <is>
          <t>Energie, Netze und Versorgungssicherheit: JUWI GmbH (profit_anchor, 5) + Westenergie AG (profit_anchor, 5).</t>
        </is>
      </c>
      <c r="AE647" s="5" t="inlineStr">
        <is>
          <t>JUWI GmbH | Westenergie AG</t>
        </is>
      </c>
      <c r="AF647" s="5" t="inlineStr">
        <is>
          <t>energie-versorgungssicherheit-juwi-gmbh-westenergie-ag</t>
        </is>
      </c>
    </row>
    <row r="648">
      <c r="A648" s="5" t="inlineStr">
        <is>
          <t>C0647</t>
        </is>
      </c>
      <c r="B648" s="5" t="inlineStr">
        <is>
          <t>x_0647</t>
        </is>
      </c>
      <c r="C648" s="5" t="n">
        <v>0</v>
      </c>
      <c r="D648" s="5" t="inlineStr">
        <is>
          <t>Mainzer Stadtwerke AG</t>
        </is>
      </c>
      <c r="E648" s="5" t="inlineStr">
        <is>
          <t>Pfalzwerke AG</t>
        </is>
      </c>
      <c r="F648" s="5" t="n">
        <v>68</v>
      </c>
      <c r="G648" s="5" t="n">
        <v>72</v>
      </c>
      <c r="H648" s="5" t="inlineStr">
        <is>
          <t>profit_anchor</t>
        </is>
      </c>
      <c r="I648" t="inlineStr">
        <is>
          <t>energy_infrastructure_anchor</t>
        </is>
      </c>
      <c r="J648" s="5" t="inlineStr">
        <is>
          <t>profit_anchor</t>
        </is>
      </c>
      <c r="K648" t="inlineStr">
        <is>
          <t>energy_infrastructure_anchor</t>
        </is>
      </c>
      <c r="L648" s="5" t="inlineStr">
        <is>
          <t>nachhaltigkeit</t>
        </is>
      </c>
      <c r="M648" s="5" t="inlineStr">
        <is>
          <t>energie_versorgungssicherheit</t>
        </is>
      </c>
      <c r="N648" s="5" t="inlineStr">
        <is>
          <t>Energie, Netze und Versorgungssicherheit</t>
        </is>
      </c>
      <c r="O648" s="5" t="n">
        <v>5</v>
      </c>
      <c r="P648" s="5" t="n">
        <v>5</v>
      </c>
      <c r="Q648" s="5" t="n">
        <v>14</v>
      </c>
      <c r="R648" s="5" t="n">
        <v>2</v>
      </c>
      <c r="S648" s="5" t="n">
        <v>0</v>
      </c>
      <c r="T648" s="5" t="n">
        <v>0</v>
      </c>
      <c r="U648" s="5" t="n">
        <v>1</v>
      </c>
      <c r="V648" s="5" t="n">
        <v>4</v>
      </c>
      <c r="W648" s="5" t="n">
        <v>4</v>
      </c>
      <c r="X648" s="5" t="n">
        <v>0</v>
      </c>
      <c r="Y648" s="5" t="n">
        <v>0</v>
      </c>
      <c r="Z648" s="5" t="n">
        <v>0</v>
      </c>
      <c r="AA648" s="5" t="n">
        <v>0</v>
      </c>
      <c r="AB648" s="5" t="n">
        <v>15.327381</v>
      </c>
      <c r="AC648" s="5" t="inlineStr">
        <is>
          <t>Wie bleiben Unternehmen, Kommunen und Infrastrukturträger in Rheinland-Pfalz investitions- und versorgungssicher?</t>
        </is>
      </c>
      <c r="AD648" s="5" t="inlineStr">
        <is>
          <t>Energie, Netze und Versorgungssicherheit: Mainzer Stadtwerke AG (profit_anchor, 5) + Pfalzwerke AG (profit_anchor, 5).</t>
        </is>
      </c>
      <c r="AE648" s="5" t="inlineStr">
        <is>
          <t>Mainzer Stadtwerke AG | Pfalzwerke AG</t>
        </is>
      </c>
      <c r="AF648" s="5" t="inlineStr">
        <is>
          <t>energie-versorgungssicherheit-mainzer-stadtwerke-ag-pfalzwerke-ag</t>
        </is>
      </c>
    </row>
    <row r="649">
      <c r="A649" s="5" t="inlineStr">
        <is>
          <t>C0648</t>
        </is>
      </c>
      <c r="B649" s="5" t="inlineStr">
        <is>
          <t>x_0648</t>
        </is>
      </c>
      <c r="C649" s="5" t="n">
        <v>0</v>
      </c>
      <c r="D649" s="5" t="inlineStr">
        <is>
          <t>Mainzer Stadtwerke AG</t>
        </is>
      </c>
      <c r="E649" s="5" t="inlineStr">
        <is>
          <t>Westenergie AG</t>
        </is>
      </c>
      <c r="F649" s="5" t="n">
        <v>68</v>
      </c>
      <c r="G649" s="5" t="n">
        <v>98</v>
      </c>
      <c r="H649" s="5" t="inlineStr">
        <is>
          <t>profit_anchor</t>
        </is>
      </c>
      <c r="I649" t="inlineStr">
        <is>
          <t>energy_infrastructure_anchor</t>
        </is>
      </c>
      <c r="J649" s="5" t="inlineStr">
        <is>
          <t>profit_anchor</t>
        </is>
      </c>
      <c r="K649" t="inlineStr">
        <is>
          <t>energy_infrastructure_anchor</t>
        </is>
      </c>
      <c r="L649" s="5" t="inlineStr">
        <is>
          <t>nachhaltigkeit</t>
        </is>
      </c>
      <c r="M649" s="5" t="inlineStr">
        <is>
          <t>energie_versorgungssicherheit</t>
        </is>
      </c>
      <c r="N649" s="5" t="inlineStr">
        <is>
          <t>Energie, Netze und Versorgungssicherheit</t>
        </is>
      </c>
      <c r="O649" s="5" t="n">
        <v>5</v>
      </c>
      <c r="P649" s="5" t="n">
        <v>5</v>
      </c>
      <c r="Q649" s="5" t="n">
        <v>14</v>
      </c>
      <c r="R649" s="5" t="n">
        <v>2</v>
      </c>
      <c r="S649" s="5" t="n">
        <v>0</v>
      </c>
      <c r="T649" s="5" t="n">
        <v>0</v>
      </c>
      <c r="U649" s="5" t="n">
        <v>1</v>
      </c>
      <c r="V649" s="5" t="n">
        <v>4</v>
      </c>
      <c r="W649" s="5" t="n">
        <v>4</v>
      </c>
      <c r="X649" s="5" t="n">
        <v>0</v>
      </c>
      <c r="Y649" s="5" t="n">
        <v>0</v>
      </c>
      <c r="Z649" s="5" t="n">
        <v>0</v>
      </c>
      <c r="AA649" s="5" t="n">
        <v>0</v>
      </c>
      <c r="AB649" s="5" t="n">
        <v>15.327381</v>
      </c>
      <c r="AC649" s="5" t="inlineStr">
        <is>
          <t>Wie bleiben Unternehmen, Kommunen und Infrastrukturträger in Rheinland-Pfalz investitions- und versorgungssicher?</t>
        </is>
      </c>
      <c r="AD649" s="5" t="inlineStr">
        <is>
          <t>Energie, Netze und Versorgungssicherheit: Mainzer Stadtwerke AG (profit_anchor, 5) + Westenergie AG (profit_anchor, 5).</t>
        </is>
      </c>
      <c r="AE649" s="5" t="inlineStr">
        <is>
          <t>Mainzer Stadtwerke AG | Westenergie AG</t>
        </is>
      </c>
      <c r="AF649" s="5" t="inlineStr">
        <is>
          <t>energie-versorgungssicherheit-mainzer-stadtwerke-ag-westenergie-ag</t>
        </is>
      </c>
    </row>
    <row r="650">
      <c r="A650" s="5" t="inlineStr">
        <is>
          <t>C0649</t>
        </is>
      </c>
      <c r="B650" s="5" t="inlineStr">
        <is>
          <t>x_0649</t>
        </is>
      </c>
      <c r="C650" s="5" t="n">
        <v>0</v>
      </c>
      <c r="D650" s="5" t="inlineStr">
        <is>
          <t>Pfalzwerke AG</t>
        </is>
      </c>
      <c r="E650" s="5" t="inlineStr">
        <is>
          <t>Westenergie AG</t>
        </is>
      </c>
      <c r="F650" s="5" t="n">
        <v>72</v>
      </c>
      <c r="G650" s="5" t="n">
        <v>98</v>
      </c>
      <c r="H650" s="5" t="inlineStr">
        <is>
          <t>profit_anchor</t>
        </is>
      </c>
      <c r="I650" t="inlineStr">
        <is>
          <t>energy_infrastructure_anchor</t>
        </is>
      </c>
      <c r="J650" s="5" t="inlineStr">
        <is>
          <t>profit_anchor</t>
        </is>
      </c>
      <c r="K650" t="inlineStr">
        <is>
          <t>energy_infrastructure_anchor</t>
        </is>
      </c>
      <c r="L650" s="5" t="inlineStr">
        <is>
          <t>nachhaltigkeit</t>
        </is>
      </c>
      <c r="M650" s="5" t="inlineStr">
        <is>
          <t>energie_versorgungssicherheit</t>
        </is>
      </c>
      <c r="N650" s="5" t="inlineStr">
        <is>
          <t>Energie, Netze und Versorgungssicherheit</t>
        </is>
      </c>
      <c r="O650" s="5" t="n">
        <v>5</v>
      </c>
      <c r="P650" s="5" t="n">
        <v>5</v>
      </c>
      <c r="Q650" s="5" t="n">
        <v>14</v>
      </c>
      <c r="R650" s="5" t="n">
        <v>2</v>
      </c>
      <c r="S650" s="5" t="n">
        <v>0</v>
      </c>
      <c r="T650" s="5" t="n">
        <v>0</v>
      </c>
      <c r="U650" s="5" t="n">
        <v>1</v>
      </c>
      <c r="V650" s="5" t="n">
        <v>4</v>
      </c>
      <c r="W650" s="5" t="n">
        <v>4</v>
      </c>
      <c r="X650" s="5" t="n">
        <v>0</v>
      </c>
      <c r="Y650" s="5" t="n">
        <v>0</v>
      </c>
      <c r="Z650" s="5" t="n">
        <v>0</v>
      </c>
      <c r="AA650" s="5" t="n">
        <v>0</v>
      </c>
      <c r="AB650" s="5" t="n">
        <v>15.327381</v>
      </c>
      <c r="AC650" s="5" t="inlineStr">
        <is>
          <t>Wie bleiben Unternehmen, Kommunen und Infrastrukturträger in Rheinland-Pfalz investitions- und versorgungssicher?</t>
        </is>
      </c>
      <c r="AD650" s="5" t="inlineStr">
        <is>
          <t>Energie, Netze und Versorgungssicherheit: Pfalzwerke AG (profit_anchor, 5) + Westenergie AG (profit_anchor, 5).</t>
        </is>
      </c>
      <c r="AE650" s="5" t="inlineStr">
        <is>
          <t>Pfalzwerke AG | Westenergie AG</t>
        </is>
      </c>
      <c r="AF650" s="5" t="inlineStr">
        <is>
          <t>energie-versorgungssicherheit-pfalzwerke-ag-westenergie-ag</t>
        </is>
      </c>
    </row>
    <row r="651">
      <c r="A651" s="5" t="inlineStr">
        <is>
          <t>C0650</t>
        </is>
      </c>
      <c r="B651" s="5" t="inlineStr">
        <is>
          <t>x_0650</t>
        </is>
      </c>
      <c r="C651" s="5" t="n">
        <v>0</v>
      </c>
      <c r="D651" s="5" t="inlineStr">
        <is>
          <t>Empolis Information Management GmbH</t>
        </is>
      </c>
      <c r="E651" s="5" t="inlineStr">
        <is>
          <t>Ministerium für Wirtschaft, Verkehr, Landwirtschaft und Weinbau</t>
        </is>
      </c>
      <c r="F651" s="5" t="n">
        <v>23</v>
      </c>
      <c r="G651" s="5" t="n">
        <v>70</v>
      </c>
      <c r="H651" s="5" t="inlineStr">
        <is>
          <t>profit_anchor</t>
        </is>
      </c>
      <c r="I651" t="inlineStr">
        <is>
          <t>technology_digital_anchor</t>
        </is>
      </c>
      <c r="J651" s="5" t="inlineStr">
        <is>
          <t>profit_anchor</t>
        </is>
      </c>
      <c r="K651" t="inlineStr">
        <is>
          <t>public_policy_anchor</t>
        </is>
      </c>
      <c r="L651" s="5" t="inlineStr">
        <is>
          <t>wissen</t>
        </is>
      </c>
      <c r="M651" s="5" t="inlineStr">
        <is>
          <t>verwaltungswissen_digitalisierung</t>
        </is>
      </c>
      <c r="N651" s="5" t="inlineStr">
        <is>
          <t>Verwaltungswissen und digitale Umsetzung</t>
        </is>
      </c>
      <c r="O651" s="5" t="n">
        <v>5</v>
      </c>
      <c r="P651" s="5" t="n">
        <v>5</v>
      </c>
      <c r="Q651" s="5" t="n">
        <v>14</v>
      </c>
      <c r="R651" s="5" t="n">
        <v>2</v>
      </c>
      <c r="S651" s="5" t="n">
        <v>0</v>
      </c>
      <c r="T651" s="5" t="n">
        <v>0</v>
      </c>
      <c r="U651" s="5" t="n">
        <v>1</v>
      </c>
      <c r="V651" s="5" t="n">
        <v>4</v>
      </c>
      <c r="W651" s="5" t="n">
        <v>4</v>
      </c>
      <c r="X651" s="5" t="n">
        <v>0</v>
      </c>
      <c r="Y651" s="5" t="n">
        <v>0</v>
      </c>
      <c r="Z651" s="5" t="n">
        <v>0</v>
      </c>
      <c r="AA651" s="5" t="n">
        <v>0</v>
      </c>
      <c r="AB651" s="5" t="n">
        <v>17.136533</v>
      </c>
      <c r="AC651" s="5" t="inlineStr">
        <is>
          <t>Wie wird Verwaltung bei Regulierung, Genehmigung, Digitalisierung und Umsetzung leistungsfähiger?</t>
        </is>
      </c>
      <c r="AD651" s="5" t="inlineStr">
        <is>
          <t>Verwaltungswissen und digitale Umsetzung: Empolis Information Management GmbH (profit_anchor, 5) + Ministerium für Wirtschaft, Verkehr, Landwirtschaft und Weinbau (profit_anchor, 5).</t>
        </is>
      </c>
      <c r="AE651" s="5" t="inlineStr">
        <is>
          <t>Empolis Information Management GmbH | Ministerium für Wirtschaft, Verkehr, Landwirtschaft und Weinbau</t>
        </is>
      </c>
      <c r="AF651" s="5" t="inlineStr">
        <is>
          <t>verwaltungswissen-digitalisierung-empolis-information-management-gmbh-ministerium-für-wirtschaf</t>
        </is>
      </c>
    </row>
    <row r="652">
      <c r="A652" s="5" t="inlineStr">
        <is>
          <t>C0651</t>
        </is>
      </c>
      <c r="B652" s="5" t="inlineStr">
        <is>
          <t>x_0651</t>
        </is>
      </c>
      <c r="C652" s="5" t="n">
        <v>0</v>
      </c>
      <c r="D652" s="5" t="inlineStr">
        <is>
          <t>KSB AG</t>
        </is>
      </c>
      <c r="E652" s="5" t="inlineStr">
        <is>
          <t>Zahnen Technik GmbH</t>
        </is>
      </c>
      <c r="F652" s="5" t="n">
        <v>57</v>
      </c>
      <c r="G652" s="5" t="n">
        <v>101</v>
      </c>
      <c r="H652" s="5" t="inlineStr">
        <is>
          <t>profit_anchor</t>
        </is>
      </c>
      <c r="I652" t="inlineStr">
        <is>
          <t>industry_anchor</t>
        </is>
      </c>
      <c r="J652" s="5" t="inlineStr">
        <is>
          <t>profit_anchor</t>
        </is>
      </c>
      <c r="K652" t="inlineStr">
        <is>
          <t>energy_infrastructure_anchor</t>
        </is>
      </c>
      <c r="L652" s="5" t="inlineStr">
        <is>
          <t>nachhaltigkeit</t>
        </is>
      </c>
      <c r="M652" s="5" t="inlineStr">
        <is>
          <t>wasser_umwelttechnik_resilienz</t>
        </is>
      </c>
      <c r="N652" s="5" t="inlineStr">
        <is>
          <t>Wasser, Umwelttechnik und kommunale Resilienz</t>
        </is>
      </c>
      <c r="O652" s="5" t="n">
        <v>5</v>
      </c>
      <c r="P652" s="5" t="n">
        <v>5</v>
      </c>
      <c r="Q652" s="5" t="n">
        <v>14</v>
      </c>
      <c r="R652" s="5" t="n">
        <v>2</v>
      </c>
      <c r="S652" s="5" t="n">
        <v>0</v>
      </c>
      <c r="T652" s="5" t="n">
        <v>0</v>
      </c>
      <c r="U652" s="5" t="n">
        <v>1</v>
      </c>
      <c r="V652" s="5" t="n">
        <v>4</v>
      </c>
      <c r="W652" s="5" t="n">
        <v>4</v>
      </c>
      <c r="X652" s="5" t="n">
        <v>0</v>
      </c>
      <c r="Y652" s="5" t="n">
        <v>0</v>
      </c>
      <c r="Z652" s="5" t="n">
        <v>0</v>
      </c>
      <c r="AA652" s="5" t="n">
        <v>0</v>
      </c>
      <c r="AB652" s="5" t="n">
        <v>14.614084</v>
      </c>
      <c r="AC652" s="5" t="inlineStr">
        <is>
          <t>Wie können Kommunen und Infrastrukturträger Wasser-, Abwasser- und Umwelttechnik digitaler und resilienter steuern?</t>
        </is>
      </c>
      <c r="AD652" s="5" t="inlineStr">
        <is>
          <t>Wasser, Umwelttechnik und kommunale Resilienz: KSB AG (profit_anchor, 5) + Zahnen Technik GmbH (profit_anchor, 5).</t>
        </is>
      </c>
      <c r="AE652" s="5" t="inlineStr">
        <is>
          <t>KSB AG | Zahnen Technik GmbH</t>
        </is>
      </c>
      <c r="AF652" s="5" t="inlineStr">
        <is>
          <t>wasser-umwelttechnik-resilienz-ksb-ag-zahnen-technik-gmbh</t>
        </is>
      </c>
    </row>
    <row r="653">
      <c r="A653" s="5" t="inlineStr">
        <is>
          <t>C0652</t>
        </is>
      </c>
      <c r="B653" s="5" t="inlineStr">
        <is>
          <t>x_0652</t>
        </is>
      </c>
      <c r="C653" s="5" t="n">
        <v>0</v>
      </c>
      <c r="D653" s="5" t="inlineStr">
        <is>
          <t>BASF SE</t>
        </is>
      </c>
      <c r="E653" s="5" t="inlineStr">
        <is>
          <t>ENTEGA Plus GmbH</t>
        </is>
      </c>
      <c r="F653" s="5" t="n">
        <v>6</v>
      </c>
      <c r="G653" s="5" t="n">
        <v>24</v>
      </c>
      <c r="H653" s="5" t="inlineStr">
        <is>
          <t>profit_anchor</t>
        </is>
      </c>
      <c r="I653" t="inlineStr">
        <is>
          <t>industry_anchor</t>
        </is>
      </c>
      <c r="J653" s="5" t="inlineStr">
        <is>
          <t>profit_anchor</t>
        </is>
      </c>
      <c r="K653" t="inlineStr">
        <is>
          <t>energy_infrastructure_anchor</t>
        </is>
      </c>
      <c r="L653" s="5" t="inlineStr">
        <is>
          <t>nachhaltigkeit</t>
        </is>
      </c>
      <c r="M653" s="5" t="inlineStr">
        <is>
          <t>energie_versorgungssicherheit</t>
        </is>
      </c>
      <c r="N653" s="5" t="inlineStr">
        <is>
          <t>Energie, Netze und Versorgungssicherheit</t>
        </is>
      </c>
      <c r="O653" s="5" t="n">
        <v>4</v>
      </c>
      <c r="P653" s="5" t="n">
        <v>5</v>
      </c>
      <c r="Q653" s="5" t="n">
        <v>13</v>
      </c>
      <c r="R653" s="5" t="n">
        <v>2</v>
      </c>
      <c r="S653" s="5" t="n">
        <v>0</v>
      </c>
      <c r="T653" s="5" t="n">
        <v>0</v>
      </c>
      <c r="U653" s="5" t="n">
        <v>1</v>
      </c>
      <c r="V653" s="5" t="n">
        <v>4</v>
      </c>
      <c r="W653" s="5" t="n">
        <v>4</v>
      </c>
      <c r="X653" s="5" t="n">
        <v>0</v>
      </c>
      <c r="Y653" s="5" t="n">
        <v>0</v>
      </c>
      <c r="Z653" s="5" t="n">
        <v>0</v>
      </c>
      <c r="AA653" s="5" t="n">
        <v>0</v>
      </c>
      <c r="AB653" s="5" t="n">
        <v>14.029521</v>
      </c>
      <c r="AC653" s="5" t="inlineStr">
        <is>
          <t>Wie bleiben Unternehmen, Kommunen und Infrastrukturträger in Rheinland-Pfalz investitions- und versorgungssicher?</t>
        </is>
      </c>
      <c r="AD653" s="5" t="inlineStr">
        <is>
          <t>Energie, Netze und Versorgungssicherheit: BASF SE (profit_anchor, 4) + ENTEGA Plus GmbH (profit_anchor, 5).</t>
        </is>
      </c>
      <c r="AE653" s="5" t="inlineStr">
        <is>
          <t>BASF SE | ENTEGA Plus GmbH</t>
        </is>
      </c>
      <c r="AF653" s="5" t="inlineStr">
        <is>
          <t>energie-versorgungssicherheit-basf-se-entega-plus-gmbh</t>
        </is>
      </c>
    </row>
    <row r="654">
      <c r="A654" s="5" t="inlineStr">
        <is>
          <t>C0653</t>
        </is>
      </c>
      <c r="B654" s="5" t="inlineStr">
        <is>
          <t>x_0653</t>
        </is>
      </c>
      <c r="C654" s="5" t="n">
        <v>0</v>
      </c>
      <c r="D654" s="5" t="inlineStr">
        <is>
          <t>BASF SE</t>
        </is>
      </c>
      <c r="E654" s="5" t="inlineStr">
        <is>
          <t>JUWI GmbH</t>
        </is>
      </c>
      <c r="F654" s="5" t="n">
        <v>6</v>
      </c>
      <c r="G654" s="5" t="n">
        <v>51</v>
      </c>
      <c r="H654" s="5" t="inlineStr">
        <is>
          <t>profit_anchor</t>
        </is>
      </c>
      <c r="I654" t="inlineStr">
        <is>
          <t>industry_anchor</t>
        </is>
      </c>
      <c r="J654" s="5" t="inlineStr">
        <is>
          <t>profit_anchor</t>
        </is>
      </c>
      <c r="K654" t="inlineStr">
        <is>
          <t>energy_infrastructure_anchor</t>
        </is>
      </c>
      <c r="L654" s="5" t="inlineStr">
        <is>
          <t>nachhaltigkeit</t>
        </is>
      </c>
      <c r="M654" s="5" t="inlineStr">
        <is>
          <t>energie_versorgungssicherheit</t>
        </is>
      </c>
      <c r="N654" s="5" t="inlineStr">
        <is>
          <t>Energie, Netze und Versorgungssicherheit</t>
        </is>
      </c>
      <c r="O654" s="5" t="n">
        <v>4</v>
      </c>
      <c r="P654" s="5" t="n">
        <v>5</v>
      </c>
      <c r="Q654" s="5" t="n">
        <v>13</v>
      </c>
      <c r="R654" s="5" t="n">
        <v>2</v>
      </c>
      <c r="S654" s="5" t="n">
        <v>0</v>
      </c>
      <c r="T654" s="5" t="n">
        <v>0</v>
      </c>
      <c r="U654" s="5" t="n">
        <v>1</v>
      </c>
      <c r="V654" s="5" t="n">
        <v>4</v>
      </c>
      <c r="W654" s="5" t="n">
        <v>4</v>
      </c>
      <c r="X654" s="5" t="n">
        <v>0</v>
      </c>
      <c r="Y654" s="5" t="n">
        <v>0</v>
      </c>
      <c r="Z654" s="5" t="n">
        <v>0</v>
      </c>
      <c r="AA654" s="5" t="n">
        <v>0</v>
      </c>
      <c r="AB654" s="5" t="n">
        <v>14.029521</v>
      </c>
      <c r="AC654" s="5" t="inlineStr">
        <is>
          <t>Wie bleiben Unternehmen, Kommunen und Infrastrukturträger in Rheinland-Pfalz investitions- und versorgungssicher?</t>
        </is>
      </c>
      <c r="AD654" s="5" t="inlineStr">
        <is>
          <t>Energie, Netze und Versorgungssicherheit: BASF SE (profit_anchor, 4) + JUWI GmbH (profit_anchor, 5).</t>
        </is>
      </c>
      <c r="AE654" s="5" t="inlineStr">
        <is>
          <t>BASF SE | JUWI GmbH</t>
        </is>
      </c>
      <c r="AF654" s="5" t="inlineStr">
        <is>
          <t>energie-versorgungssicherheit-basf-se-juwi-gmbh</t>
        </is>
      </c>
    </row>
    <row r="655">
      <c r="A655" s="5" t="inlineStr">
        <is>
          <t>C0654</t>
        </is>
      </c>
      <c r="B655" s="5" t="inlineStr">
        <is>
          <t>x_0654</t>
        </is>
      </c>
      <c r="C655" s="5" t="n">
        <v>0</v>
      </c>
      <c r="D655" s="5" t="inlineStr">
        <is>
          <t>BASF SE</t>
        </is>
      </c>
      <c r="E655" s="5" t="inlineStr">
        <is>
          <t>Mainzer Stadtwerke AG</t>
        </is>
      </c>
      <c r="F655" s="5" t="n">
        <v>6</v>
      </c>
      <c r="G655" s="5" t="n">
        <v>68</v>
      </c>
      <c r="H655" s="5" t="inlineStr">
        <is>
          <t>profit_anchor</t>
        </is>
      </c>
      <c r="I655" t="inlineStr">
        <is>
          <t>industry_anchor</t>
        </is>
      </c>
      <c r="J655" s="5" t="inlineStr">
        <is>
          <t>profit_anchor</t>
        </is>
      </c>
      <c r="K655" t="inlineStr">
        <is>
          <t>energy_infrastructure_anchor</t>
        </is>
      </c>
      <c r="L655" s="5" t="inlineStr">
        <is>
          <t>nachhaltigkeit</t>
        </is>
      </c>
      <c r="M655" s="5" t="inlineStr">
        <is>
          <t>energie_versorgungssicherheit</t>
        </is>
      </c>
      <c r="N655" s="5" t="inlineStr">
        <is>
          <t>Energie, Netze und Versorgungssicherheit</t>
        </is>
      </c>
      <c r="O655" s="5" t="n">
        <v>4</v>
      </c>
      <c r="P655" s="5" t="n">
        <v>5</v>
      </c>
      <c r="Q655" s="5" t="n">
        <v>13</v>
      </c>
      <c r="R655" s="5" t="n">
        <v>2</v>
      </c>
      <c r="S655" s="5" t="n">
        <v>0</v>
      </c>
      <c r="T655" s="5" t="n">
        <v>0</v>
      </c>
      <c r="U655" s="5" t="n">
        <v>1</v>
      </c>
      <c r="V655" s="5" t="n">
        <v>4</v>
      </c>
      <c r="W655" s="5" t="n">
        <v>4</v>
      </c>
      <c r="X655" s="5" t="n">
        <v>0</v>
      </c>
      <c r="Y655" s="5" t="n">
        <v>0</v>
      </c>
      <c r="Z655" s="5" t="n">
        <v>0</v>
      </c>
      <c r="AA655" s="5" t="n">
        <v>0</v>
      </c>
      <c r="AB655" s="5" t="n">
        <v>14.029521</v>
      </c>
      <c r="AC655" s="5" t="inlineStr">
        <is>
          <t>Wie bleiben Unternehmen, Kommunen und Infrastrukturträger in Rheinland-Pfalz investitions- und versorgungssicher?</t>
        </is>
      </c>
      <c r="AD655" s="5" t="inlineStr">
        <is>
          <t>Energie, Netze und Versorgungssicherheit: BASF SE (profit_anchor, 4) + Mainzer Stadtwerke AG (profit_anchor, 5).</t>
        </is>
      </c>
      <c r="AE655" s="5" t="inlineStr">
        <is>
          <t>BASF SE | Mainzer Stadtwerke AG</t>
        </is>
      </c>
      <c r="AF655" s="5" t="inlineStr">
        <is>
          <t>energie-versorgungssicherheit-basf-se-mainzer-stadtwerke-ag</t>
        </is>
      </c>
    </row>
    <row r="656">
      <c r="A656" s="5" t="inlineStr">
        <is>
          <t>C0655</t>
        </is>
      </c>
      <c r="B656" s="5" t="inlineStr">
        <is>
          <t>x_0655</t>
        </is>
      </c>
      <c r="C656" s="5" t="n">
        <v>0</v>
      </c>
      <c r="D656" s="5" t="inlineStr">
        <is>
          <t>BASF SE</t>
        </is>
      </c>
      <c r="E656" s="5" t="inlineStr">
        <is>
          <t>Pfalzwerke AG</t>
        </is>
      </c>
      <c r="F656" s="5" t="n">
        <v>6</v>
      </c>
      <c r="G656" s="5" t="n">
        <v>72</v>
      </c>
      <c r="H656" s="5" t="inlineStr">
        <is>
          <t>profit_anchor</t>
        </is>
      </c>
      <c r="I656" t="inlineStr">
        <is>
          <t>industry_anchor</t>
        </is>
      </c>
      <c r="J656" s="5" t="inlineStr">
        <is>
          <t>profit_anchor</t>
        </is>
      </c>
      <c r="K656" t="inlineStr">
        <is>
          <t>energy_infrastructure_anchor</t>
        </is>
      </c>
      <c r="L656" s="5" t="inlineStr">
        <is>
          <t>nachhaltigkeit</t>
        </is>
      </c>
      <c r="M656" s="5" t="inlineStr">
        <is>
          <t>energie_versorgungssicherheit</t>
        </is>
      </c>
      <c r="N656" s="5" t="inlineStr">
        <is>
          <t>Energie, Netze und Versorgungssicherheit</t>
        </is>
      </c>
      <c r="O656" s="5" t="n">
        <v>4</v>
      </c>
      <c r="P656" s="5" t="n">
        <v>5</v>
      </c>
      <c r="Q656" s="5" t="n">
        <v>13</v>
      </c>
      <c r="R656" s="5" t="n">
        <v>2</v>
      </c>
      <c r="S656" s="5" t="n">
        <v>0</v>
      </c>
      <c r="T656" s="5" t="n">
        <v>0</v>
      </c>
      <c r="U656" s="5" t="n">
        <v>1</v>
      </c>
      <c r="V656" s="5" t="n">
        <v>4</v>
      </c>
      <c r="W656" s="5" t="n">
        <v>4</v>
      </c>
      <c r="X656" s="5" t="n">
        <v>0</v>
      </c>
      <c r="Y656" s="5" t="n">
        <v>0</v>
      </c>
      <c r="Z656" s="5" t="n">
        <v>0</v>
      </c>
      <c r="AA656" s="5" t="n">
        <v>0</v>
      </c>
      <c r="AB656" s="5" t="n">
        <v>14.029521</v>
      </c>
      <c r="AC656" s="5" t="inlineStr">
        <is>
          <t>Wie bleiben Unternehmen, Kommunen und Infrastrukturträger in Rheinland-Pfalz investitions- und versorgungssicher?</t>
        </is>
      </c>
      <c r="AD656" s="5" t="inlineStr">
        <is>
          <t>Energie, Netze und Versorgungssicherheit: BASF SE (profit_anchor, 4) + Pfalzwerke AG (profit_anchor, 5).</t>
        </is>
      </c>
      <c r="AE656" s="5" t="inlineStr">
        <is>
          <t>BASF SE | Pfalzwerke AG</t>
        </is>
      </c>
      <c r="AF656" s="5" t="inlineStr">
        <is>
          <t>energie-versorgungssicherheit-basf-se-pfalzwerke-ag</t>
        </is>
      </c>
    </row>
    <row r="657">
      <c r="A657" s="5" t="inlineStr">
        <is>
          <t>C0656</t>
        </is>
      </c>
      <c r="B657" s="5" t="inlineStr">
        <is>
          <t>x_0656</t>
        </is>
      </c>
      <c r="C657" s="5" t="n">
        <v>0</v>
      </c>
      <c r="D657" s="5" t="inlineStr">
        <is>
          <t>BASF SE</t>
        </is>
      </c>
      <c r="E657" s="5" t="inlineStr">
        <is>
          <t>Westenergie AG</t>
        </is>
      </c>
      <c r="F657" s="5" t="n">
        <v>6</v>
      </c>
      <c r="G657" s="5" t="n">
        <v>98</v>
      </c>
      <c r="H657" s="5" t="inlineStr">
        <is>
          <t>profit_anchor</t>
        </is>
      </c>
      <c r="I657" t="inlineStr">
        <is>
          <t>industry_anchor</t>
        </is>
      </c>
      <c r="J657" s="5" t="inlineStr">
        <is>
          <t>profit_anchor</t>
        </is>
      </c>
      <c r="K657" t="inlineStr">
        <is>
          <t>energy_infrastructure_anchor</t>
        </is>
      </c>
      <c r="L657" s="5" t="inlineStr">
        <is>
          <t>nachhaltigkeit</t>
        </is>
      </c>
      <c r="M657" s="5" t="inlineStr">
        <is>
          <t>energie_versorgungssicherheit</t>
        </is>
      </c>
      <c r="N657" s="5" t="inlineStr">
        <is>
          <t>Energie, Netze und Versorgungssicherheit</t>
        </is>
      </c>
      <c r="O657" s="5" t="n">
        <v>4</v>
      </c>
      <c r="P657" s="5" t="n">
        <v>5</v>
      </c>
      <c r="Q657" s="5" t="n">
        <v>13</v>
      </c>
      <c r="R657" s="5" t="n">
        <v>2</v>
      </c>
      <c r="S657" s="5" t="n">
        <v>0</v>
      </c>
      <c r="T657" s="5" t="n">
        <v>0</v>
      </c>
      <c r="U657" s="5" t="n">
        <v>1</v>
      </c>
      <c r="V657" s="5" t="n">
        <v>4</v>
      </c>
      <c r="W657" s="5" t="n">
        <v>4</v>
      </c>
      <c r="X657" s="5" t="n">
        <v>0</v>
      </c>
      <c r="Y657" s="5" t="n">
        <v>0</v>
      </c>
      <c r="Z657" s="5" t="n">
        <v>0</v>
      </c>
      <c r="AA657" s="5" t="n">
        <v>0</v>
      </c>
      <c r="AB657" s="5" t="n">
        <v>14.029521</v>
      </c>
      <c r="AC657" s="5" t="inlineStr">
        <is>
          <t>Wie bleiben Unternehmen, Kommunen und Infrastrukturträger in Rheinland-Pfalz investitions- und versorgungssicher?</t>
        </is>
      </c>
      <c r="AD657" s="5" t="inlineStr">
        <is>
          <t>Energie, Netze und Versorgungssicherheit: BASF SE (profit_anchor, 4) + Westenergie AG (profit_anchor, 5).</t>
        </is>
      </c>
      <c r="AE657" s="5" t="inlineStr">
        <is>
          <t>BASF SE | Westenergie AG</t>
        </is>
      </c>
      <c r="AF657" s="5" t="inlineStr">
        <is>
          <t>energie-versorgungssicherheit-basf-se-westenergie-ag</t>
        </is>
      </c>
    </row>
    <row r="658">
      <c r="A658" s="5" t="inlineStr">
        <is>
          <t>C0657</t>
        </is>
      </c>
      <c r="B658" s="5" t="inlineStr">
        <is>
          <t>x_0657</t>
        </is>
      </c>
      <c r="C658" s="5" t="n">
        <v>0</v>
      </c>
      <c r="D658" s="5" t="inlineStr">
        <is>
          <t>ENTEGA Plus GmbH</t>
        </is>
      </c>
      <c r="E658" s="5" t="inlineStr">
        <is>
          <t>KÜBLER GmbH</t>
        </is>
      </c>
      <c r="F658" s="5" t="n">
        <v>24</v>
      </c>
      <c r="G658" s="5" t="n">
        <v>58</v>
      </c>
      <c r="H658" s="5" t="inlineStr">
        <is>
          <t>profit_anchor</t>
        </is>
      </c>
      <c r="I658" t="inlineStr">
        <is>
          <t>energy_infrastructure_anchor</t>
        </is>
      </c>
      <c r="J658" s="5" t="inlineStr">
        <is>
          <t>profit_anchor</t>
        </is>
      </c>
      <c r="K658" t="inlineStr">
        <is>
          <t>energy_infrastructure_anchor</t>
        </is>
      </c>
      <c r="L658" s="5" t="inlineStr">
        <is>
          <t>nachhaltigkeit</t>
        </is>
      </c>
      <c r="M658" s="5" t="inlineStr">
        <is>
          <t>energie_versorgungssicherheit</t>
        </is>
      </c>
      <c r="N658" s="5" t="inlineStr">
        <is>
          <t>Energie, Netze und Versorgungssicherheit</t>
        </is>
      </c>
      <c r="O658" s="5" t="n">
        <v>5</v>
      </c>
      <c r="P658" s="5" t="n">
        <v>4</v>
      </c>
      <c r="Q658" s="5" t="n">
        <v>13</v>
      </c>
      <c r="R658" s="5" t="n">
        <v>2</v>
      </c>
      <c r="S658" s="5" t="n">
        <v>0</v>
      </c>
      <c r="T658" s="5" t="n">
        <v>0</v>
      </c>
      <c r="U658" s="5" t="n">
        <v>1</v>
      </c>
      <c r="V658" s="5" t="n">
        <v>4</v>
      </c>
      <c r="W658" s="5" t="n">
        <v>4</v>
      </c>
      <c r="X658" s="5" t="n">
        <v>0</v>
      </c>
      <c r="Y658" s="5" t="n">
        <v>0</v>
      </c>
      <c r="Z658" s="5" t="n">
        <v>0</v>
      </c>
      <c r="AA658" s="5" t="n">
        <v>0</v>
      </c>
      <c r="AB658" s="5" t="n">
        <v>14.714286</v>
      </c>
      <c r="AC658" s="5" t="inlineStr">
        <is>
          <t>Wie bleiben Unternehmen, Kommunen und Infrastrukturträger in Rheinland-Pfalz investitions- und versorgungssicher?</t>
        </is>
      </c>
      <c r="AD658" s="5" t="inlineStr">
        <is>
          <t>Energie, Netze und Versorgungssicherheit: ENTEGA Plus GmbH (profit_anchor, 5) + KÜBLER GmbH (profit_anchor, 4).</t>
        </is>
      </c>
      <c r="AE658" s="5" t="inlineStr">
        <is>
          <t>ENTEGA Plus GmbH | KÜBLER GmbH</t>
        </is>
      </c>
      <c r="AF658" s="5" t="inlineStr">
        <is>
          <t>energie-versorgungssicherheit-entega-plus-gmbh-kübler-gmbh</t>
        </is>
      </c>
    </row>
    <row r="659">
      <c r="A659" s="5" t="inlineStr">
        <is>
          <t>C0658</t>
        </is>
      </c>
      <c r="B659" s="5" t="inlineStr">
        <is>
          <t>x_0658</t>
        </is>
      </c>
      <c r="C659" s="5" t="n">
        <v>0</v>
      </c>
      <c r="D659" s="5" t="inlineStr">
        <is>
          <t>ENTEGA Plus GmbH</t>
        </is>
      </c>
      <c r="E659" s="5" t="inlineStr">
        <is>
          <t>SCHOTT AG</t>
        </is>
      </c>
      <c r="F659" s="5" t="n">
        <v>24</v>
      </c>
      <c r="G659" s="5" t="n">
        <v>78</v>
      </c>
      <c r="H659" s="5" t="inlineStr">
        <is>
          <t>profit_anchor</t>
        </is>
      </c>
      <c r="I659" t="inlineStr">
        <is>
          <t>energy_infrastructure_anchor</t>
        </is>
      </c>
      <c r="J659" s="5" t="inlineStr">
        <is>
          <t>profit_anchor</t>
        </is>
      </c>
      <c r="K659" t="inlineStr">
        <is>
          <t>industry_anchor</t>
        </is>
      </c>
      <c r="L659" s="5" t="inlineStr">
        <is>
          <t>nachhaltigkeit</t>
        </is>
      </c>
      <c r="M659" s="5" t="inlineStr">
        <is>
          <t>energie_versorgungssicherheit</t>
        </is>
      </c>
      <c r="N659" s="5" t="inlineStr">
        <is>
          <t>Energie, Netze und Versorgungssicherheit</t>
        </is>
      </c>
      <c r="O659" s="5" t="n">
        <v>5</v>
      </c>
      <c r="P659" s="5" t="n">
        <v>4</v>
      </c>
      <c r="Q659" s="5" t="n">
        <v>13</v>
      </c>
      <c r="R659" s="5" t="n">
        <v>2</v>
      </c>
      <c r="S659" s="5" t="n">
        <v>0</v>
      </c>
      <c r="T659" s="5" t="n">
        <v>0</v>
      </c>
      <c r="U659" s="5" t="n">
        <v>1</v>
      </c>
      <c r="V659" s="5" t="n">
        <v>4</v>
      </c>
      <c r="W659" s="5" t="n">
        <v>4</v>
      </c>
      <c r="X659" s="5" t="n">
        <v>0</v>
      </c>
      <c r="Y659" s="5" t="n">
        <v>0</v>
      </c>
      <c r="Z659" s="5" t="n">
        <v>0</v>
      </c>
      <c r="AA659" s="5" t="n">
        <v>0</v>
      </c>
      <c r="AB659" s="5" t="n">
        <v>14.029521</v>
      </c>
      <c r="AC659" s="5" t="inlineStr">
        <is>
          <t>Wie bleiben Unternehmen, Kommunen und Infrastrukturträger in Rheinland-Pfalz investitions- und versorgungssicher?</t>
        </is>
      </c>
      <c r="AD659" s="5" t="inlineStr">
        <is>
          <t>Energie, Netze und Versorgungssicherheit: ENTEGA Plus GmbH (profit_anchor, 5) + SCHOTT AG (profit_anchor, 4).</t>
        </is>
      </c>
      <c r="AE659" s="5" t="inlineStr">
        <is>
          <t>ENTEGA Plus GmbH | SCHOTT AG</t>
        </is>
      </c>
      <c r="AF659" s="5" t="inlineStr">
        <is>
          <t>energie-versorgungssicherheit-entega-plus-gmbh-schott-ag</t>
        </is>
      </c>
    </row>
    <row r="660">
      <c r="A660" s="5" t="inlineStr">
        <is>
          <t>C0659</t>
        </is>
      </c>
      <c r="B660" s="5" t="inlineStr">
        <is>
          <t>x_0659</t>
        </is>
      </c>
      <c r="C660" s="5" t="n">
        <v>0</v>
      </c>
      <c r="D660" s="5" t="inlineStr">
        <is>
          <t>Erster FC Kaiserslautern GmbH &amp; Co. KGaA</t>
        </is>
      </c>
      <c r="E660" s="5" t="inlineStr">
        <is>
          <t>LOTTO Rheinland-Pfalz GmbH</t>
        </is>
      </c>
      <c r="F660" s="5" t="n">
        <v>27</v>
      </c>
      <c r="G660" s="5" t="n">
        <v>66</v>
      </c>
      <c r="H660" s="5" t="inlineStr">
        <is>
          <t>profit_anchor</t>
        </is>
      </c>
      <c r="I660" t="inlineStr">
        <is>
          <t>sports_regional_identity_anchor</t>
        </is>
      </c>
      <c r="J660" s="5" t="inlineStr">
        <is>
          <t>profit_anchor</t>
        </is>
      </c>
      <c r="K660" t="inlineStr">
        <is>
          <t>culture_foundation_anchor</t>
        </is>
      </c>
      <c r="L660" s="5" t="inlineStr">
        <is>
          <t>gesellschaft</t>
        </is>
      </c>
      <c r="M660" s="5" t="inlineStr">
        <is>
          <t>sport_region_identifikation</t>
        </is>
      </c>
      <c r="N660" s="5" t="inlineStr">
        <is>
          <t>Sport, Region und gesellschaftliche Identifikation</t>
        </is>
      </c>
      <c r="O660" s="5" t="n">
        <v>5</v>
      </c>
      <c r="P660" s="5" t="n">
        <v>4</v>
      </c>
      <c r="Q660" s="5" t="n">
        <v>13</v>
      </c>
      <c r="R660" s="5" t="n">
        <v>2</v>
      </c>
      <c r="S660" s="5" t="n">
        <v>0</v>
      </c>
      <c r="T660" s="5" t="n">
        <v>0</v>
      </c>
      <c r="U660" s="5" t="n">
        <v>1</v>
      </c>
      <c r="V660" s="5" t="n">
        <v>4</v>
      </c>
      <c r="W660" s="5" t="n">
        <v>4</v>
      </c>
      <c r="X660" s="5" t="n">
        <v>0</v>
      </c>
      <c r="Y660" s="5" t="n">
        <v>0</v>
      </c>
      <c r="Z660" s="5" t="n">
        <v>0</v>
      </c>
      <c r="AA660" s="5" t="n">
        <v>0</v>
      </c>
      <c r="AB660" s="5" t="n">
        <v>28.494092</v>
      </c>
      <c r="AC660" s="5" t="inlineStr">
        <is>
          <t>Wie können Sportvereine als regionale Plattformen für Bildung, Teilhabe, Gesundheit oder Standortbindung wirken?</t>
        </is>
      </c>
      <c r="AD660" s="5" t="inlineStr">
        <is>
          <t>Sport, Region und gesellschaftliche Identifikation: Erster FC Kaiserslautern GmbH &amp; Co. KGaA (profit_anchor, 5) + LOTTO Rheinland-Pfalz GmbH (profit_anchor, 4).</t>
        </is>
      </c>
      <c r="AE660" s="5" t="inlineStr">
        <is>
          <t>Erster FC Kaiserslautern GmbH &amp; Co. KGaA | LOTTO Rheinland-Pfalz GmbH</t>
        </is>
      </c>
      <c r="AF660" s="5" t="inlineStr">
        <is>
          <t>sport-region-identifikation-erster-fc-kaiserslautern-gmbh-co-kgaa-lotto-rheinland-pfalz-gmbh</t>
        </is>
      </c>
    </row>
    <row r="661">
      <c r="A661" s="5" t="inlineStr">
        <is>
          <t>C0660</t>
        </is>
      </c>
      <c r="B661" s="5" t="inlineStr">
        <is>
          <t>x_0660</t>
        </is>
      </c>
      <c r="C661" s="5" t="n">
        <v>0</v>
      </c>
      <c r="D661" s="5" t="inlineStr">
        <is>
          <t>Aturas GmbH</t>
        </is>
      </c>
      <c r="E661" s="5" t="inlineStr">
        <is>
          <t>Empolis Information Management GmbH</t>
        </is>
      </c>
      <c r="F661" s="5" t="n">
        <v>4</v>
      </c>
      <c r="G661" s="5" t="n">
        <v>23</v>
      </c>
      <c r="H661" s="5" t="inlineStr">
        <is>
          <t>profit_anchor</t>
        </is>
      </c>
      <c r="I661" t="inlineStr">
        <is>
          <t>technology_digital_anchor</t>
        </is>
      </c>
      <c r="J661" s="5" t="inlineStr">
        <is>
          <t>profit_anchor</t>
        </is>
      </c>
      <c r="K661" t="inlineStr">
        <is>
          <t>technology_digital_anchor</t>
        </is>
      </c>
      <c r="L661" s="5" t="inlineStr">
        <is>
          <t>wissen</t>
        </is>
      </c>
      <c r="M661" s="5" t="inlineStr">
        <is>
          <t>verwaltungswissen_digitalisierung</t>
        </is>
      </c>
      <c r="N661" s="5" t="inlineStr">
        <is>
          <t>Verwaltungswissen und digitale Umsetzung</t>
        </is>
      </c>
      <c r="O661" s="5" t="n">
        <v>4</v>
      </c>
      <c r="P661" s="5" t="n">
        <v>5</v>
      </c>
      <c r="Q661" s="5" t="n">
        <v>13</v>
      </c>
      <c r="R661" s="5" t="n">
        <v>2</v>
      </c>
      <c r="S661" s="5" t="n">
        <v>0</v>
      </c>
      <c r="T661" s="5" t="n">
        <v>0</v>
      </c>
      <c r="U661" s="5" t="n">
        <v>1</v>
      </c>
      <c r="V661" s="5" t="n">
        <v>4</v>
      </c>
      <c r="W661" s="5" t="n">
        <v>4</v>
      </c>
      <c r="X661" s="5" t="n">
        <v>0</v>
      </c>
      <c r="Y661" s="5" t="n">
        <v>0</v>
      </c>
      <c r="Z661" s="5" t="n">
        <v>0</v>
      </c>
      <c r="AA661" s="5" t="n">
        <v>0</v>
      </c>
      <c r="AB661" s="5" t="n">
        <v>14.714286</v>
      </c>
      <c r="AC661" s="5" t="inlineStr">
        <is>
          <t>Wie wird Verwaltung bei Regulierung, Genehmigung, Digitalisierung und Umsetzung leistungsfähiger?</t>
        </is>
      </c>
      <c r="AD661" s="5" t="inlineStr">
        <is>
          <t>Verwaltungswissen und digitale Umsetzung: Aturas GmbH (profit_anchor, 4) + Empolis Information Management GmbH (profit_anchor, 5).</t>
        </is>
      </c>
      <c r="AE661" s="5" t="inlineStr">
        <is>
          <t>Aturas GmbH | Empolis Information Management GmbH</t>
        </is>
      </c>
      <c r="AF661" s="5" t="inlineStr">
        <is>
          <t>verwaltungswissen-digitalisierung-aturas-gmbh-empolis-information-management-gmbh</t>
        </is>
      </c>
    </row>
    <row r="662">
      <c r="A662" s="5" t="inlineStr">
        <is>
          <t>C0661</t>
        </is>
      </c>
      <c r="B662" s="5" t="inlineStr">
        <is>
          <t>x_0661</t>
        </is>
      </c>
      <c r="C662" s="5" t="n">
        <v>0</v>
      </c>
      <c r="D662" s="5" t="inlineStr">
        <is>
          <t>Aturas GmbH</t>
        </is>
      </c>
      <c r="E662" s="5" t="inlineStr">
        <is>
          <t>Ministerium für Wirtschaft, Verkehr, Landwirtschaft und Weinbau</t>
        </is>
      </c>
      <c r="F662" s="5" t="n">
        <v>4</v>
      </c>
      <c r="G662" s="5" t="n">
        <v>70</v>
      </c>
      <c r="H662" s="5" t="inlineStr">
        <is>
          <t>profit_anchor</t>
        </is>
      </c>
      <c r="I662" t="inlineStr">
        <is>
          <t>technology_digital_anchor</t>
        </is>
      </c>
      <c r="J662" s="5" t="inlineStr">
        <is>
          <t>profit_anchor</t>
        </is>
      </c>
      <c r="K662" t="inlineStr">
        <is>
          <t>public_policy_anchor</t>
        </is>
      </c>
      <c r="L662" s="5" t="inlineStr">
        <is>
          <t>wissen</t>
        </is>
      </c>
      <c r="M662" s="5" t="inlineStr">
        <is>
          <t>verwaltungswissen_digitalisierung</t>
        </is>
      </c>
      <c r="N662" s="5" t="inlineStr">
        <is>
          <t>Verwaltungswissen und digitale Umsetzung</t>
        </is>
      </c>
      <c r="O662" s="5" t="n">
        <v>4</v>
      </c>
      <c r="P662" s="5" t="n">
        <v>5</v>
      </c>
      <c r="Q662" s="5" t="n">
        <v>13</v>
      </c>
      <c r="R662" s="5" t="n">
        <v>2</v>
      </c>
      <c r="S662" s="5" t="n">
        <v>0</v>
      </c>
      <c r="T662" s="5" t="n">
        <v>0</v>
      </c>
      <c r="U662" s="5" t="n">
        <v>1</v>
      </c>
      <c r="V662" s="5" t="n">
        <v>4</v>
      </c>
      <c r="W662" s="5" t="n">
        <v>4</v>
      </c>
      <c r="X662" s="5" t="n">
        <v>0</v>
      </c>
      <c r="Y662" s="5" t="n">
        <v>0</v>
      </c>
      <c r="Z662" s="5" t="n">
        <v>0</v>
      </c>
      <c r="AA662" s="5" t="n">
        <v>0</v>
      </c>
      <c r="AB662" s="5" t="n">
        <v>16.451072</v>
      </c>
      <c r="AC662" s="5" t="inlineStr">
        <is>
          <t>Wie wird Verwaltung bei Regulierung, Genehmigung, Digitalisierung und Umsetzung leistungsfähiger?</t>
        </is>
      </c>
      <c r="AD662" s="5" t="inlineStr">
        <is>
          <t>Verwaltungswissen und digitale Umsetzung: Aturas GmbH (profit_anchor, 4) + Ministerium für Wirtschaft, Verkehr, Landwirtschaft und Weinbau (profit_anchor, 5).</t>
        </is>
      </c>
      <c r="AE662" s="5" t="inlineStr">
        <is>
          <t>Aturas GmbH | Ministerium für Wirtschaft, Verkehr, Landwirtschaft und Weinbau</t>
        </is>
      </c>
      <c r="AF662" s="5" t="inlineStr">
        <is>
          <t>verwaltungswissen-digitalisierung-aturas-gmbh-ministerium-für-wirtschaft-verkehr-landwirtschaft</t>
        </is>
      </c>
    </row>
    <row r="663">
      <c r="A663" s="5" t="inlineStr">
        <is>
          <t>C0662</t>
        </is>
      </c>
      <c r="B663" s="5" t="inlineStr">
        <is>
          <t>x_0662</t>
        </is>
      </c>
      <c r="C663" s="5" t="n">
        <v>0</v>
      </c>
      <c r="D663" s="5" t="inlineStr">
        <is>
          <t>KSB AG</t>
        </is>
      </c>
      <c r="E663" s="5" t="inlineStr">
        <is>
          <t>Mainzer Stadtwerke AG</t>
        </is>
      </c>
      <c r="F663" s="5" t="n">
        <v>57</v>
      </c>
      <c r="G663" s="5" t="n">
        <v>68</v>
      </c>
      <c r="H663" s="5" t="inlineStr">
        <is>
          <t>profit_anchor</t>
        </is>
      </c>
      <c r="I663" t="inlineStr">
        <is>
          <t>industry_anchor</t>
        </is>
      </c>
      <c r="J663" s="5" t="inlineStr">
        <is>
          <t>profit_anchor</t>
        </is>
      </c>
      <c r="K663" t="inlineStr">
        <is>
          <t>energy_infrastructure_anchor</t>
        </is>
      </c>
      <c r="L663" s="5" t="inlineStr">
        <is>
          <t>nachhaltigkeit</t>
        </is>
      </c>
      <c r="M663" s="5" t="inlineStr">
        <is>
          <t>wasser_umwelttechnik_resilienz</t>
        </is>
      </c>
      <c r="N663" s="5" t="inlineStr">
        <is>
          <t>Wasser, Umwelttechnik und kommunale Resilienz</t>
        </is>
      </c>
      <c r="O663" s="5" t="n">
        <v>5</v>
      </c>
      <c r="P663" s="5" t="n">
        <v>4</v>
      </c>
      <c r="Q663" s="5" t="n">
        <v>13</v>
      </c>
      <c r="R663" s="5" t="n">
        <v>2</v>
      </c>
      <c r="S663" s="5" t="n">
        <v>0</v>
      </c>
      <c r="T663" s="5" t="n">
        <v>0</v>
      </c>
      <c r="U663" s="5" t="n">
        <v>1</v>
      </c>
      <c r="V663" s="5" t="n">
        <v>4</v>
      </c>
      <c r="W663" s="5" t="n">
        <v>4</v>
      </c>
      <c r="X663" s="5" t="n">
        <v>0</v>
      </c>
      <c r="Y663" s="5" t="n">
        <v>0</v>
      </c>
      <c r="Z663" s="5" t="n">
        <v>0</v>
      </c>
      <c r="AA663" s="5" t="n">
        <v>0</v>
      </c>
      <c r="AB663" s="5" t="n">
        <v>14.029521</v>
      </c>
      <c r="AC663" s="5" t="inlineStr">
        <is>
          <t>Wie können Kommunen und Infrastrukturträger Wasser-, Abwasser- und Umwelttechnik digitaler und resilienter steuern?</t>
        </is>
      </c>
      <c r="AD663" s="5" t="inlineStr">
        <is>
          <t>Wasser, Umwelttechnik und kommunale Resilienz: KSB AG (profit_anchor, 5) + Mainzer Stadtwerke AG (profit_anchor, 4).</t>
        </is>
      </c>
      <c r="AE663" s="5" t="inlineStr">
        <is>
          <t>KSB AG | Mainzer Stadtwerke AG</t>
        </is>
      </c>
      <c r="AF663" s="5" t="inlineStr">
        <is>
          <t>wasser-umwelttechnik-resilienz-ksb-ag-mainzer-stadtwerke-ag</t>
        </is>
      </c>
    </row>
    <row r="664">
      <c r="A664" s="5" t="inlineStr">
        <is>
          <t>C0663</t>
        </is>
      </c>
      <c r="B664" s="5" t="inlineStr">
        <is>
          <t>x_0663</t>
        </is>
      </c>
      <c r="C664" s="5" t="n">
        <v>0</v>
      </c>
      <c r="D664" s="5" t="inlineStr">
        <is>
          <t>Mainzer Stadtwerke AG</t>
        </is>
      </c>
      <c r="E664" s="5" t="inlineStr">
        <is>
          <t>Zahnen Technik GmbH</t>
        </is>
      </c>
      <c r="F664" s="5" t="n">
        <v>68</v>
      </c>
      <c r="G664" s="5" t="n">
        <v>101</v>
      </c>
      <c r="H664" s="5" t="inlineStr">
        <is>
          <t>profit_anchor</t>
        </is>
      </c>
      <c r="I664" t="inlineStr">
        <is>
          <t>energy_infrastructure_anchor</t>
        </is>
      </c>
      <c r="J664" s="5" t="inlineStr">
        <is>
          <t>profit_anchor</t>
        </is>
      </c>
      <c r="K664" t="inlineStr">
        <is>
          <t>energy_infrastructure_anchor</t>
        </is>
      </c>
      <c r="L664" s="5" t="inlineStr">
        <is>
          <t>nachhaltigkeit</t>
        </is>
      </c>
      <c r="M664" s="5" t="inlineStr">
        <is>
          <t>wasser_umwelttechnik_resilienz</t>
        </is>
      </c>
      <c r="N664" s="5" t="inlineStr">
        <is>
          <t>Wasser, Umwelttechnik und kommunale Resilienz</t>
        </is>
      </c>
      <c r="O664" s="5" t="n">
        <v>4</v>
      </c>
      <c r="P664" s="5" t="n">
        <v>5</v>
      </c>
      <c r="Q664" s="5" t="n">
        <v>13</v>
      </c>
      <c r="R664" s="5" t="n">
        <v>2</v>
      </c>
      <c r="S664" s="5" t="n">
        <v>0</v>
      </c>
      <c r="T664" s="5" t="n">
        <v>0</v>
      </c>
      <c r="U664" s="5" t="n">
        <v>1</v>
      </c>
      <c r="V664" s="5" t="n">
        <v>4</v>
      </c>
      <c r="W664" s="5" t="n">
        <v>4</v>
      </c>
      <c r="X664" s="5" t="n">
        <v>0</v>
      </c>
      <c r="Y664" s="5" t="n">
        <v>0</v>
      </c>
      <c r="Z664" s="5" t="n">
        <v>0</v>
      </c>
      <c r="AA664" s="5" t="n">
        <v>0</v>
      </c>
      <c r="AB664" s="5" t="n">
        <v>14.714286</v>
      </c>
      <c r="AC664" s="5" t="inlineStr">
        <is>
          <t>Wie können Kommunen und Infrastrukturträger Wasser-, Abwasser- und Umwelttechnik digitaler und resilienter steuern?</t>
        </is>
      </c>
      <c r="AD664" s="5" t="inlineStr">
        <is>
          <t>Wasser, Umwelttechnik und kommunale Resilienz: Mainzer Stadtwerke AG (profit_anchor, 4) + Zahnen Technik GmbH (profit_anchor, 5).</t>
        </is>
      </c>
      <c r="AE664" s="5" t="inlineStr">
        <is>
          <t>Mainzer Stadtwerke AG | Zahnen Technik GmbH</t>
        </is>
      </c>
      <c r="AF664" s="5" t="inlineStr">
        <is>
          <t>wasser-umwelttechnik-resilienz-mainzer-stadtwerke-ag-zahnen-technik-gmbh</t>
        </is>
      </c>
    </row>
    <row r="665">
      <c r="A665" s="5" t="inlineStr">
        <is>
          <t>C0664</t>
        </is>
      </c>
      <c r="B665" s="5" t="inlineStr">
        <is>
          <t>x_0664</t>
        </is>
      </c>
      <c r="C665" s="5" t="n">
        <v>0</v>
      </c>
      <c r="D665" s="5" t="inlineStr">
        <is>
          <t>Erster FC Kaiserslautern GmbH &amp; Co. KGaA</t>
        </is>
      </c>
      <c r="E665" s="5" t="inlineStr">
        <is>
          <t>GLOBUS Markthallen Holding GmbH &amp; Co. KG</t>
        </is>
      </c>
      <c r="F665" s="5" t="n">
        <v>27</v>
      </c>
      <c r="G665" s="5" t="n">
        <v>31</v>
      </c>
      <c r="H665" s="5" t="inlineStr">
        <is>
          <t>profit_anchor</t>
        </is>
      </c>
      <c r="I665" t="inlineStr">
        <is>
          <t>sports_regional_identity_anchor</t>
        </is>
      </c>
      <c r="J665" s="5" t="inlineStr">
        <is>
          <t>profit_anchor</t>
        </is>
      </c>
      <c r="K665" t="inlineStr">
        <is>
          <t>food_beverage_consumer_anchor</t>
        </is>
      </c>
      <c r="L665" s="5" t="inlineStr">
        <is>
          <t>gesellschaft</t>
        </is>
      </c>
      <c r="M665" s="5" t="inlineStr">
        <is>
          <t>sport_region_identifikation</t>
        </is>
      </c>
      <c r="N665" s="5" t="inlineStr">
        <is>
          <t>Sport, Region und gesellschaftliche Identifikation</t>
        </is>
      </c>
      <c r="O665" s="5" t="n">
        <v>5</v>
      </c>
      <c r="P665" s="5" t="n">
        <v>3</v>
      </c>
      <c r="Q665" s="5" t="n">
        <v>12</v>
      </c>
      <c r="R665" s="5" t="n">
        <v>2</v>
      </c>
      <c r="S665" s="5" t="n">
        <v>0</v>
      </c>
      <c r="T665" s="5" t="n">
        <v>0</v>
      </c>
      <c r="U665" s="5" t="n">
        <v>1</v>
      </c>
      <c r="V665" s="5" t="n">
        <v>4</v>
      </c>
      <c r="W665" s="5" t="n">
        <v>4</v>
      </c>
      <c r="X665" s="5" t="n">
        <v>0</v>
      </c>
      <c r="Y665" s="5" t="n">
        <v>0</v>
      </c>
      <c r="Z665" s="5" t="n">
        <v>0</v>
      </c>
      <c r="AA665" s="5" t="n">
        <v>0</v>
      </c>
      <c r="AB665" s="5" t="n">
        <v>25.02713</v>
      </c>
      <c r="AC665" s="5" t="inlineStr">
        <is>
          <t>Wie können Sportvereine als regionale Plattformen für Bildung, Teilhabe, Gesundheit oder Standortbindung wirken?</t>
        </is>
      </c>
      <c r="AD665" s="5" t="inlineStr">
        <is>
          <t>Sport, Region und gesellschaftliche Identifikation: Erster FC Kaiserslautern GmbH &amp; Co. KGaA (profit_anchor, 5) + GLOBUS Markthallen Holding GmbH &amp; Co. KG (profit_anchor, 3).</t>
        </is>
      </c>
      <c r="AE665" s="5" t="inlineStr">
        <is>
          <t>Erster FC Kaiserslautern GmbH &amp; Co. KGaA | GLOBUS Markthallen Holding GmbH &amp; Co. KG</t>
        </is>
      </c>
      <c r="AF665" s="5" t="inlineStr">
        <is>
          <t>sport-region-identifikation-erster-fc-kaiserslautern-gmbh-co-kgaa-globus-markthallen-holding-gm</t>
        </is>
      </c>
    </row>
    <row r="666">
      <c r="A666" s="5" t="inlineStr">
        <is>
          <t>C0665</t>
        </is>
      </c>
      <c r="B666" s="5" t="inlineStr">
        <is>
          <t>x_0665</t>
        </is>
      </c>
      <c r="C666" s="5" t="n">
        <v>0</v>
      </c>
      <c r="D666" s="5" t="inlineStr">
        <is>
          <t>Empolis Information Management GmbH</t>
        </is>
      </c>
      <c r="E666" s="5" t="inlineStr">
        <is>
          <t>Sparkassenverband Rheinland-Pfalz</t>
        </is>
      </c>
      <c r="F666" s="5" t="n">
        <v>23</v>
      </c>
      <c r="G666" s="5" t="n">
        <v>82</v>
      </c>
      <c r="H666" s="5" t="inlineStr">
        <is>
          <t>profit_anchor</t>
        </is>
      </c>
      <c r="I666" t="inlineStr">
        <is>
          <t>technology_digital_anchor</t>
        </is>
      </c>
      <c r="J666" s="5" t="inlineStr">
        <is>
          <t>profit_anchor</t>
        </is>
      </c>
      <c r="K666" t="inlineStr">
        <is>
          <t>bank_finance_anchor</t>
        </is>
      </c>
      <c r="L666" s="5" t="inlineStr">
        <is>
          <t>wissen</t>
        </is>
      </c>
      <c r="M666" s="5" t="inlineStr">
        <is>
          <t>verwaltungswissen_digitalisierung</t>
        </is>
      </c>
      <c r="N666" s="5" t="inlineStr">
        <is>
          <t>Verwaltungswissen und digitale Umsetzung</t>
        </is>
      </c>
      <c r="O666" s="5" t="n">
        <v>5</v>
      </c>
      <c r="P666" s="5" t="n">
        <v>3</v>
      </c>
      <c r="Q666" s="5" t="n">
        <v>12</v>
      </c>
      <c r="R666" s="5" t="n">
        <v>2</v>
      </c>
      <c r="S666" s="5" t="n">
        <v>0</v>
      </c>
      <c r="T666" s="5" t="n">
        <v>0</v>
      </c>
      <c r="U666" s="5" t="n">
        <v>1</v>
      </c>
      <c r="V666" s="5" t="n">
        <v>4</v>
      </c>
      <c r="W666" s="5" t="n">
        <v>4</v>
      </c>
      <c r="X666" s="5" t="n">
        <v>0</v>
      </c>
      <c r="Y666" s="5" t="n">
        <v>0</v>
      </c>
      <c r="Z666" s="5" t="n">
        <v>0</v>
      </c>
      <c r="AA666" s="5" t="n">
        <v>0</v>
      </c>
      <c r="AB666" s="5" t="n">
        <v>15.074807</v>
      </c>
      <c r="AC666" s="5" t="inlineStr">
        <is>
          <t>Wie wird Verwaltung bei Regulierung, Genehmigung, Digitalisierung und Umsetzung leistungsfähiger?</t>
        </is>
      </c>
      <c r="AD666" s="5" t="inlineStr">
        <is>
          <t>Verwaltungswissen und digitale Umsetzung: Empolis Information Management GmbH (profit_anchor, 5) + Sparkassenverband Rheinland-Pfalz (profit_anchor, 3).</t>
        </is>
      </c>
      <c r="AE666" s="5" t="inlineStr">
        <is>
          <t>Empolis Information Management GmbH | Sparkassenverband Rheinland-Pfalz</t>
        </is>
      </c>
      <c r="AF666" s="5" t="inlineStr">
        <is>
          <t>verwaltungswissen-digitalisierung-empolis-information-management-gmbh-sparkassenverband-rheinla</t>
        </is>
      </c>
    </row>
    <row r="667">
      <c r="A667" s="5" t="inlineStr">
        <is>
          <t>C0666</t>
        </is>
      </c>
      <c r="B667" s="5" t="inlineStr">
        <is>
          <t>x_0666</t>
        </is>
      </c>
      <c r="C667" s="5" t="n">
        <v>0</v>
      </c>
      <c r="D667" s="5" t="inlineStr">
        <is>
          <t>ENTEGA Plus GmbH</t>
        </is>
      </c>
      <c r="E667" s="5" t="inlineStr">
        <is>
          <t>KSB AG</t>
        </is>
      </c>
      <c r="F667" s="5" t="n">
        <v>24</v>
      </c>
      <c r="G667" s="5" t="n">
        <v>57</v>
      </c>
      <c r="H667" s="5" t="inlineStr">
        <is>
          <t>profit_anchor</t>
        </is>
      </c>
      <c r="I667" t="inlineStr">
        <is>
          <t>energy_infrastructure_anchor</t>
        </is>
      </c>
      <c r="J667" s="5" t="inlineStr">
        <is>
          <t>profit_anchor</t>
        </is>
      </c>
      <c r="K667" t="inlineStr">
        <is>
          <t>industry_anchor</t>
        </is>
      </c>
      <c r="L667" s="5" t="inlineStr">
        <is>
          <t>nachhaltigkeit</t>
        </is>
      </c>
      <c r="M667" s="5" t="inlineStr">
        <is>
          <t>wasser_umwelttechnik_resilienz</t>
        </is>
      </c>
      <c r="N667" s="5" t="inlineStr">
        <is>
          <t>Wasser, Umwelttechnik und kommunale Resilienz</t>
        </is>
      </c>
      <c r="O667" s="5" t="n">
        <v>3</v>
      </c>
      <c r="P667" s="5" t="n">
        <v>5</v>
      </c>
      <c r="Q667" s="5" t="n">
        <v>12</v>
      </c>
      <c r="R667" s="5" t="n">
        <v>2</v>
      </c>
      <c r="S667" s="5" t="n">
        <v>0</v>
      </c>
      <c r="T667" s="5" t="n">
        <v>0</v>
      </c>
      <c r="U667" s="5" t="n">
        <v>1</v>
      </c>
      <c r="V667" s="5" t="n">
        <v>4</v>
      </c>
      <c r="W667" s="5" t="n">
        <v>4</v>
      </c>
      <c r="X667" s="5" t="n">
        <v>0</v>
      </c>
      <c r="Y667" s="5" t="n">
        <v>0</v>
      </c>
      <c r="Z667" s="5" t="n">
        <v>0</v>
      </c>
      <c r="AA667" s="5" t="n">
        <v>0</v>
      </c>
      <c r="AB667" s="5" t="n">
        <v>13.444958</v>
      </c>
      <c r="AC667" s="5" t="inlineStr">
        <is>
          <t>Wie können Kommunen und Infrastrukturträger Wasser-, Abwasser- und Umwelttechnik digitaler und resilienter steuern?</t>
        </is>
      </c>
      <c r="AD667" s="5" t="inlineStr">
        <is>
          <t>Wasser, Umwelttechnik und kommunale Resilienz: ENTEGA Plus GmbH (profit_anchor, 3) + KSB AG (profit_anchor, 5).</t>
        </is>
      </c>
      <c r="AE667" s="5" t="inlineStr">
        <is>
          <t>ENTEGA Plus GmbH | KSB AG</t>
        </is>
      </c>
      <c r="AF667" s="5" t="inlineStr">
        <is>
          <t>wasser-umwelttechnik-resilienz-entega-plus-gmbh-ksb-ag</t>
        </is>
      </c>
    </row>
    <row r="668">
      <c r="A668" s="5" t="inlineStr">
        <is>
          <t>C0667</t>
        </is>
      </c>
      <c r="B668" s="5" t="inlineStr">
        <is>
          <t>x_0667</t>
        </is>
      </c>
      <c r="C668" s="5" t="n">
        <v>0</v>
      </c>
      <c r="D668" s="5" t="inlineStr">
        <is>
          <t>ENTEGA Plus GmbH</t>
        </is>
      </c>
      <c r="E668" s="5" t="inlineStr">
        <is>
          <t>Zahnen Technik GmbH</t>
        </is>
      </c>
      <c r="F668" s="5" t="n">
        <v>24</v>
      </c>
      <c r="G668" s="5" t="n">
        <v>101</v>
      </c>
      <c r="H668" s="5" t="inlineStr">
        <is>
          <t>profit_anchor</t>
        </is>
      </c>
      <c r="I668" t="inlineStr">
        <is>
          <t>energy_infrastructure_anchor</t>
        </is>
      </c>
      <c r="J668" s="5" t="inlineStr">
        <is>
          <t>profit_anchor</t>
        </is>
      </c>
      <c r="K668" t="inlineStr">
        <is>
          <t>energy_infrastructure_anchor</t>
        </is>
      </c>
      <c r="L668" s="5" t="inlineStr">
        <is>
          <t>nachhaltigkeit</t>
        </is>
      </c>
      <c r="M668" s="5" t="inlineStr">
        <is>
          <t>wasser_umwelttechnik_resilienz</t>
        </is>
      </c>
      <c r="N668" s="5" t="inlineStr">
        <is>
          <t>Wasser, Umwelttechnik und kommunale Resilienz</t>
        </is>
      </c>
      <c r="O668" s="5" t="n">
        <v>3</v>
      </c>
      <c r="P668" s="5" t="n">
        <v>5</v>
      </c>
      <c r="Q668" s="5" t="n">
        <v>12</v>
      </c>
      <c r="R668" s="5" t="n">
        <v>2</v>
      </c>
      <c r="S668" s="5" t="n">
        <v>0</v>
      </c>
      <c r="T668" s="5" t="n">
        <v>0</v>
      </c>
      <c r="U668" s="5" t="n">
        <v>1</v>
      </c>
      <c r="V668" s="5" t="n">
        <v>4</v>
      </c>
      <c r="W668" s="5" t="n">
        <v>4</v>
      </c>
      <c r="X668" s="5" t="n">
        <v>0</v>
      </c>
      <c r="Y668" s="5" t="n">
        <v>0</v>
      </c>
      <c r="Z668" s="5" t="n">
        <v>0</v>
      </c>
      <c r="AA668" s="5" t="n">
        <v>0</v>
      </c>
      <c r="AB668" s="5" t="n">
        <v>14.10119</v>
      </c>
      <c r="AC668" s="5" t="inlineStr">
        <is>
          <t>Wie können Kommunen und Infrastrukturträger Wasser-, Abwasser- und Umwelttechnik digitaler und resilienter steuern?</t>
        </is>
      </c>
      <c r="AD668" s="5" t="inlineStr">
        <is>
          <t>Wasser, Umwelttechnik und kommunale Resilienz: ENTEGA Plus GmbH (profit_anchor, 3) + Zahnen Technik GmbH (profit_anchor, 5).</t>
        </is>
      </c>
      <c r="AE668" s="5" t="inlineStr">
        <is>
          <t>ENTEGA Plus GmbH | Zahnen Technik GmbH</t>
        </is>
      </c>
      <c r="AF668" s="5" t="inlineStr">
        <is>
          <t>wasser-umwelttechnik-resilienz-entega-plus-gmbh-zahnen-technik-gmbh</t>
        </is>
      </c>
    </row>
    <row r="669">
      <c r="A669" s="5" t="inlineStr">
        <is>
          <t>C0668</t>
        </is>
      </c>
      <c r="B669" s="5" t="inlineStr">
        <is>
          <t>x_0668</t>
        </is>
      </c>
      <c r="C669" s="5" t="n">
        <v>0</v>
      </c>
      <c r="D669" s="5" t="inlineStr">
        <is>
          <t>KSB AG</t>
        </is>
      </c>
      <c r="E669" s="5" t="inlineStr">
        <is>
          <t>Pfalzwerke AG</t>
        </is>
      </c>
      <c r="F669" s="5" t="n">
        <v>57</v>
      </c>
      <c r="G669" s="5" t="n">
        <v>72</v>
      </c>
      <c r="H669" s="5" t="inlineStr">
        <is>
          <t>profit_anchor</t>
        </is>
      </c>
      <c r="I669" t="inlineStr">
        <is>
          <t>industry_anchor</t>
        </is>
      </c>
      <c r="J669" s="5" t="inlineStr">
        <is>
          <t>profit_anchor</t>
        </is>
      </c>
      <c r="K669" t="inlineStr">
        <is>
          <t>energy_infrastructure_anchor</t>
        </is>
      </c>
      <c r="L669" s="5" t="inlineStr">
        <is>
          <t>nachhaltigkeit</t>
        </is>
      </c>
      <c r="M669" s="5" t="inlineStr">
        <is>
          <t>wasser_umwelttechnik_resilienz</t>
        </is>
      </c>
      <c r="N669" s="5" t="inlineStr">
        <is>
          <t>Wasser, Umwelttechnik und kommunale Resilienz</t>
        </is>
      </c>
      <c r="O669" s="5" t="n">
        <v>5</v>
      </c>
      <c r="P669" s="5" t="n">
        <v>3</v>
      </c>
      <c r="Q669" s="5" t="n">
        <v>12</v>
      </c>
      <c r="R669" s="5" t="n">
        <v>2</v>
      </c>
      <c r="S669" s="5" t="n">
        <v>0</v>
      </c>
      <c r="T669" s="5" t="n">
        <v>0</v>
      </c>
      <c r="U669" s="5" t="n">
        <v>1</v>
      </c>
      <c r="V669" s="5" t="n">
        <v>4</v>
      </c>
      <c r="W669" s="5" t="n">
        <v>4</v>
      </c>
      <c r="X669" s="5" t="n">
        <v>0</v>
      </c>
      <c r="Y669" s="5" t="n">
        <v>0</v>
      </c>
      <c r="Z669" s="5" t="n">
        <v>0</v>
      </c>
      <c r="AA669" s="5" t="n">
        <v>0</v>
      </c>
      <c r="AB669" s="5" t="n">
        <v>13.444958</v>
      </c>
      <c r="AC669" s="5" t="inlineStr">
        <is>
          <t>Wie können Kommunen und Infrastrukturträger Wasser-, Abwasser- und Umwelttechnik digitaler und resilienter steuern?</t>
        </is>
      </c>
      <c r="AD669" s="5" t="inlineStr">
        <is>
          <t>Wasser, Umwelttechnik und kommunale Resilienz: KSB AG (profit_anchor, 5) + Pfalzwerke AG (profit_anchor, 3).</t>
        </is>
      </c>
      <c r="AE669" s="5" t="inlineStr">
        <is>
          <t>KSB AG | Pfalzwerke AG</t>
        </is>
      </c>
      <c r="AF669" s="5" t="inlineStr">
        <is>
          <t>wasser-umwelttechnik-resilienz-ksb-ag-pfalzwerke-ag</t>
        </is>
      </c>
    </row>
    <row r="670">
      <c r="A670" s="5" t="inlineStr">
        <is>
          <t>C0669</t>
        </is>
      </c>
      <c r="B670" s="5" t="inlineStr">
        <is>
          <t>x_0669</t>
        </is>
      </c>
      <c r="C670" s="5" t="n">
        <v>0</v>
      </c>
      <c r="D670" s="5" t="inlineStr">
        <is>
          <t>KSB AG</t>
        </is>
      </c>
      <c r="E670" s="5" t="inlineStr">
        <is>
          <t>Westenergie AG</t>
        </is>
      </c>
      <c r="F670" s="5" t="n">
        <v>57</v>
      </c>
      <c r="G670" s="5" t="n">
        <v>98</v>
      </c>
      <c r="H670" s="5" t="inlineStr">
        <is>
          <t>profit_anchor</t>
        </is>
      </c>
      <c r="I670" t="inlineStr">
        <is>
          <t>industry_anchor</t>
        </is>
      </c>
      <c r="J670" s="5" t="inlineStr">
        <is>
          <t>profit_anchor</t>
        </is>
      </c>
      <c r="K670" t="inlineStr">
        <is>
          <t>energy_infrastructure_anchor</t>
        </is>
      </c>
      <c r="L670" s="5" t="inlineStr">
        <is>
          <t>nachhaltigkeit</t>
        </is>
      </c>
      <c r="M670" s="5" t="inlineStr">
        <is>
          <t>wasser_umwelttechnik_resilienz</t>
        </is>
      </c>
      <c r="N670" s="5" t="inlineStr">
        <is>
          <t>Wasser, Umwelttechnik und kommunale Resilienz</t>
        </is>
      </c>
      <c r="O670" s="5" t="n">
        <v>5</v>
      </c>
      <c r="P670" s="5" t="n">
        <v>3</v>
      </c>
      <c r="Q670" s="5" t="n">
        <v>12</v>
      </c>
      <c r="R670" s="5" t="n">
        <v>2</v>
      </c>
      <c r="S670" s="5" t="n">
        <v>0</v>
      </c>
      <c r="T670" s="5" t="n">
        <v>0</v>
      </c>
      <c r="U670" s="5" t="n">
        <v>1</v>
      </c>
      <c r="V670" s="5" t="n">
        <v>4</v>
      </c>
      <c r="W670" s="5" t="n">
        <v>4</v>
      </c>
      <c r="X670" s="5" t="n">
        <v>0</v>
      </c>
      <c r="Y670" s="5" t="n">
        <v>0</v>
      </c>
      <c r="Z670" s="5" t="n">
        <v>0</v>
      </c>
      <c r="AA670" s="5" t="n">
        <v>0</v>
      </c>
      <c r="AB670" s="5" t="n">
        <v>13.444958</v>
      </c>
      <c r="AC670" s="5" t="inlineStr">
        <is>
          <t>Wie können Kommunen und Infrastrukturträger Wasser-, Abwasser- und Umwelttechnik digitaler und resilienter steuern?</t>
        </is>
      </c>
      <c r="AD670" s="5" t="inlineStr">
        <is>
          <t>Wasser, Umwelttechnik und kommunale Resilienz: KSB AG (profit_anchor, 5) + Westenergie AG (profit_anchor, 3).</t>
        </is>
      </c>
      <c r="AE670" s="5" t="inlineStr">
        <is>
          <t>KSB AG | Westenergie AG</t>
        </is>
      </c>
      <c r="AF670" s="5" t="inlineStr">
        <is>
          <t>wasser-umwelttechnik-resilienz-ksb-ag-westenergie-ag</t>
        </is>
      </c>
    </row>
    <row r="671">
      <c r="A671" s="5" t="inlineStr">
        <is>
          <t>C0670</t>
        </is>
      </c>
      <c r="B671" s="5" t="inlineStr">
        <is>
          <t>x_0670</t>
        </is>
      </c>
      <c r="C671" s="5" t="n">
        <v>0</v>
      </c>
      <c r="D671" s="5" t="inlineStr">
        <is>
          <t>Pfalzwerke AG</t>
        </is>
      </c>
      <c r="E671" s="5" t="inlineStr">
        <is>
          <t>Zahnen Technik GmbH</t>
        </is>
      </c>
      <c r="F671" s="5" t="n">
        <v>72</v>
      </c>
      <c r="G671" s="5" t="n">
        <v>101</v>
      </c>
      <c r="H671" s="5" t="inlineStr">
        <is>
          <t>profit_anchor</t>
        </is>
      </c>
      <c r="I671" t="inlineStr">
        <is>
          <t>energy_infrastructure_anchor</t>
        </is>
      </c>
      <c r="J671" s="5" t="inlineStr">
        <is>
          <t>profit_anchor</t>
        </is>
      </c>
      <c r="K671" t="inlineStr">
        <is>
          <t>energy_infrastructure_anchor</t>
        </is>
      </c>
      <c r="L671" s="5" t="inlineStr">
        <is>
          <t>nachhaltigkeit</t>
        </is>
      </c>
      <c r="M671" s="5" t="inlineStr">
        <is>
          <t>wasser_umwelttechnik_resilienz</t>
        </is>
      </c>
      <c r="N671" s="5" t="inlineStr">
        <is>
          <t>Wasser, Umwelttechnik und kommunale Resilienz</t>
        </is>
      </c>
      <c r="O671" s="5" t="n">
        <v>3</v>
      </c>
      <c r="P671" s="5" t="n">
        <v>5</v>
      </c>
      <c r="Q671" s="5" t="n">
        <v>12</v>
      </c>
      <c r="R671" s="5" t="n">
        <v>2</v>
      </c>
      <c r="S671" s="5" t="n">
        <v>0</v>
      </c>
      <c r="T671" s="5" t="n">
        <v>0</v>
      </c>
      <c r="U671" s="5" t="n">
        <v>1</v>
      </c>
      <c r="V671" s="5" t="n">
        <v>4</v>
      </c>
      <c r="W671" s="5" t="n">
        <v>4</v>
      </c>
      <c r="X671" s="5" t="n">
        <v>0</v>
      </c>
      <c r="Y671" s="5" t="n">
        <v>0</v>
      </c>
      <c r="Z671" s="5" t="n">
        <v>0</v>
      </c>
      <c r="AA671" s="5" t="n">
        <v>0</v>
      </c>
      <c r="AB671" s="5" t="n">
        <v>14.10119</v>
      </c>
      <c r="AC671" s="5" t="inlineStr">
        <is>
          <t>Wie können Kommunen und Infrastrukturträger Wasser-, Abwasser- und Umwelttechnik digitaler und resilienter steuern?</t>
        </is>
      </c>
      <c r="AD671" s="5" t="inlineStr">
        <is>
          <t>Wasser, Umwelttechnik und kommunale Resilienz: Pfalzwerke AG (profit_anchor, 3) + Zahnen Technik GmbH (profit_anchor, 5).</t>
        </is>
      </c>
      <c r="AE671" s="5" t="inlineStr">
        <is>
          <t>Pfalzwerke AG | Zahnen Technik GmbH</t>
        </is>
      </c>
      <c r="AF671" s="5" t="inlineStr">
        <is>
          <t>wasser-umwelttechnik-resilienz-pfalzwerke-ag-zahnen-technik-gmbh</t>
        </is>
      </c>
    </row>
    <row r="672">
      <c r="A672" s="5" t="inlineStr">
        <is>
          <t>C0671</t>
        </is>
      </c>
      <c r="B672" s="5" t="inlineStr">
        <is>
          <t>x_0671</t>
        </is>
      </c>
      <c r="C672" s="5" t="n">
        <v>0</v>
      </c>
      <c r="D672" s="5" t="inlineStr">
        <is>
          <t>Westenergie AG</t>
        </is>
      </c>
      <c r="E672" s="5" t="inlineStr">
        <is>
          <t>Zahnen Technik GmbH</t>
        </is>
      </c>
      <c r="F672" s="5" t="n">
        <v>98</v>
      </c>
      <c r="G672" s="5" t="n">
        <v>101</v>
      </c>
      <c r="H672" s="5" t="inlineStr">
        <is>
          <t>profit_anchor</t>
        </is>
      </c>
      <c r="I672" t="inlineStr">
        <is>
          <t>energy_infrastructure_anchor</t>
        </is>
      </c>
      <c r="J672" s="5" t="inlineStr">
        <is>
          <t>profit_anchor</t>
        </is>
      </c>
      <c r="K672" t="inlineStr">
        <is>
          <t>energy_infrastructure_anchor</t>
        </is>
      </c>
      <c r="L672" s="5" t="inlineStr">
        <is>
          <t>nachhaltigkeit</t>
        </is>
      </c>
      <c r="M672" s="5" t="inlineStr">
        <is>
          <t>wasser_umwelttechnik_resilienz</t>
        </is>
      </c>
      <c r="N672" s="5" t="inlineStr">
        <is>
          <t>Wasser, Umwelttechnik und kommunale Resilienz</t>
        </is>
      </c>
      <c r="O672" s="5" t="n">
        <v>3</v>
      </c>
      <c r="P672" s="5" t="n">
        <v>5</v>
      </c>
      <c r="Q672" s="5" t="n">
        <v>12</v>
      </c>
      <c r="R672" s="5" t="n">
        <v>2</v>
      </c>
      <c r="S672" s="5" t="n">
        <v>0</v>
      </c>
      <c r="T672" s="5" t="n">
        <v>0</v>
      </c>
      <c r="U672" s="5" t="n">
        <v>1</v>
      </c>
      <c r="V672" s="5" t="n">
        <v>4</v>
      </c>
      <c r="W672" s="5" t="n">
        <v>4</v>
      </c>
      <c r="X672" s="5" t="n">
        <v>0</v>
      </c>
      <c r="Y672" s="5" t="n">
        <v>0</v>
      </c>
      <c r="Z672" s="5" t="n">
        <v>0</v>
      </c>
      <c r="AA672" s="5" t="n">
        <v>0</v>
      </c>
      <c r="AB672" s="5" t="n">
        <v>14.10119</v>
      </c>
      <c r="AC672" s="5" t="inlineStr">
        <is>
          <t>Wie können Kommunen und Infrastrukturträger Wasser-, Abwasser- und Umwelttechnik digitaler und resilienter steuern?</t>
        </is>
      </c>
      <c r="AD672" s="5" t="inlineStr">
        <is>
          <t>Wasser, Umwelttechnik und kommunale Resilienz: Westenergie AG (profit_anchor, 3) + Zahnen Technik GmbH (profit_anchor, 5).</t>
        </is>
      </c>
      <c r="AE672" s="5" t="inlineStr">
        <is>
          <t>Westenergie AG | Zahnen Technik GmbH</t>
        </is>
      </c>
      <c r="AF672" s="5" t="inlineStr">
        <is>
          <t>wasser-umwelttechnik-resilienz-westenergie-ag-zahnen-technik-gmbh</t>
        </is>
      </c>
    </row>
    <row r="673">
      <c r="A673" s="5" t="inlineStr">
        <is>
          <t>C0672</t>
        </is>
      </c>
      <c r="B673" s="5" t="inlineStr">
        <is>
          <t>x_0672</t>
        </is>
      </c>
      <c r="C673" s="5" t="n">
        <v>0</v>
      </c>
      <c r="D673" s="5" t="inlineStr">
        <is>
          <t>GLOBUS Markthallen Holding GmbH &amp; Co. KG</t>
        </is>
      </c>
      <c r="E673" s="5" t="inlineStr">
        <is>
          <t>LOTTO Rheinland-Pfalz GmbH</t>
        </is>
      </c>
      <c r="F673" s="5" t="n">
        <v>31</v>
      </c>
      <c r="G673" s="5" t="n">
        <v>66</v>
      </c>
      <c r="H673" s="5" t="inlineStr">
        <is>
          <t>profit_anchor</t>
        </is>
      </c>
      <c r="I673" t="inlineStr">
        <is>
          <t>food_beverage_consumer_anchor</t>
        </is>
      </c>
      <c r="J673" s="5" t="inlineStr">
        <is>
          <t>profit_anchor</t>
        </is>
      </c>
      <c r="K673" t="inlineStr">
        <is>
          <t>culture_foundation_anchor</t>
        </is>
      </c>
      <c r="L673" s="5" t="inlineStr">
        <is>
          <t>gesellschaft</t>
        </is>
      </c>
      <c r="M673" s="5" t="inlineStr">
        <is>
          <t>sport_region_identifikation</t>
        </is>
      </c>
      <c r="N673" s="5" t="inlineStr">
        <is>
          <t>Sport, Region und gesellschaftliche Identifikation</t>
        </is>
      </c>
      <c r="O673" s="5" t="n">
        <v>3</v>
      </c>
      <c r="P673" s="5" t="n">
        <v>4</v>
      </c>
      <c r="Q673" s="5" t="n">
        <v>11</v>
      </c>
      <c r="R673" s="5" t="n">
        <v>2</v>
      </c>
      <c r="S673" s="5" t="n">
        <v>0</v>
      </c>
      <c r="T673" s="5" t="n">
        <v>0</v>
      </c>
      <c r="U673" s="5" t="n">
        <v>1</v>
      </c>
      <c r="V673" s="5" t="n">
        <v>4</v>
      </c>
      <c r="W673" s="5" t="n">
        <v>4</v>
      </c>
      <c r="X673" s="5" t="n">
        <v>0</v>
      </c>
      <c r="Y673" s="5" t="n">
        <v>0</v>
      </c>
      <c r="Z673" s="5" t="n">
        <v>0</v>
      </c>
      <c r="AA673" s="5" t="n">
        <v>0</v>
      </c>
      <c r="AB673" s="5" t="n">
        <v>20.895667</v>
      </c>
      <c r="AC673" s="5" t="inlineStr">
        <is>
          <t>Wie können Sportvereine als regionale Plattformen für Bildung, Teilhabe, Gesundheit oder Standortbindung wirken?</t>
        </is>
      </c>
      <c r="AD673" s="5" t="inlineStr">
        <is>
          <t>Sport, Region und gesellschaftliche Identifikation: GLOBUS Markthallen Holding GmbH &amp; Co. KG (profit_anchor, 3) + LOTTO Rheinland-Pfalz GmbH (profit_anchor, 4).</t>
        </is>
      </c>
      <c r="AE673" s="5" t="inlineStr">
        <is>
          <t>GLOBUS Markthallen Holding GmbH &amp; Co. KG | LOTTO Rheinland-Pfalz GmbH</t>
        </is>
      </c>
      <c r="AF673" s="5" t="inlineStr">
        <is>
          <t>sport-region-identifikation-globus-markthallen-holding-gmbh-co-kg-lotto-rheinland-pfalz-gmbh</t>
        </is>
      </c>
    </row>
    <row r="674">
      <c r="A674" s="5" t="inlineStr">
        <is>
          <t>C0673</t>
        </is>
      </c>
      <c r="B674" s="5" t="inlineStr">
        <is>
          <t>x_0673</t>
        </is>
      </c>
      <c r="C674" s="5" t="n">
        <v>0</v>
      </c>
      <c r="D674" s="5" t="inlineStr">
        <is>
          <t>ENTEGA Plus GmbH</t>
        </is>
      </c>
      <c r="E674" s="5" t="inlineStr">
        <is>
          <t>Mainzer Stadtwerke AG</t>
        </is>
      </c>
      <c r="F674" s="5" t="n">
        <v>24</v>
      </c>
      <c r="G674" s="5" t="n">
        <v>68</v>
      </c>
      <c r="H674" s="5" t="inlineStr">
        <is>
          <t>profit_anchor</t>
        </is>
      </c>
      <c r="I674" t="inlineStr">
        <is>
          <t>energy_infrastructure_anchor</t>
        </is>
      </c>
      <c r="J674" s="5" t="inlineStr">
        <is>
          <t>profit_anchor</t>
        </is>
      </c>
      <c r="K674" t="inlineStr">
        <is>
          <t>energy_infrastructure_anchor</t>
        </is>
      </c>
      <c r="L674" s="5" t="inlineStr">
        <is>
          <t>nachhaltigkeit</t>
        </is>
      </c>
      <c r="M674" s="5" t="inlineStr">
        <is>
          <t>wasser_umwelttechnik_resilienz</t>
        </is>
      </c>
      <c r="N674" s="5" t="inlineStr">
        <is>
          <t>Wasser, Umwelttechnik und kommunale Resilienz</t>
        </is>
      </c>
      <c r="O674" s="5" t="n">
        <v>3</v>
      </c>
      <c r="P674" s="5" t="n">
        <v>4</v>
      </c>
      <c r="Q674" s="5" t="n">
        <v>11</v>
      </c>
      <c r="R674" s="5" t="n">
        <v>2</v>
      </c>
      <c r="S674" s="5" t="n">
        <v>0</v>
      </c>
      <c r="T674" s="5" t="n">
        <v>0</v>
      </c>
      <c r="U674" s="5" t="n">
        <v>1</v>
      </c>
      <c r="V674" s="5" t="n">
        <v>4</v>
      </c>
      <c r="W674" s="5" t="n">
        <v>4</v>
      </c>
      <c r="X674" s="5" t="n">
        <v>0</v>
      </c>
      <c r="Y674" s="5" t="n">
        <v>0</v>
      </c>
      <c r="Z674" s="5" t="n">
        <v>0</v>
      </c>
      <c r="AA674" s="5" t="n">
        <v>0</v>
      </c>
      <c r="AB674" s="5" t="n">
        <v>13.488095</v>
      </c>
      <c r="AC674" s="5" t="inlineStr">
        <is>
          <t>Wie können Kommunen und Infrastrukturträger Wasser-, Abwasser- und Umwelttechnik digitaler und resilienter steuern?</t>
        </is>
      </c>
      <c r="AD674" s="5" t="inlineStr">
        <is>
          <t>Wasser, Umwelttechnik und kommunale Resilienz: ENTEGA Plus GmbH (profit_anchor, 3) + Mainzer Stadtwerke AG (profit_anchor, 4).</t>
        </is>
      </c>
      <c r="AE674" s="5" t="inlineStr">
        <is>
          <t>ENTEGA Plus GmbH | Mainzer Stadtwerke AG</t>
        </is>
      </c>
      <c r="AF674" s="5" t="inlineStr">
        <is>
          <t>wasser-umwelttechnik-resilienz-entega-plus-gmbh-mainzer-stadtwerke-ag</t>
        </is>
      </c>
    </row>
    <row r="675">
      <c r="A675" s="5" t="inlineStr">
        <is>
          <t>C0674</t>
        </is>
      </c>
      <c r="B675" s="5" t="inlineStr">
        <is>
          <t>x_0674</t>
        </is>
      </c>
      <c r="C675" s="5" t="n">
        <v>0</v>
      </c>
      <c r="D675" s="5" t="inlineStr">
        <is>
          <t>Mainzer Stadtwerke AG</t>
        </is>
      </c>
      <c r="E675" s="5" t="inlineStr">
        <is>
          <t>Pfalzwerke AG</t>
        </is>
      </c>
      <c r="F675" s="5" t="n">
        <v>68</v>
      </c>
      <c r="G675" s="5" t="n">
        <v>72</v>
      </c>
      <c r="H675" s="5" t="inlineStr">
        <is>
          <t>profit_anchor</t>
        </is>
      </c>
      <c r="I675" t="inlineStr">
        <is>
          <t>energy_infrastructure_anchor</t>
        </is>
      </c>
      <c r="J675" s="5" t="inlineStr">
        <is>
          <t>profit_anchor</t>
        </is>
      </c>
      <c r="K675" t="inlineStr">
        <is>
          <t>energy_infrastructure_anchor</t>
        </is>
      </c>
      <c r="L675" s="5" t="inlineStr">
        <is>
          <t>nachhaltigkeit</t>
        </is>
      </c>
      <c r="M675" s="5" t="inlineStr">
        <is>
          <t>wasser_umwelttechnik_resilienz</t>
        </is>
      </c>
      <c r="N675" s="5" t="inlineStr">
        <is>
          <t>Wasser, Umwelttechnik und kommunale Resilienz</t>
        </is>
      </c>
      <c r="O675" s="5" t="n">
        <v>4</v>
      </c>
      <c r="P675" s="5" t="n">
        <v>3</v>
      </c>
      <c r="Q675" s="5" t="n">
        <v>11</v>
      </c>
      <c r="R675" s="5" t="n">
        <v>2</v>
      </c>
      <c r="S675" s="5" t="n">
        <v>0</v>
      </c>
      <c r="T675" s="5" t="n">
        <v>0</v>
      </c>
      <c r="U675" s="5" t="n">
        <v>1</v>
      </c>
      <c r="V675" s="5" t="n">
        <v>4</v>
      </c>
      <c r="W675" s="5" t="n">
        <v>4</v>
      </c>
      <c r="X675" s="5" t="n">
        <v>0</v>
      </c>
      <c r="Y675" s="5" t="n">
        <v>0</v>
      </c>
      <c r="Z675" s="5" t="n">
        <v>0</v>
      </c>
      <c r="AA675" s="5" t="n">
        <v>0</v>
      </c>
      <c r="AB675" s="5" t="n">
        <v>13.488095</v>
      </c>
      <c r="AC675" s="5" t="inlineStr">
        <is>
          <t>Wie können Kommunen und Infrastrukturträger Wasser-, Abwasser- und Umwelttechnik digitaler und resilienter steuern?</t>
        </is>
      </c>
      <c r="AD675" s="5" t="inlineStr">
        <is>
          <t>Wasser, Umwelttechnik und kommunale Resilienz: Mainzer Stadtwerke AG (profit_anchor, 4) + Pfalzwerke AG (profit_anchor, 3).</t>
        </is>
      </c>
      <c r="AE675" s="5" t="inlineStr">
        <is>
          <t>Mainzer Stadtwerke AG | Pfalzwerke AG</t>
        </is>
      </c>
      <c r="AF675" s="5" t="inlineStr">
        <is>
          <t>wasser-umwelttechnik-resilienz-mainzer-stadtwerke-ag-pfalzwerke-ag</t>
        </is>
      </c>
    </row>
    <row r="676">
      <c r="A676" s="5" t="inlineStr">
        <is>
          <t>C0675</t>
        </is>
      </c>
      <c r="B676" s="5" t="inlineStr">
        <is>
          <t>x_0675</t>
        </is>
      </c>
      <c r="C676" s="5" t="n">
        <v>0</v>
      </c>
      <c r="D676" s="5" t="inlineStr">
        <is>
          <t>Mainzer Stadtwerke AG</t>
        </is>
      </c>
      <c r="E676" s="5" t="inlineStr">
        <is>
          <t>Westenergie AG</t>
        </is>
      </c>
      <c r="F676" s="5" t="n">
        <v>68</v>
      </c>
      <c r="G676" s="5" t="n">
        <v>98</v>
      </c>
      <c r="H676" s="5" t="inlineStr">
        <is>
          <t>profit_anchor</t>
        </is>
      </c>
      <c r="I676" t="inlineStr">
        <is>
          <t>energy_infrastructure_anchor</t>
        </is>
      </c>
      <c r="J676" s="5" t="inlineStr">
        <is>
          <t>profit_anchor</t>
        </is>
      </c>
      <c r="K676" t="inlineStr">
        <is>
          <t>energy_infrastructure_anchor</t>
        </is>
      </c>
      <c r="L676" s="5" t="inlineStr">
        <is>
          <t>nachhaltigkeit</t>
        </is>
      </c>
      <c r="M676" s="5" t="inlineStr">
        <is>
          <t>wasser_umwelttechnik_resilienz</t>
        </is>
      </c>
      <c r="N676" s="5" t="inlineStr">
        <is>
          <t>Wasser, Umwelttechnik und kommunale Resilienz</t>
        </is>
      </c>
      <c r="O676" s="5" t="n">
        <v>4</v>
      </c>
      <c r="P676" s="5" t="n">
        <v>3</v>
      </c>
      <c r="Q676" s="5" t="n">
        <v>11</v>
      </c>
      <c r="R676" s="5" t="n">
        <v>2</v>
      </c>
      <c r="S676" s="5" t="n">
        <v>0</v>
      </c>
      <c r="T676" s="5" t="n">
        <v>0</v>
      </c>
      <c r="U676" s="5" t="n">
        <v>1</v>
      </c>
      <c r="V676" s="5" t="n">
        <v>4</v>
      </c>
      <c r="W676" s="5" t="n">
        <v>4</v>
      </c>
      <c r="X676" s="5" t="n">
        <v>0</v>
      </c>
      <c r="Y676" s="5" t="n">
        <v>0</v>
      </c>
      <c r="Z676" s="5" t="n">
        <v>0</v>
      </c>
      <c r="AA676" s="5" t="n">
        <v>0</v>
      </c>
      <c r="AB676" s="5" t="n">
        <v>13.488095</v>
      </c>
      <c r="AC676" s="5" t="inlineStr">
        <is>
          <t>Wie können Kommunen und Infrastrukturträger Wasser-, Abwasser- und Umwelttechnik digitaler und resilienter steuern?</t>
        </is>
      </c>
      <c r="AD676" s="5" t="inlineStr">
        <is>
          <t>Wasser, Umwelttechnik und kommunale Resilienz: Mainzer Stadtwerke AG (profit_anchor, 4) + Westenergie AG (profit_anchor, 3).</t>
        </is>
      </c>
      <c r="AE676" s="5" t="inlineStr">
        <is>
          <t>Mainzer Stadtwerke AG | Westenergie AG</t>
        </is>
      </c>
      <c r="AF676" s="5" t="inlineStr">
        <is>
          <t>wasser-umwelttechnik-resilienz-mainzer-stadtwerke-ag-westenergie-ag</t>
        </is>
      </c>
    </row>
    <row r="677">
      <c r="A677" s="5" t="inlineStr">
        <is>
          <t>C0676</t>
        </is>
      </c>
      <c r="B677" s="5" t="inlineStr">
        <is>
          <t>x_0676</t>
        </is>
      </c>
      <c r="C677" s="5" t="n">
        <v>0</v>
      </c>
      <c r="D677" s="5" t="inlineStr">
        <is>
          <t>ENTEGA Plus GmbH</t>
        </is>
      </c>
      <c r="E677" s="5" t="inlineStr">
        <is>
          <t>Pfalzwerke AG</t>
        </is>
      </c>
      <c r="F677" s="5" t="n">
        <v>24</v>
      </c>
      <c r="G677" s="5" t="n">
        <v>72</v>
      </c>
      <c r="H677" s="5" t="inlineStr">
        <is>
          <t>profit_anchor</t>
        </is>
      </c>
      <c r="I677" t="inlineStr">
        <is>
          <t>energy_infrastructure_anchor</t>
        </is>
      </c>
      <c r="J677" s="5" t="inlineStr">
        <is>
          <t>profit_anchor</t>
        </is>
      </c>
      <c r="K677" t="inlineStr">
        <is>
          <t>energy_infrastructure_anchor</t>
        </is>
      </c>
      <c r="L677" s="5" t="inlineStr">
        <is>
          <t>nachhaltigkeit</t>
        </is>
      </c>
      <c r="M677" s="5" t="inlineStr">
        <is>
          <t>wasser_umwelttechnik_resilienz</t>
        </is>
      </c>
      <c r="N677" s="5" t="inlineStr">
        <is>
          <t>Wasser, Umwelttechnik und kommunale Resilienz</t>
        </is>
      </c>
      <c r="O677" s="5" t="n">
        <v>3</v>
      </c>
      <c r="P677" s="5" t="n">
        <v>3</v>
      </c>
      <c r="Q677" s="5" t="n">
        <v>10</v>
      </c>
      <c r="R677" s="5" t="n">
        <v>2</v>
      </c>
      <c r="S677" s="5" t="n">
        <v>0</v>
      </c>
      <c r="T677" s="5" t="n">
        <v>0</v>
      </c>
      <c r="U677" s="5" t="n">
        <v>1</v>
      </c>
      <c r="V677" s="5" t="n">
        <v>4</v>
      </c>
      <c r="W677" s="5" t="n">
        <v>4</v>
      </c>
      <c r="X677" s="5" t="n">
        <v>0</v>
      </c>
      <c r="Y677" s="5" t="n">
        <v>0</v>
      </c>
      <c r="Z677" s="5" t="n">
        <v>0</v>
      </c>
      <c r="AA677" s="5" t="n">
        <v>0</v>
      </c>
      <c r="AB677" s="5" t="n">
        <v>12.875</v>
      </c>
      <c r="AC677" s="5" t="inlineStr">
        <is>
          <t>Wie können Kommunen und Infrastrukturträger Wasser-, Abwasser- und Umwelttechnik digitaler und resilienter steuern?</t>
        </is>
      </c>
      <c r="AD677" s="5" t="inlineStr">
        <is>
          <t>Wasser, Umwelttechnik und kommunale Resilienz: ENTEGA Plus GmbH (profit_anchor, 3) + Pfalzwerke AG (profit_anchor, 3).</t>
        </is>
      </c>
      <c r="AE677" s="5" t="inlineStr">
        <is>
          <t>ENTEGA Plus GmbH | Pfalzwerke AG</t>
        </is>
      </c>
      <c r="AF677" s="5" t="inlineStr">
        <is>
          <t>wasser-umwelttechnik-resilienz-entega-plus-gmbh-pfalzwerke-ag</t>
        </is>
      </c>
    </row>
    <row r="678">
      <c r="A678" s="5" t="inlineStr">
        <is>
          <t>C0677</t>
        </is>
      </c>
      <c r="B678" s="5" t="inlineStr">
        <is>
          <t>x_0677</t>
        </is>
      </c>
      <c r="C678" s="5" t="n">
        <v>0</v>
      </c>
      <c r="D678" s="5" t="inlineStr">
        <is>
          <t>ENTEGA Plus GmbH</t>
        </is>
      </c>
      <c r="E678" s="5" t="inlineStr">
        <is>
          <t>Westenergie AG</t>
        </is>
      </c>
      <c r="F678" s="5" t="n">
        <v>24</v>
      </c>
      <c r="G678" s="5" t="n">
        <v>98</v>
      </c>
      <c r="H678" s="5" t="inlineStr">
        <is>
          <t>profit_anchor</t>
        </is>
      </c>
      <c r="I678" t="inlineStr">
        <is>
          <t>energy_infrastructure_anchor</t>
        </is>
      </c>
      <c r="J678" s="5" t="inlineStr">
        <is>
          <t>profit_anchor</t>
        </is>
      </c>
      <c r="K678" t="inlineStr">
        <is>
          <t>energy_infrastructure_anchor</t>
        </is>
      </c>
      <c r="L678" s="5" t="inlineStr">
        <is>
          <t>nachhaltigkeit</t>
        </is>
      </c>
      <c r="M678" s="5" t="inlineStr">
        <is>
          <t>wasser_umwelttechnik_resilienz</t>
        </is>
      </c>
      <c r="N678" s="5" t="inlineStr">
        <is>
          <t>Wasser, Umwelttechnik und kommunale Resilienz</t>
        </is>
      </c>
      <c r="O678" s="5" t="n">
        <v>3</v>
      </c>
      <c r="P678" s="5" t="n">
        <v>3</v>
      </c>
      <c r="Q678" s="5" t="n">
        <v>10</v>
      </c>
      <c r="R678" s="5" t="n">
        <v>2</v>
      </c>
      <c r="S678" s="5" t="n">
        <v>0</v>
      </c>
      <c r="T678" s="5" t="n">
        <v>0</v>
      </c>
      <c r="U678" s="5" t="n">
        <v>1</v>
      </c>
      <c r="V678" s="5" t="n">
        <v>4</v>
      </c>
      <c r="W678" s="5" t="n">
        <v>4</v>
      </c>
      <c r="X678" s="5" t="n">
        <v>0</v>
      </c>
      <c r="Y678" s="5" t="n">
        <v>0</v>
      </c>
      <c r="Z678" s="5" t="n">
        <v>0</v>
      </c>
      <c r="AA678" s="5" t="n">
        <v>0</v>
      </c>
      <c r="AB678" s="5" t="n">
        <v>12.875</v>
      </c>
      <c r="AC678" s="5" t="inlineStr">
        <is>
          <t>Wie können Kommunen und Infrastrukturträger Wasser-, Abwasser- und Umwelttechnik digitaler und resilienter steuern?</t>
        </is>
      </c>
      <c r="AD678" s="5" t="inlineStr">
        <is>
          <t>Wasser, Umwelttechnik und kommunale Resilienz: ENTEGA Plus GmbH (profit_anchor, 3) + Westenergie AG (profit_anchor, 3).</t>
        </is>
      </c>
      <c r="AE678" s="5" t="inlineStr">
        <is>
          <t>ENTEGA Plus GmbH | Westenergie AG</t>
        </is>
      </c>
      <c r="AF678" s="5" t="inlineStr">
        <is>
          <t>wasser-umwelttechnik-resilienz-entega-plus-gmbh-westenergie-ag</t>
        </is>
      </c>
    </row>
    <row r="679">
      <c r="A679" s="5" t="inlineStr">
        <is>
          <t>C0678</t>
        </is>
      </c>
      <c r="B679" s="5" t="inlineStr">
        <is>
          <t>x_0678</t>
        </is>
      </c>
      <c r="C679" s="5" t="n">
        <v>0</v>
      </c>
      <c r="D679" s="5" t="inlineStr">
        <is>
          <t>Pfalzwerke AG</t>
        </is>
      </c>
      <c r="E679" s="5" t="inlineStr">
        <is>
          <t>Westenergie AG</t>
        </is>
      </c>
      <c r="F679" s="5" t="n">
        <v>72</v>
      </c>
      <c r="G679" s="5" t="n">
        <v>98</v>
      </c>
      <c r="H679" s="5" t="inlineStr">
        <is>
          <t>profit_anchor</t>
        </is>
      </c>
      <c r="I679" t="inlineStr">
        <is>
          <t>energy_infrastructure_anchor</t>
        </is>
      </c>
      <c r="J679" s="5" t="inlineStr">
        <is>
          <t>profit_anchor</t>
        </is>
      </c>
      <c r="K679" t="inlineStr">
        <is>
          <t>energy_infrastructure_anchor</t>
        </is>
      </c>
      <c r="L679" s="5" t="inlineStr">
        <is>
          <t>nachhaltigkeit</t>
        </is>
      </c>
      <c r="M679" s="5" t="inlineStr">
        <is>
          <t>wasser_umwelttechnik_resilienz</t>
        </is>
      </c>
      <c r="N679" s="5" t="inlineStr">
        <is>
          <t>Wasser, Umwelttechnik und kommunale Resilienz</t>
        </is>
      </c>
      <c r="O679" s="5" t="n">
        <v>3</v>
      </c>
      <c r="P679" s="5" t="n">
        <v>3</v>
      </c>
      <c r="Q679" s="5" t="n">
        <v>10</v>
      </c>
      <c r="R679" s="5" t="n">
        <v>2</v>
      </c>
      <c r="S679" s="5" t="n">
        <v>0</v>
      </c>
      <c r="T679" s="5" t="n">
        <v>0</v>
      </c>
      <c r="U679" s="5" t="n">
        <v>1</v>
      </c>
      <c r="V679" s="5" t="n">
        <v>4</v>
      </c>
      <c r="W679" s="5" t="n">
        <v>4</v>
      </c>
      <c r="X679" s="5" t="n">
        <v>0</v>
      </c>
      <c r="Y679" s="5" t="n">
        <v>0</v>
      </c>
      <c r="Z679" s="5" t="n">
        <v>0</v>
      </c>
      <c r="AA679" s="5" t="n">
        <v>0</v>
      </c>
      <c r="AB679" s="5" t="n">
        <v>12.875</v>
      </c>
      <c r="AC679" s="5" t="inlineStr">
        <is>
          <t>Wie können Kommunen und Infrastrukturträger Wasser-, Abwasser- und Umwelttechnik digitaler und resilienter steuern?</t>
        </is>
      </c>
      <c r="AD679" s="5" t="inlineStr">
        <is>
          <t>Wasser, Umwelttechnik und kommunale Resilienz: Pfalzwerke AG (profit_anchor, 3) + Westenergie AG (profit_anchor, 3).</t>
        </is>
      </c>
      <c r="AE679" s="5" t="inlineStr">
        <is>
          <t>Pfalzwerke AG | Westenergie AG</t>
        </is>
      </c>
      <c r="AF679" s="5" t="inlineStr">
        <is>
          <t>wasser-umwelttechnik-resilienz-pfalzwerke-ag-westenergie-ag</t>
        </is>
      </c>
    </row>
    <row r="680">
      <c r="A680" s="5" t="inlineStr">
        <is>
          <t>C0679</t>
        </is>
      </c>
      <c r="B680" s="5" t="inlineStr">
        <is>
          <t>x_0679</t>
        </is>
      </c>
      <c r="C680" s="5" t="n">
        <v>0</v>
      </c>
      <c r="D680" s="5" t="inlineStr">
        <is>
          <t>SWR – Südwestrundfunk</t>
        </is>
      </c>
      <c r="E680" s="5" t="inlineStr">
        <is>
          <t>Villa Musica Rheinland-Pfalz</t>
        </is>
      </c>
      <c r="F680" s="5" t="n">
        <v>86</v>
      </c>
      <c r="G680" s="5" t="n">
        <v>96</v>
      </c>
      <c r="H680" s="5" t="inlineStr">
        <is>
          <t>context_actor</t>
        </is>
      </c>
      <c r="I680" t="inlineStr">
        <is>
          <t>media_publicity_anchor</t>
        </is>
      </c>
      <c r="J680" s="5" t="inlineStr">
        <is>
          <t>context_actor</t>
        </is>
      </c>
      <c r="K680" t="inlineStr">
        <is>
          <t>culture_foundation_anchor</t>
        </is>
      </c>
      <c r="L680" s="5" t="inlineStr">
        <is>
          <t>kultur</t>
        </is>
      </c>
      <c r="M680" s="5" t="inlineStr">
        <is>
          <t>musikstipendium_talentfoerderung</t>
        </is>
      </c>
      <c r="N680" s="5" t="inlineStr">
        <is>
          <t>Talentförderung, Musik und Nachwuchs</t>
        </is>
      </c>
      <c r="O680" s="5" t="n">
        <v>4</v>
      </c>
      <c r="P680" s="5" t="n">
        <v>5</v>
      </c>
      <c r="Q680" s="5" t="n">
        <v>13</v>
      </c>
      <c r="R680" s="5" t="n">
        <v>2</v>
      </c>
      <c r="S680" s="5" t="n">
        <v>0</v>
      </c>
      <c r="T680" s="5" t="n">
        <v>0</v>
      </c>
      <c r="U680" s="5" t="n">
        <v>1</v>
      </c>
      <c r="V680" s="5" t="n">
        <v>3</v>
      </c>
      <c r="W680" s="5" t="n">
        <v>4</v>
      </c>
      <c r="X680" s="5" t="n">
        <v>0</v>
      </c>
      <c r="Y680" s="5" t="n">
        <v>0</v>
      </c>
      <c r="Z680" s="5" t="n">
        <v>0</v>
      </c>
      <c r="AA680" s="5" t="n">
        <v>4</v>
      </c>
      <c r="AB680" s="5" t="n">
        <v>27.698327</v>
      </c>
      <c r="AC680" s="5" t="inlineStr">
        <is>
          <t>Wie lassen sich kulturelle Talentförderung, Bildung und regionale Sichtbarkeit verbinden?</t>
        </is>
      </c>
      <c r="AD680" s="5" t="inlineStr">
        <is>
          <t>Talentförderung, Musik und Nachwuchs: SWR – Südwestrundfunk (context_actor, 4) + Villa Musica Rheinland-Pfalz (context_actor, 5).</t>
        </is>
      </c>
      <c r="AE680" s="5" t="inlineStr">
        <is>
          <t>SWR – Südwestrundfunk | Villa Musica Rheinland-Pfalz</t>
        </is>
      </c>
      <c r="AF680" s="5" t="inlineStr">
        <is>
          <t>musikstipendium-talentfoerderung-swr-südwestrundfunk-villa-musica-rheinland-pfalz</t>
        </is>
      </c>
    </row>
    <row r="681">
      <c r="A681" s="5" t="inlineStr">
        <is>
          <t>C0680</t>
        </is>
      </c>
      <c r="B681" s="5" t="inlineStr">
        <is>
          <t>x_0680</t>
        </is>
      </c>
      <c r="C681" s="5" t="n">
        <v>0</v>
      </c>
      <c r="D681" s="5" t="inlineStr">
        <is>
          <t>Villa Musica Rheinland-Pfalz</t>
        </is>
      </c>
      <c r="E681" s="5" t="inlineStr">
        <is>
          <t>ZDF – Zweites Deutsches Fernsehen</t>
        </is>
      </c>
      <c r="F681" s="5" t="n">
        <v>96</v>
      </c>
      <c r="G681" s="5" t="n">
        <v>102</v>
      </c>
      <c r="H681" s="5" t="inlineStr">
        <is>
          <t>context_actor</t>
        </is>
      </c>
      <c r="I681" t="inlineStr">
        <is>
          <t>culture_foundation_anchor</t>
        </is>
      </c>
      <c r="J681" s="5" t="inlineStr">
        <is>
          <t>context_actor</t>
        </is>
      </c>
      <c r="K681" t="inlineStr">
        <is>
          <t>media_publicity_anchor</t>
        </is>
      </c>
      <c r="L681" s="5" t="inlineStr">
        <is>
          <t>kultur</t>
        </is>
      </c>
      <c r="M681" s="5" t="inlineStr">
        <is>
          <t>musikstipendium_talentfoerderung</t>
        </is>
      </c>
      <c r="N681" s="5" t="inlineStr">
        <is>
          <t>Talentförderung, Musik und Nachwuchs</t>
        </is>
      </c>
      <c r="O681" s="5" t="n">
        <v>5</v>
      </c>
      <c r="P681" s="5" t="n">
        <v>4</v>
      </c>
      <c r="Q681" s="5" t="n">
        <v>13</v>
      </c>
      <c r="R681" s="5" t="n">
        <v>2</v>
      </c>
      <c r="S681" s="5" t="n">
        <v>0</v>
      </c>
      <c r="T681" s="5" t="n">
        <v>0</v>
      </c>
      <c r="U681" s="5" t="n">
        <v>1</v>
      </c>
      <c r="V681" s="5" t="n">
        <v>3</v>
      </c>
      <c r="W681" s="5" t="n">
        <v>4</v>
      </c>
      <c r="X681" s="5" t="n">
        <v>0</v>
      </c>
      <c r="Y681" s="5" t="n">
        <v>0</v>
      </c>
      <c r="Z681" s="5" t="n">
        <v>0</v>
      </c>
      <c r="AA681" s="5" t="n">
        <v>4</v>
      </c>
      <c r="AB681" s="5" t="n">
        <v>27.698327</v>
      </c>
      <c r="AC681" s="5" t="inlineStr">
        <is>
          <t>Wie lassen sich kulturelle Talentförderung, Bildung und regionale Sichtbarkeit verbinden?</t>
        </is>
      </c>
      <c r="AD681" s="5" t="inlineStr">
        <is>
          <t>Talentförderung, Musik und Nachwuchs: Villa Musica Rheinland-Pfalz (context_actor, 5) + ZDF – Zweites Deutsches Fernsehen (context_actor, 4).</t>
        </is>
      </c>
      <c r="AE681" s="5" t="inlineStr">
        <is>
          <t>Villa Musica Rheinland-Pfalz | ZDF – Zweites Deutsches Fernsehen</t>
        </is>
      </c>
      <c r="AF681" s="5" t="inlineStr">
        <is>
          <t>musikstipendium-talentfoerderung-villa-musica-rheinland-pfalz-zdf-zweites-deutsches-fernsehen</t>
        </is>
      </c>
    </row>
    <row r="682">
      <c r="A682" s="5" t="inlineStr">
        <is>
          <t>C0681</t>
        </is>
      </c>
      <c r="B682" s="5" t="inlineStr">
        <is>
          <t>x_0681</t>
        </is>
      </c>
      <c r="C682" s="5" t="n">
        <v>0</v>
      </c>
      <c r="D682" s="5" t="inlineStr">
        <is>
          <t>1. FSV Mainz 05 e.V.</t>
        </is>
      </c>
      <c r="E682" s="5" t="inlineStr">
        <is>
          <t>AOK Rheinland-Pfalz/Saarland</t>
        </is>
      </c>
      <c r="F682" s="5" t="n">
        <v>1</v>
      </c>
      <c r="G682" s="5" t="n">
        <v>2</v>
      </c>
      <c r="H682" s="5" t="inlineStr">
        <is>
          <t>context_actor</t>
        </is>
      </c>
      <c r="I682" t="inlineStr">
        <is>
          <t>sports_regional_identity_anchor</t>
        </is>
      </c>
      <c r="J682" s="5" t="inlineStr">
        <is>
          <t>context_actor</t>
        </is>
      </c>
      <c r="K682" t="inlineStr">
        <is>
          <t>health_social_anchor</t>
        </is>
      </c>
      <c r="L682" s="5" t="inlineStr">
        <is>
          <t>gesellschaft</t>
        </is>
      </c>
      <c r="M682" s="5" t="inlineStr">
        <is>
          <t>sport_region_identifikation</t>
        </is>
      </c>
      <c r="N682" s="5" t="inlineStr">
        <is>
          <t>Sport, Region und gesellschaftliche Identifikation</t>
        </is>
      </c>
      <c r="O682" s="5" t="n">
        <v>5</v>
      </c>
      <c r="P682" s="5" t="n">
        <v>4</v>
      </c>
      <c r="Q682" s="5" t="n">
        <v>13</v>
      </c>
      <c r="R682" s="5" t="n">
        <v>2</v>
      </c>
      <c r="S682" s="5" t="n">
        <v>0</v>
      </c>
      <c r="T682" s="5" t="n">
        <v>0</v>
      </c>
      <c r="U682" s="5" t="n">
        <v>1</v>
      </c>
      <c r="V682" s="5" t="n">
        <v>3</v>
      </c>
      <c r="W682" s="5" t="n">
        <v>4</v>
      </c>
      <c r="X682" s="5" t="n">
        <v>0</v>
      </c>
      <c r="Y682" s="5" t="n">
        <v>0</v>
      </c>
      <c r="Z682" s="5" t="n">
        <v>0</v>
      </c>
      <c r="AA682" s="5" t="n">
        <v>4</v>
      </c>
      <c r="AB682" s="5" t="n">
        <v>25.909412</v>
      </c>
      <c r="AC682" s="5" t="inlineStr">
        <is>
          <t>Wie können Sportvereine als regionale Plattformen für Bildung, Teilhabe, Gesundheit oder Standortbindung wirken?</t>
        </is>
      </c>
      <c r="AD682" s="5" t="inlineStr">
        <is>
          <t>Sport, Region und gesellschaftliche Identifikation: 1. FSV Mainz 05 e.V. (context_actor, 5) + AOK Rheinland-Pfalz/Saarland (context_actor, 4).</t>
        </is>
      </c>
      <c r="AE682" s="5" t="inlineStr">
        <is>
          <t>1. FSV Mainz 05 e.V. | AOK Rheinland-Pfalz/Saarland</t>
        </is>
      </c>
      <c r="AF682" s="5" t="inlineStr">
        <is>
          <t>sport-region-identifikation-1-fsv-mainz-05-e-v-aok-rheinland-pfalz-saarland</t>
        </is>
      </c>
    </row>
    <row r="683">
      <c r="A683" s="5" t="inlineStr">
        <is>
          <t>C0682</t>
        </is>
      </c>
      <c r="B683" s="5" t="inlineStr">
        <is>
          <t>x_0682</t>
        </is>
      </c>
      <c r="C683" s="5" t="n">
        <v>0</v>
      </c>
      <c r="D683" s="5" t="inlineStr">
        <is>
          <t>1. FSV Mainz 05 e.V.</t>
        </is>
      </c>
      <c r="E683" s="5" t="inlineStr">
        <is>
          <t>IKK Südwest</t>
        </is>
      </c>
      <c r="F683" s="5" t="n">
        <v>1</v>
      </c>
      <c r="G683" s="5" t="n">
        <v>42</v>
      </c>
      <c r="H683" s="5" t="inlineStr">
        <is>
          <t>context_actor</t>
        </is>
      </c>
      <c r="I683" t="inlineStr">
        <is>
          <t>sports_regional_identity_anchor</t>
        </is>
      </c>
      <c r="J683" s="5" t="inlineStr">
        <is>
          <t>context_actor</t>
        </is>
      </c>
      <c r="K683" t="inlineStr">
        <is>
          <t>health_social_anchor</t>
        </is>
      </c>
      <c r="L683" s="5" t="inlineStr">
        <is>
          <t>gesellschaft</t>
        </is>
      </c>
      <c r="M683" s="5" t="inlineStr">
        <is>
          <t>sport_region_identifikation</t>
        </is>
      </c>
      <c r="N683" s="5" t="inlineStr">
        <is>
          <t>Sport, Region und gesellschaftliche Identifikation</t>
        </is>
      </c>
      <c r="O683" s="5" t="n">
        <v>5</v>
      </c>
      <c r="P683" s="5" t="n">
        <v>4</v>
      </c>
      <c r="Q683" s="5" t="n">
        <v>13</v>
      </c>
      <c r="R683" s="5" t="n">
        <v>2</v>
      </c>
      <c r="S683" s="5" t="n">
        <v>0</v>
      </c>
      <c r="T683" s="5" t="n">
        <v>0</v>
      </c>
      <c r="U683" s="5" t="n">
        <v>1</v>
      </c>
      <c r="V683" s="5" t="n">
        <v>3</v>
      </c>
      <c r="W683" s="5" t="n">
        <v>4</v>
      </c>
      <c r="X683" s="5" t="n">
        <v>0</v>
      </c>
      <c r="Y683" s="5" t="n">
        <v>0</v>
      </c>
      <c r="Z683" s="5" t="n">
        <v>0</v>
      </c>
      <c r="AA683" s="5" t="n">
        <v>4</v>
      </c>
      <c r="AB683" s="5" t="n">
        <v>25.909412</v>
      </c>
      <c r="AC683" s="5" t="inlineStr">
        <is>
          <t>Wie können Sportvereine als regionale Plattformen für Bildung, Teilhabe, Gesundheit oder Standortbindung wirken?</t>
        </is>
      </c>
      <c r="AD683" s="5" t="inlineStr">
        <is>
          <t>Sport, Region und gesellschaftliche Identifikation: 1. FSV Mainz 05 e.V. (context_actor, 5) + IKK Südwest (context_actor, 4).</t>
        </is>
      </c>
      <c r="AE683" s="5" t="inlineStr">
        <is>
          <t>1. FSV Mainz 05 e.V. | IKK Südwest</t>
        </is>
      </c>
      <c r="AF683" s="5" t="inlineStr">
        <is>
          <t>sport-region-identifikation-1-fsv-mainz-05-e-v-ikk-südwest</t>
        </is>
      </c>
    </row>
    <row r="684">
      <c r="A684" s="5" t="inlineStr">
        <is>
          <t>C0683</t>
        </is>
      </c>
      <c r="B684" s="5" t="inlineStr">
        <is>
          <t>x_0683</t>
        </is>
      </c>
      <c r="C684" s="5" t="n">
        <v>0</v>
      </c>
      <c r="D684" s="5" t="inlineStr">
        <is>
          <t>1. FSV Mainz 05 e.V.</t>
        </is>
      </c>
      <c r="E684" s="5" t="inlineStr">
        <is>
          <t>RPR1.</t>
        </is>
      </c>
      <c r="F684" s="5" t="n">
        <v>1</v>
      </c>
      <c r="G684" s="5" t="n">
        <v>76</v>
      </c>
      <c r="H684" s="5" t="inlineStr">
        <is>
          <t>context_actor</t>
        </is>
      </c>
      <c r="I684" t="inlineStr">
        <is>
          <t>sports_regional_identity_anchor</t>
        </is>
      </c>
      <c r="J684" s="5" t="inlineStr">
        <is>
          <t>context_actor</t>
        </is>
      </c>
      <c r="K684" t="inlineStr">
        <is>
          <t>media_publicity_anchor</t>
        </is>
      </c>
      <c r="L684" s="5" t="inlineStr">
        <is>
          <t>gesellschaft</t>
        </is>
      </c>
      <c r="M684" s="5" t="inlineStr">
        <is>
          <t>sport_region_identifikation</t>
        </is>
      </c>
      <c r="N684" s="5" t="inlineStr">
        <is>
          <t>Sport, Region und gesellschaftliche Identifikation</t>
        </is>
      </c>
      <c r="O684" s="5" t="n">
        <v>5</v>
      </c>
      <c r="P684" s="5" t="n">
        <v>4</v>
      </c>
      <c r="Q684" s="5" t="n">
        <v>13</v>
      </c>
      <c r="R684" s="5" t="n">
        <v>2</v>
      </c>
      <c r="S684" s="5" t="n">
        <v>0</v>
      </c>
      <c r="T684" s="5" t="n">
        <v>0</v>
      </c>
      <c r="U684" s="5" t="n">
        <v>1</v>
      </c>
      <c r="V684" s="5" t="n">
        <v>3</v>
      </c>
      <c r="W684" s="5" t="n">
        <v>4</v>
      </c>
      <c r="X684" s="5" t="n">
        <v>0</v>
      </c>
      <c r="Y684" s="5" t="n">
        <v>0</v>
      </c>
      <c r="Z684" s="5" t="n">
        <v>0</v>
      </c>
      <c r="AA684" s="5" t="n">
        <v>4</v>
      </c>
      <c r="AB684" s="5" t="n">
        <v>30.967671</v>
      </c>
      <c r="AC684" s="5" t="inlineStr">
        <is>
          <t>Wie können Sportvereine als regionale Plattformen für Bildung, Teilhabe, Gesundheit oder Standortbindung wirken?</t>
        </is>
      </c>
      <c r="AD684" s="5" t="inlineStr">
        <is>
          <t>Sport, Region und gesellschaftliche Identifikation: 1. FSV Mainz 05 e.V. (context_actor, 5) + RPR1. (context_actor, 4).</t>
        </is>
      </c>
      <c r="AE684" s="5" t="inlineStr">
        <is>
          <t>1. FSV Mainz 05 e.V. | RPR1.</t>
        </is>
      </c>
      <c r="AF684" s="5" t="inlineStr">
        <is>
          <t>sport-region-identifikation-1-fsv-mainz-05-e-v-rpr1</t>
        </is>
      </c>
    </row>
    <row r="685">
      <c r="A685" s="5" t="inlineStr">
        <is>
          <t>C0684</t>
        </is>
      </c>
      <c r="B685" s="5" t="inlineStr">
        <is>
          <t>x_0684</t>
        </is>
      </c>
      <c r="C685" s="5" t="n">
        <v>0</v>
      </c>
      <c r="D685" s="5" t="inlineStr">
        <is>
          <t>1. FSV Mainz 05 e.V.</t>
        </is>
      </c>
      <c r="E685" s="5" t="inlineStr">
        <is>
          <t>Techniker Krankenkasse</t>
        </is>
      </c>
      <c r="F685" s="5" t="n">
        <v>1</v>
      </c>
      <c r="G685" s="5" t="n">
        <v>87</v>
      </c>
      <c r="H685" s="5" t="inlineStr">
        <is>
          <t>context_actor</t>
        </is>
      </c>
      <c r="I685" t="inlineStr">
        <is>
          <t>sports_regional_identity_anchor</t>
        </is>
      </c>
      <c r="J685" s="5" t="inlineStr">
        <is>
          <t>context_actor</t>
        </is>
      </c>
      <c r="K685" t="inlineStr">
        <is>
          <t>health_social_anchor</t>
        </is>
      </c>
      <c r="L685" s="5" t="inlineStr">
        <is>
          <t>gesellschaft</t>
        </is>
      </c>
      <c r="M685" s="5" t="inlineStr">
        <is>
          <t>sport_region_identifikation</t>
        </is>
      </c>
      <c r="N685" s="5" t="inlineStr">
        <is>
          <t>Sport, Region und gesellschaftliche Identifikation</t>
        </is>
      </c>
      <c r="O685" s="5" t="n">
        <v>5</v>
      </c>
      <c r="P685" s="5" t="n">
        <v>4</v>
      </c>
      <c r="Q685" s="5" t="n">
        <v>13</v>
      </c>
      <c r="R685" s="5" t="n">
        <v>2</v>
      </c>
      <c r="S685" s="5" t="n">
        <v>0</v>
      </c>
      <c r="T685" s="5" t="n">
        <v>0</v>
      </c>
      <c r="U685" s="5" t="n">
        <v>1</v>
      </c>
      <c r="V685" s="5" t="n">
        <v>3</v>
      </c>
      <c r="W685" s="5" t="n">
        <v>4</v>
      </c>
      <c r="X685" s="5" t="n">
        <v>0</v>
      </c>
      <c r="Y685" s="5" t="n">
        <v>0</v>
      </c>
      <c r="Z685" s="5" t="n">
        <v>0</v>
      </c>
      <c r="AA685" s="5" t="n">
        <v>4</v>
      </c>
      <c r="AB685" s="5" t="n">
        <v>25.909412</v>
      </c>
      <c r="AC685" s="5" t="inlineStr">
        <is>
          <t>Wie können Sportvereine als regionale Plattformen für Bildung, Teilhabe, Gesundheit oder Standortbindung wirken?</t>
        </is>
      </c>
      <c r="AD685" s="5" t="inlineStr">
        <is>
          <t>Sport, Region und gesellschaftliche Identifikation: 1. FSV Mainz 05 e.V. (context_actor, 5) + Techniker Krankenkasse (context_actor, 4).</t>
        </is>
      </c>
      <c r="AE685" s="5" t="inlineStr">
        <is>
          <t>1. FSV Mainz 05 e.V. | Techniker Krankenkasse</t>
        </is>
      </c>
      <c r="AF685" s="5" t="inlineStr">
        <is>
          <t>sport-region-identifikation-1-fsv-mainz-05-e-v-techniker-krankenkasse</t>
        </is>
      </c>
    </row>
    <row r="686">
      <c r="A686" s="5" t="inlineStr">
        <is>
          <t>C0685</t>
        </is>
      </c>
      <c r="B686" s="5" t="inlineStr">
        <is>
          <t>x_0685</t>
        </is>
      </c>
      <c r="C686" s="5" t="n">
        <v>0</v>
      </c>
      <c r="D686" s="5" t="inlineStr">
        <is>
          <t>Evangelische Kirche der Pfalz</t>
        </is>
      </c>
      <c r="E686" s="5" t="inlineStr">
        <is>
          <t>Villa Musica Rheinland-Pfalz</t>
        </is>
      </c>
      <c r="F686" s="5" t="n">
        <v>28</v>
      </c>
      <c r="G686" s="5" t="n">
        <v>96</v>
      </c>
      <c r="H686" s="5" t="inlineStr">
        <is>
          <t>context_actor</t>
        </is>
      </c>
      <c r="I686" t="inlineStr">
        <is>
          <t>culture_foundation_anchor</t>
        </is>
      </c>
      <c r="J686" s="5" t="inlineStr">
        <is>
          <t>context_actor</t>
        </is>
      </c>
      <c r="K686" t="inlineStr">
        <is>
          <t>culture_foundation_anchor</t>
        </is>
      </c>
      <c r="L686" s="5" t="inlineStr">
        <is>
          <t>kultur</t>
        </is>
      </c>
      <c r="M686" s="5" t="inlineStr">
        <is>
          <t>musikstipendium_talentfoerderung</t>
        </is>
      </c>
      <c r="N686" s="5" t="inlineStr">
        <is>
          <t>Talentförderung, Musik und Nachwuchs</t>
        </is>
      </c>
      <c r="O686" s="5" t="n">
        <v>3</v>
      </c>
      <c r="P686" s="5" t="n">
        <v>5</v>
      </c>
      <c r="Q686" s="5" t="n">
        <v>12</v>
      </c>
      <c r="R686" s="5" t="n">
        <v>2</v>
      </c>
      <c r="S686" s="5" t="n">
        <v>0</v>
      </c>
      <c r="T686" s="5" t="n">
        <v>0</v>
      </c>
      <c r="U686" s="5" t="n">
        <v>1</v>
      </c>
      <c r="V686" s="5" t="n">
        <v>3</v>
      </c>
      <c r="W686" s="5" t="n">
        <v>4</v>
      </c>
      <c r="X686" s="5" t="n">
        <v>0</v>
      </c>
      <c r="Y686" s="5" t="n">
        <v>0</v>
      </c>
      <c r="Z686" s="5" t="n">
        <v>0</v>
      </c>
      <c r="AA686" s="5" t="n">
        <v>4</v>
      </c>
      <c r="AB686" s="5" t="n">
        <v>26.24052</v>
      </c>
      <c r="AC686" s="5" t="inlineStr">
        <is>
          <t>Wie lassen sich kulturelle Talentförderung, Bildung und regionale Sichtbarkeit verbinden?</t>
        </is>
      </c>
      <c r="AD686" s="5" t="inlineStr">
        <is>
          <t>Talentförderung, Musik und Nachwuchs: Evangelische Kirche der Pfalz (context_actor, 3) + Villa Musica Rheinland-Pfalz (context_actor, 5).</t>
        </is>
      </c>
      <c r="AE686" s="5" t="inlineStr">
        <is>
          <t>Evangelische Kirche der Pfalz | Villa Musica Rheinland-Pfalz</t>
        </is>
      </c>
      <c r="AF686" s="5" t="inlineStr">
        <is>
          <t>musikstipendium-talentfoerderung-evangelische-kirche-der-pfalz-villa-musica-rheinland-pfalz</t>
        </is>
      </c>
    </row>
    <row r="687">
      <c r="A687" s="5" t="inlineStr">
        <is>
          <t>C0686</t>
        </is>
      </c>
      <c r="B687" s="5" t="inlineStr">
        <is>
          <t>x_0686</t>
        </is>
      </c>
      <c r="C687" s="5" t="n">
        <v>0</v>
      </c>
      <c r="D687" s="5" t="inlineStr">
        <is>
          <t>SWR – Südwestrundfunk</t>
        </is>
      </c>
      <c r="E687" s="5" t="inlineStr">
        <is>
          <t>ZDF – Zweites Deutsches Fernsehen</t>
        </is>
      </c>
      <c r="F687" s="5" t="n">
        <v>86</v>
      </c>
      <c r="G687" s="5" t="n">
        <v>102</v>
      </c>
      <c r="H687" s="5" t="inlineStr">
        <is>
          <t>context_actor</t>
        </is>
      </c>
      <c r="I687" t="inlineStr">
        <is>
          <t>media_publicity_anchor</t>
        </is>
      </c>
      <c r="J687" s="5" t="inlineStr">
        <is>
          <t>context_actor</t>
        </is>
      </c>
      <c r="K687" t="inlineStr">
        <is>
          <t>media_publicity_anchor</t>
        </is>
      </c>
      <c r="L687" s="5" t="inlineStr">
        <is>
          <t>kultur</t>
        </is>
      </c>
      <c r="M687" s="5" t="inlineStr">
        <is>
          <t>musikstipendium_talentfoerderung</t>
        </is>
      </c>
      <c r="N687" s="5" t="inlineStr">
        <is>
          <t>Talentförderung, Musik und Nachwuchs</t>
        </is>
      </c>
      <c r="O687" s="5" t="n">
        <v>4</v>
      </c>
      <c r="P687" s="5" t="n">
        <v>4</v>
      </c>
      <c r="Q687" s="5" t="n">
        <v>12</v>
      </c>
      <c r="R687" s="5" t="n">
        <v>2</v>
      </c>
      <c r="S687" s="5" t="n">
        <v>0</v>
      </c>
      <c r="T687" s="5" t="n">
        <v>0</v>
      </c>
      <c r="U687" s="5" t="n">
        <v>1</v>
      </c>
      <c r="V687" s="5" t="n">
        <v>3</v>
      </c>
      <c r="W687" s="5" t="n">
        <v>4</v>
      </c>
      <c r="X687" s="5" t="n">
        <v>0</v>
      </c>
      <c r="Y687" s="5" t="n">
        <v>0</v>
      </c>
      <c r="Z687" s="5" t="n">
        <v>0</v>
      </c>
      <c r="AA687" s="5" t="n">
        <v>4</v>
      </c>
      <c r="AB687" s="5" t="n">
        <v>26.24052</v>
      </c>
      <c r="AC687" s="5" t="inlineStr">
        <is>
          <t>Wie lassen sich kulturelle Talentförderung, Bildung und regionale Sichtbarkeit verbinden?</t>
        </is>
      </c>
      <c r="AD687" s="5" t="inlineStr">
        <is>
          <t>Talentförderung, Musik und Nachwuchs: SWR – Südwestrundfunk (context_actor, 4) + ZDF – Zweites Deutsches Fernsehen (context_actor, 4).</t>
        </is>
      </c>
      <c r="AE687" s="5" t="inlineStr">
        <is>
          <t>SWR – Südwestrundfunk | ZDF – Zweites Deutsches Fernsehen</t>
        </is>
      </c>
      <c r="AF687" s="5" t="inlineStr">
        <is>
          <t>musikstipendium-talentfoerderung-swr-südwestrundfunk-zdf-zweites-deutsches-fernsehen</t>
        </is>
      </c>
    </row>
    <row r="688">
      <c r="A688" s="5" t="inlineStr">
        <is>
          <t>C0687</t>
        </is>
      </c>
      <c r="B688" s="5" t="inlineStr">
        <is>
          <t>x_0687</t>
        </is>
      </c>
      <c r="C688" s="5" t="n">
        <v>0</v>
      </c>
      <c r="D688" s="5" t="inlineStr">
        <is>
          <t>AOK Rheinland-Pfalz/Saarland</t>
        </is>
      </c>
      <c r="E688" s="5" t="inlineStr">
        <is>
          <t>IKK Südwest</t>
        </is>
      </c>
      <c r="F688" s="5" t="n">
        <v>2</v>
      </c>
      <c r="G688" s="5" t="n">
        <v>42</v>
      </c>
      <c r="H688" s="5" t="inlineStr">
        <is>
          <t>context_actor</t>
        </is>
      </c>
      <c r="I688" t="inlineStr">
        <is>
          <t>health_social_anchor</t>
        </is>
      </c>
      <c r="J688" s="5" t="inlineStr">
        <is>
          <t>context_actor</t>
        </is>
      </c>
      <c r="K688" t="inlineStr">
        <is>
          <t>health_social_anchor</t>
        </is>
      </c>
      <c r="L688" s="5" t="inlineStr">
        <is>
          <t>gesellschaft</t>
        </is>
      </c>
      <c r="M688" s="5" t="inlineStr">
        <is>
          <t>sport_region_identifikation</t>
        </is>
      </c>
      <c r="N688" s="5" t="inlineStr">
        <is>
          <t>Sport, Region und gesellschaftliche Identifikation</t>
        </is>
      </c>
      <c r="O688" s="5" t="n">
        <v>4</v>
      </c>
      <c r="P688" s="5" t="n">
        <v>4</v>
      </c>
      <c r="Q688" s="5" t="n">
        <v>12</v>
      </c>
      <c r="R688" s="5" t="n">
        <v>2</v>
      </c>
      <c r="S688" s="5" t="n">
        <v>0</v>
      </c>
      <c r="T688" s="5" t="n">
        <v>0</v>
      </c>
      <c r="U688" s="5" t="n">
        <v>1</v>
      </c>
      <c r="V688" s="5" t="n">
        <v>3</v>
      </c>
      <c r="W688" s="5" t="n">
        <v>4</v>
      </c>
      <c r="X688" s="5" t="n">
        <v>0</v>
      </c>
      <c r="Y688" s="5" t="n">
        <v>0</v>
      </c>
      <c r="Z688" s="5" t="n">
        <v>0</v>
      </c>
      <c r="AA688" s="5" t="n">
        <v>4</v>
      </c>
      <c r="AB688" s="5" t="n">
        <v>13.12026</v>
      </c>
      <c r="AC688" s="5" t="inlineStr">
        <is>
          <t>Wie können Sportvereine als regionale Plattformen für Bildung, Teilhabe, Gesundheit oder Standortbindung wirken?</t>
        </is>
      </c>
      <c r="AD688" s="5" t="inlineStr">
        <is>
          <t>Sport, Region und gesellschaftliche Identifikation: AOK Rheinland-Pfalz/Saarland (context_actor, 4) + IKK Südwest (context_actor, 4).</t>
        </is>
      </c>
      <c r="AE688" s="5" t="inlineStr">
        <is>
          <t>AOK Rheinland-Pfalz/Saarland | IKK Südwest</t>
        </is>
      </c>
      <c r="AF688" s="5" t="inlineStr">
        <is>
          <t>sport-region-identifikation-aok-rheinland-pfalz-saarland-ikk-südwest</t>
        </is>
      </c>
    </row>
    <row r="689">
      <c r="A689" s="5" t="inlineStr">
        <is>
          <t>C0688</t>
        </is>
      </c>
      <c r="B689" s="5" t="inlineStr">
        <is>
          <t>x_0688</t>
        </is>
      </c>
      <c r="C689" s="5" t="n">
        <v>0</v>
      </c>
      <c r="D689" s="5" t="inlineStr">
        <is>
          <t>AOK Rheinland-Pfalz/Saarland</t>
        </is>
      </c>
      <c r="E689" s="5" t="inlineStr">
        <is>
          <t>RPR1.</t>
        </is>
      </c>
      <c r="F689" s="5" t="n">
        <v>2</v>
      </c>
      <c r="G689" s="5" t="n">
        <v>76</v>
      </c>
      <c r="H689" s="5" t="inlineStr">
        <is>
          <t>context_actor</t>
        </is>
      </c>
      <c r="I689" t="inlineStr">
        <is>
          <t>health_social_anchor</t>
        </is>
      </c>
      <c r="J689" s="5" t="inlineStr">
        <is>
          <t>context_actor</t>
        </is>
      </c>
      <c r="K689" t="inlineStr">
        <is>
          <t>media_publicity_anchor</t>
        </is>
      </c>
      <c r="L689" s="5" t="inlineStr">
        <is>
          <t>gesellschaft</t>
        </is>
      </c>
      <c r="M689" s="5" t="inlineStr">
        <is>
          <t>sport_region_identifikation</t>
        </is>
      </c>
      <c r="N689" s="5" t="inlineStr">
        <is>
          <t>Sport, Region und gesellschaftliche Identifikation</t>
        </is>
      </c>
      <c r="O689" s="5" t="n">
        <v>4</v>
      </c>
      <c r="P689" s="5" t="n">
        <v>4</v>
      </c>
      <c r="Q689" s="5" t="n">
        <v>12</v>
      </c>
      <c r="R689" s="5" t="n">
        <v>2</v>
      </c>
      <c r="S689" s="5" t="n">
        <v>0</v>
      </c>
      <c r="T689" s="5" t="n">
        <v>0</v>
      </c>
      <c r="U689" s="5" t="n">
        <v>1</v>
      </c>
      <c r="V689" s="5" t="n">
        <v>3</v>
      </c>
      <c r="W689" s="5" t="n">
        <v>4</v>
      </c>
      <c r="X689" s="5" t="n">
        <v>0</v>
      </c>
      <c r="Y689" s="5" t="n">
        <v>0</v>
      </c>
      <c r="Z689" s="5" t="n">
        <v>0</v>
      </c>
      <c r="AA689" s="5" t="n">
        <v>4</v>
      </c>
      <c r="AB689" s="5" t="n">
        <v>20.744953</v>
      </c>
      <c r="AC689" s="5" t="inlineStr">
        <is>
          <t>Wie können Sportvereine als regionale Plattformen für Bildung, Teilhabe, Gesundheit oder Standortbindung wirken?</t>
        </is>
      </c>
      <c r="AD689" s="5" t="inlineStr">
        <is>
          <t>Sport, Region und gesellschaftliche Identifikation: AOK Rheinland-Pfalz/Saarland (context_actor, 4) + RPR1. (context_actor, 4).</t>
        </is>
      </c>
      <c r="AE689" s="5" t="inlineStr">
        <is>
          <t>AOK Rheinland-Pfalz/Saarland | RPR1.</t>
        </is>
      </c>
      <c r="AF689" s="5" t="inlineStr">
        <is>
          <t>sport-region-identifikation-aok-rheinland-pfalz-saarland-rpr1</t>
        </is>
      </c>
    </row>
    <row r="690">
      <c r="A690" s="5" t="inlineStr">
        <is>
          <t>C0689</t>
        </is>
      </c>
      <c r="B690" s="5" t="inlineStr">
        <is>
          <t>x_0689</t>
        </is>
      </c>
      <c r="C690" s="5" t="n">
        <v>0</v>
      </c>
      <c r="D690" s="5" t="inlineStr">
        <is>
          <t>AOK Rheinland-Pfalz/Saarland</t>
        </is>
      </c>
      <c r="E690" s="5" t="inlineStr">
        <is>
          <t>Techniker Krankenkasse</t>
        </is>
      </c>
      <c r="F690" s="5" t="n">
        <v>2</v>
      </c>
      <c r="G690" s="5" t="n">
        <v>87</v>
      </c>
      <c r="H690" s="5" t="inlineStr">
        <is>
          <t>context_actor</t>
        </is>
      </c>
      <c r="I690" t="inlineStr">
        <is>
          <t>health_social_anchor</t>
        </is>
      </c>
      <c r="J690" s="5" t="inlineStr">
        <is>
          <t>context_actor</t>
        </is>
      </c>
      <c r="K690" t="inlineStr">
        <is>
          <t>health_social_anchor</t>
        </is>
      </c>
      <c r="L690" s="5" t="inlineStr">
        <is>
          <t>gesellschaft</t>
        </is>
      </c>
      <c r="M690" s="5" t="inlineStr">
        <is>
          <t>sport_region_identifikation</t>
        </is>
      </c>
      <c r="N690" s="5" t="inlineStr">
        <is>
          <t>Sport, Region und gesellschaftliche Identifikation</t>
        </is>
      </c>
      <c r="O690" s="5" t="n">
        <v>4</v>
      </c>
      <c r="P690" s="5" t="n">
        <v>4</v>
      </c>
      <c r="Q690" s="5" t="n">
        <v>12</v>
      </c>
      <c r="R690" s="5" t="n">
        <v>2</v>
      </c>
      <c r="S690" s="5" t="n">
        <v>0</v>
      </c>
      <c r="T690" s="5" t="n">
        <v>0</v>
      </c>
      <c r="U690" s="5" t="n">
        <v>1</v>
      </c>
      <c r="V690" s="5" t="n">
        <v>3</v>
      </c>
      <c r="W690" s="5" t="n">
        <v>4</v>
      </c>
      <c r="X690" s="5" t="n">
        <v>0</v>
      </c>
      <c r="Y690" s="5" t="n">
        <v>0</v>
      </c>
      <c r="Z690" s="5" t="n">
        <v>0</v>
      </c>
      <c r="AA690" s="5" t="n">
        <v>4</v>
      </c>
      <c r="AB690" s="5" t="n">
        <v>13.12026</v>
      </c>
      <c r="AC690" s="5" t="inlineStr">
        <is>
          <t>Wie können Sportvereine als regionale Plattformen für Bildung, Teilhabe, Gesundheit oder Standortbindung wirken?</t>
        </is>
      </c>
      <c r="AD690" s="5" t="inlineStr">
        <is>
          <t>Sport, Region und gesellschaftliche Identifikation: AOK Rheinland-Pfalz/Saarland (context_actor, 4) + Techniker Krankenkasse (context_actor, 4).</t>
        </is>
      </c>
      <c r="AE690" s="5" t="inlineStr">
        <is>
          <t>AOK Rheinland-Pfalz/Saarland | Techniker Krankenkasse</t>
        </is>
      </c>
      <c r="AF690" s="5" t="inlineStr">
        <is>
          <t>sport-region-identifikation-aok-rheinland-pfalz-saarland-techniker-krankenkasse</t>
        </is>
      </c>
    </row>
    <row r="691">
      <c r="A691" s="5" t="inlineStr">
        <is>
          <t>C0690</t>
        </is>
      </c>
      <c r="B691" s="5" t="inlineStr">
        <is>
          <t>x_0690</t>
        </is>
      </c>
      <c r="C691" s="5" t="n">
        <v>0</v>
      </c>
      <c r="D691" s="5" t="inlineStr">
        <is>
          <t>IKK Südwest</t>
        </is>
      </c>
      <c r="E691" s="5" t="inlineStr">
        <is>
          <t>RPR1.</t>
        </is>
      </c>
      <c r="F691" s="5" t="n">
        <v>42</v>
      </c>
      <c r="G691" s="5" t="n">
        <v>76</v>
      </c>
      <c r="H691" s="5" t="inlineStr">
        <is>
          <t>context_actor</t>
        </is>
      </c>
      <c r="I691" t="inlineStr">
        <is>
          <t>health_social_anchor</t>
        </is>
      </c>
      <c r="J691" s="5" t="inlineStr">
        <is>
          <t>context_actor</t>
        </is>
      </c>
      <c r="K691" t="inlineStr">
        <is>
          <t>media_publicity_anchor</t>
        </is>
      </c>
      <c r="L691" s="5" t="inlineStr">
        <is>
          <t>gesellschaft</t>
        </is>
      </c>
      <c r="M691" s="5" t="inlineStr">
        <is>
          <t>sport_region_identifikation</t>
        </is>
      </c>
      <c r="N691" s="5" t="inlineStr">
        <is>
          <t>Sport, Region und gesellschaftliche Identifikation</t>
        </is>
      </c>
      <c r="O691" s="5" t="n">
        <v>4</v>
      </c>
      <c r="P691" s="5" t="n">
        <v>4</v>
      </c>
      <c r="Q691" s="5" t="n">
        <v>12</v>
      </c>
      <c r="R691" s="5" t="n">
        <v>2</v>
      </c>
      <c r="S691" s="5" t="n">
        <v>0</v>
      </c>
      <c r="T691" s="5" t="n">
        <v>0</v>
      </c>
      <c r="U691" s="5" t="n">
        <v>1</v>
      </c>
      <c r="V691" s="5" t="n">
        <v>3</v>
      </c>
      <c r="W691" s="5" t="n">
        <v>4</v>
      </c>
      <c r="X691" s="5" t="n">
        <v>0</v>
      </c>
      <c r="Y691" s="5" t="n">
        <v>0</v>
      </c>
      <c r="Z691" s="5" t="n">
        <v>0</v>
      </c>
      <c r="AA691" s="5" t="n">
        <v>4</v>
      </c>
      <c r="AB691" s="5" t="n">
        <v>20.744953</v>
      </c>
      <c r="AC691" s="5" t="inlineStr">
        <is>
          <t>Wie können Sportvereine als regionale Plattformen für Bildung, Teilhabe, Gesundheit oder Standortbindung wirken?</t>
        </is>
      </c>
      <c r="AD691" s="5" t="inlineStr">
        <is>
          <t>Sport, Region und gesellschaftliche Identifikation: IKK Südwest (context_actor, 4) + RPR1. (context_actor, 4).</t>
        </is>
      </c>
      <c r="AE691" s="5" t="inlineStr">
        <is>
          <t>IKK Südwest | RPR1.</t>
        </is>
      </c>
      <c r="AF691" s="5" t="inlineStr">
        <is>
          <t>sport-region-identifikation-ikk-südwest-rpr1</t>
        </is>
      </c>
    </row>
    <row r="692">
      <c r="A692" s="5" t="inlineStr">
        <is>
          <t>C0691</t>
        </is>
      </c>
      <c r="B692" s="5" t="inlineStr">
        <is>
          <t>x_0691</t>
        </is>
      </c>
      <c r="C692" s="5" t="n">
        <v>0</v>
      </c>
      <c r="D692" s="5" t="inlineStr">
        <is>
          <t>IKK Südwest</t>
        </is>
      </c>
      <c r="E692" s="5" t="inlineStr">
        <is>
          <t>Techniker Krankenkasse</t>
        </is>
      </c>
      <c r="F692" s="5" t="n">
        <v>42</v>
      </c>
      <c r="G692" s="5" t="n">
        <v>87</v>
      </c>
      <c r="H692" s="5" t="inlineStr">
        <is>
          <t>context_actor</t>
        </is>
      </c>
      <c r="I692" t="inlineStr">
        <is>
          <t>health_social_anchor</t>
        </is>
      </c>
      <c r="J692" s="5" t="inlineStr">
        <is>
          <t>context_actor</t>
        </is>
      </c>
      <c r="K692" t="inlineStr">
        <is>
          <t>health_social_anchor</t>
        </is>
      </c>
      <c r="L692" s="5" t="inlineStr">
        <is>
          <t>gesellschaft</t>
        </is>
      </c>
      <c r="M692" s="5" t="inlineStr">
        <is>
          <t>sport_region_identifikation</t>
        </is>
      </c>
      <c r="N692" s="5" t="inlineStr">
        <is>
          <t>Sport, Region und gesellschaftliche Identifikation</t>
        </is>
      </c>
      <c r="O692" s="5" t="n">
        <v>4</v>
      </c>
      <c r="P692" s="5" t="n">
        <v>4</v>
      </c>
      <c r="Q692" s="5" t="n">
        <v>12</v>
      </c>
      <c r="R692" s="5" t="n">
        <v>2</v>
      </c>
      <c r="S692" s="5" t="n">
        <v>0</v>
      </c>
      <c r="T692" s="5" t="n">
        <v>0</v>
      </c>
      <c r="U692" s="5" t="n">
        <v>1</v>
      </c>
      <c r="V692" s="5" t="n">
        <v>3</v>
      </c>
      <c r="W692" s="5" t="n">
        <v>4</v>
      </c>
      <c r="X692" s="5" t="n">
        <v>0</v>
      </c>
      <c r="Y692" s="5" t="n">
        <v>0</v>
      </c>
      <c r="Z692" s="5" t="n">
        <v>0</v>
      </c>
      <c r="AA692" s="5" t="n">
        <v>4</v>
      </c>
      <c r="AB692" s="5" t="n">
        <v>13.12026</v>
      </c>
      <c r="AC692" s="5" t="inlineStr">
        <is>
          <t>Wie können Sportvereine als regionale Plattformen für Bildung, Teilhabe, Gesundheit oder Standortbindung wirken?</t>
        </is>
      </c>
      <c r="AD692" s="5" t="inlineStr">
        <is>
          <t>Sport, Region und gesellschaftliche Identifikation: IKK Südwest (context_actor, 4) + Techniker Krankenkasse (context_actor, 4).</t>
        </is>
      </c>
      <c r="AE692" s="5" t="inlineStr">
        <is>
          <t>IKK Südwest | Techniker Krankenkasse</t>
        </is>
      </c>
      <c r="AF692" s="5" t="inlineStr">
        <is>
          <t>sport-region-identifikation-ikk-südwest-techniker-krankenkasse</t>
        </is>
      </c>
    </row>
    <row r="693">
      <c r="A693" s="5" t="inlineStr">
        <is>
          <t>C0692</t>
        </is>
      </c>
      <c r="B693" s="5" t="inlineStr">
        <is>
          <t>x_0692</t>
        </is>
      </c>
      <c r="C693" s="5" t="n">
        <v>0</v>
      </c>
      <c r="D693" s="5" t="inlineStr">
        <is>
          <t>RPR1.</t>
        </is>
      </c>
      <c r="E693" s="5" t="inlineStr">
        <is>
          <t>Techniker Krankenkasse</t>
        </is>
      </c>
      <c r="F693" s="5" t="n">
        <v>76</v>
      </c>
      <c r="G693" s="5" t="n">
        <v>87</v>
      </c>
      <c r="H693" s="5" t="inlineStr">
        <is>
          <t>context_actor</t>
        </is>
      </c>
      <c r="I693" t="inlineStr">
        <is>
          <t>media_publicity_anchor</t>
        </is>
      </c>
      <c r="J693" s="5" t="inlineStr">
        <is>
          <t>context_actor</t>
        </is>
      </c>
      <c r="K693" t="inlineStr">
        <is>
          <t>health_social_anchor</t>
        </is>
      </c>
      <c r="L693" s="5" t="inlineStr">
        <is>
          <t>gesellschaft</t>
        </is>
      </c>
      <c r="M693" s="5" t="inlineStr">
        <is>
          <t>sport_region_identifikation</t>
        </is>
      </c>
      <c r="N693" s="5" t="inlineStr">
        <is>
          <t>Sport, Region und gesellschaftliche Identifikation</t>
        </is>
      </c>
      <c r="O693" s="5" t="n">
        <v>4</v>
      </c>
      <c r="P693" s="5" t="n">
        <v>4</v>
      </c>
      <c r="Q693" s="5" t="n">
        <v>12</v>
      </c>
      <c r="R693" s="5" t="n">
        <v>2</v>
      </c>
      <c r="S693" s="5" t="n">
        <v>0</v>
      </c>
      <c r="T693" s="5" t="n">
        <v>0</v>
      </c>
      <c r="U693" s="5" t="n">
        <v>1</v>
      </c>
      <c r="V693" s="5" t="n">
        <v>3</v>
      </c>
      <c r="W693" s="5" t="n">
        <v>4</v>
      </c>
      <c r="X693" s="5" t="n">
        <v>0</v>
      </c>
      <c r="Y693" s="5" t="n">
        <v>0</v>
      </c>
      <c r="Z693" s="5" t="n">
        <v>0</v>
      </c>
      <c r="AA693" s="5" t="n">
        <v>4</v>
      </c>
      <c r="AB693" s="5" t="n">
        <v>20.744953</v>
      </c>
      <c r="AC693" s="5" t="inlineStr">
        <is>
          <t>Wie können Sportvereine als regionale Plattformen für Bildung, Teilhabe, Gesundheit oder Standortbindung wirken?</t>
        </is>
      </c>
      <c r="AD693" s="5" t="inlineStr">
        <is>
          <t>Sport, Region und gesellschaftliche Identifikation: RPR1. (context_actor, 4) + Techniker Krankenkasse (context_actor, 4).</t>
        </is>
      </c>
      <c r="AE693" s="5" t="inlineStr">
        <is>
          <t>RPR1. | Techniker Krankenkasse</t>
        </is>
      </c>
      <c r="AF693" s="5" t="inlineStr">
        <is>
          <t>sport-region-identifikation-rpr1-techniker-krankenkasse</t>
        </is>
      </c>
    </row>
    <row r="694">
      <c r="A694" s="5" t="inlineStr">
        <is>
          <t>C0693</t>
        </is>
      </c>
      <c r="B694" s="5" t="inlineStr">
        <is>
          <t>x_0693</t>
        </is>
      </c>
      <c r="C694" s="5" t="n">
        <v>0</v>
      </c>
      <c r="D694" s="5" t="inlineStr">
        <is>
          <t>Evangelische Kirche der Pfalz</t>
        </is>
      </c>
      <c r="E694" s="5" t="inlineStr">
        <is>
          <t>SWR – Südwestrundfunk</t>
        </is>
      </c>
      <c r="F694" s="5" t="n">
        <v>28</v>
      </c>
      <c r="G694" s="5" t="n">
        <v>86</v>
      </c>
      <c r="H694" s="5" t="inlineStr">
        <is>
          <t>context_actor</t>
        </is>
      </c>
      <c r="I694" t="inlineStr">
        <is>
          <t>culture_foundation_anchor</t>
        </is>
      </c>
      <c r="J694" s="5" t="inlineStr">
        <is>
          <t>context_actor</t>
        </is>
      </c>
      <c r="K694" t="inlineStr">
        <is>
          <t>media_publicity_anchor</t>
        </is>
      </c>
      <c r="L694" s="5" t="inlineStr">
        <is>
          <t>kultur</t>
        </is>
      </c>
      <c r="M694" s="5" t="inlineStr">
        <is>
          <t>musikstipendium_talentfoerderung</t>
        </is>
      </c>
      <c r="N694" s="5" t="inlineStr">
        <is>
          <t>Talentförderung, Musik und Nachwuchs</t>
        </is>
      </c>
      <c r="O694" s="5" t="n">
        <v>3</v>
      </c>
      <c r="P694" s="5" t="n">
        <v>4</v>
      </c>
      <c r="Q694" s="5" t="n">
        <v>11</v>
      </c>
      <c r="R694" s="5" t="n">
        <v>2</v>
      </c>
      <c r="S694" s="5" t="n">
        <v>0</v>
      </c>
      <c r="T694" s="5" t="n">
        <v>0</v>
      </c>
      <c r="U694" s="5" t="n">
        <v>1</v>
      </c>
      <c r="V694" s="5" t="n">
        <v>3</v>
      </c>
      <c r="W694" s="5" t="n">
        <v>4</v>
      </c>
      <c r="X694" s="5" t="n">
        <v>0</v>
      </c>
      <c r="Y694" s="5" t="n">
        <v>0</v>
      </c>
      <c r="Z694" s="5" t="n">
        <v>0</v>
      </c>
      <c r="AA694" s="5" t="n">
        <v>4</v>
      </c>
      <c r="AB694" s="5" t="n">
        <v>24.782714</v>
      </c>
      <c r="AC694" s="5" t="inlineStr">
        <is>
          <t>Wie lassen sich kulturelle Talentförderung, Bildung und regionale Sichtbarkeit verbinden?</t>
        </is>
      </c>
      <c r="AD694" s="5" t="inlineStr">
        <is>
          <t>Talentförderung, Musik und Nachwuchs: Evangelische Kirche der Pfalz (context_actor, 3) + SWR – Südwestrundfunk (context_actor, 4).</t>
        </is>
      </c>
      <c r="AE694" s="5" t="inlineStr">
        <is>
          <t>Evangelische Kirche der Pfalz | SWR – Südwestrundfunk</t>
        </is>
      </c>
      <c r="AF694" s="5" t="inlineStr">
        <is>
          <t>musikstipendium-talentfoerderung-evangelische-kirche-der-pfalz-swr-südwestrundfunk</t>
        </is>
      </c>
    </row>
    <row r="695">
      <c r="A695" s="5" t="inlineStr">
        <is>
          <t>C0694</t>
        </is>
      </c>
      <c r="B695" s="5" t="inlineStr">
        <is>
          <t>x_0694</t>
        </is>
      </c>
      <c r="C695" s="5" t="n">
        <v>0</v>
      </c>
      <c r="D695" s="5" t="inlineStr">
        <is>
          <t>Evangelische Kirche der Pfalz</t>
        </is>
      </c>
      <c r="E695" s="5" t="inlineStr">
        <is>
          <t>ZDF – Zweites Deutsches Fernsehen</t>
        </is>
      </c>
      <c r="F695" s="5" t="n">
        <v>28</v>
      </c>
      <c r="G695" s="5" t="n">
        <v>102</v>
      </c>
      <c r="H695" s="5" t="inlineStr">
        <is>
          <t>context_actor</t>
        </is>
      </c>
      <c r="I695" t="inlineStr">
        <is>
          <t>culture_foundation_anchor</t>
        </is>
      </c>
      <c r="J695" s="5" t="inlineStr">
        <is>
          <t>context_actor</t>
        </is>
      </c>
      <c r="K695" t="inlineStr">
        <is>
          <t>media_publicity_anchor</t>
        </is>
      </c>
      <c r="L695" s="5" t="inlineStr">
        <is>
          <t>kultur</t>
        </is>
      </c>
      <c r="M695" s="5" t="inlineStr">
        <is>
          <t>musikstipendium_talentfoerderung</t>
        </is>
      </c>
      <c r="N695" s="5" t="inlineStr">
        <is>
          <t>Talentförderung, Musik und Nachwuchs</t>
        </is>
      </c>
      <c r="O695" s="5" t="n">
        <v>3</v>
      </c>
      <c r="P695" s="5" t="n">
        <v>4</v>
      </c>
      <c r="Q695" s="5" t="n">
        <v>11</v>
      </c>
      <c r="R695" s="5" t="n">
        <v>2</v>
      </c>
      <c r="S695" s="5" t="n">
        <v>0</v>
      </c>
      <c r="T695" s="5" t="n">
        <v>0</v>
      </c>
      <c r="U695" s="5" t="n">
        <v>1</v>
      </c>
      <c r="V695" s="5" t="n">
        <v>3</v>
      </c>
      <c r="W695" s="5" t="n">
        <v>4</v>
      </c>
      <c r="X695" s="5" t="n">
        <v>0</v>
      </c>
      <c r="Y695" s="5" t="n">
        <v>0</v>
      </c>
      <c r="Z695" s="5" t="n">
        <v>0</v>
      </c>
      <c r="AA695" s="5" t="n">
        <v>4</v>
      </c>
      <c r="AB695" s="5" t="n">
        <v>24.782714</v>
      </c>
      <c r="AC695" s="5" t="inlineStr">
        <is>
          <t>Wie lassen sich kulturelle Talentförderung, Bildung und regionale Sichtbarkeit verbinden?</t>
        </is>
      </c>
      <c r="AD695" s="5" t="inlineStr">
        <is>
          <t>Talentförderung, Musik und Nachwuchs: Evangelische Kirche der Pfalz (context_actor, 3) + ZDF – Zweites Deutsches Fernsehen (context_actor, 4).</t>
        </is>
      </c>
      <c r="AE695" s="5" t="inlineStr">
        <is>
          <t>Evangelische Kirche der Pfalz | ZDF – Zweites Deutsches Fernsehen</t>
        </is>
      </c>
      <c r="AF695" s="5" t="inlineStr">
        <is>
          <t>musikstipendium-talentfoerderung-evangelische-kirche-der-pfalz-zdf-zweites-deutsches-fernsehen</t>
        </is>
      </c>
    </row>
  </sheetData>
  <dataValidations count="1">
    <dataValidation sqref="C2:C695" showDropDown="0" showInputMessage="0" showErrorMessage="0" allowBlank="0" type="list">
      <formula1>"0,1"</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03"/>
  <sheetViews>
    <sheetView showGridLines="1" workbookViewId="0">
      <selection activeCell="A1" sqref="A1"/>
    </sheetView>
  </sheetViews>
  <sheetFormatPr baseColWidth="8" defaultRowHeight="15"/>
  <cols>
    <col width="12" customWidth="1" style="46" min="1" max="1"/>
    <col width="80" customWidth="1" style="46" min="2" max="2"/>
    <col width="23" customWidth="1" style="46" min="3" max="3"/>
    <col width="80" customWidth="1" style="46" min="4" max="4"/>
    <col width="12" customWidth="1" style="46" min="5" max="5"/>
    <col width="12" customWidth="1" style="46" min="6" max="6"/>
    <col width="30" customWidth="1" style="46" min="7" max="7"/>
  </cols>
  <sheetData>
    <row r="1" ht="28" customHeight="1" s="46">
      <c r="A1" s="48" t="inlineStr">
        <is>
          <t>member_id</t>
        </is>
      </c>
      <c r="B1" s="48" t="inlineStr">
        <is>
          <t>member_name</t>
        </is>
      </c>
      <c r="C1" s="48" t="inlineStr">
        <is>
          <t>actor_role</t>
        </is>
      </c>
      <c r="D1" s="48" t="inlineStr">
        <is>
          <t>selected_count</t>
        </is>
      </c>
      <c r="E1" s="48" t="inlineStr">
        <is>
          <t>limit</t>
        </is>
      </c>
      <c r="F1" s="48" t="inlineStr">
        <is>
          <t>slack</t>
        </is>
      </c>
      <c r="G1" s="48" t="inlineStr">
        <is>
          <t>constraint_status</t>
        </is>
      </c>
    </row>
    <row r="2" ht="30" customHeight="1" s="46">
      <c r="A2" s="5" t="n">
        <v>1</v>
      </c>
      <c r="B2" s="5" t="inlineStr">
        <is>
          <t>1. FSV Mainz 05 e.V.</t>
        </is>
      </c>
      <c r="C2" s="5" t="inlineStr">
        <is>
          <t>context_actor</t>
        </is>
      </c>
      <c r="D2" s="5">
        <f>SUMIFS(Candidate_Patterns!$C:$C,Candidate_Patterns!$F:$F,A2)+SUMIFS(Candidate_Patterns!$C:$C,Candidate_Patterns!$G:$G,A2)</f>
        <v/>
      </c>
      <c r="E2" s="5" t="n">
        <v>1</v>
      </c>
      <c r="F2" s="5">
        <f>E2-D2</f>
        <v/>
      </c>
      <c r="G2" s="5">
        <f>IF(F2&gt;=0,"OK","VIOLATION")</f>
        <v/>
      </c>
    </row>
    <row r="3" ht="30" customHeight="1" s="46">
      <c r="A3" s="5" t="n">
        <v>2</v>
      </c>
      <c r="B3" s="5" t="inlineStr">
        <is>
          <t>AOK Rheinland-Pfalz/Saarland</t>
        </is>
      </c>
      <c r="C3" s="5" t="inlineStr">
        <is>
          <t>context_actor</t>
        </is>
      </c>
      <c r="D3" s="5">
        <f>SUMIFS(Candidate_Patterns!$C:$C,Candidate_Patterns!$F:$F,A3)+SUMIFS(Candidate_Patterns!$C:$C,Candidate_Patterns!$G:$G,A3)</f>
        <v/>
      </c>
      <c r="E3" s="5" t="n">
        <v>1</v>
      </c>
      <c r="F3" s="5">
        <f>E3-D3</f>
        <v/>
      </c>
      <c r="G3" s="5">
        <f>IF(F3&gt;=0,"OK","VIOLATION")</f>
        <v/>
      </c>
    </row>
    <row r="4" ht="30" customHeight="1" s="46">
      <c r="A4" s="5" t="n">
        <v>3</v>
      </c>
      <c r="B4" s="5" t="inlineStr">
        <is>
          <t>Architektenkammer Rheinland-Pfalz</t>
        </is>
      </c>
      <c r="C4" s="5" t="inlineStr">
        <is>
          <t>implementation_anchor</t>
        </is>
      </c>
      <c r="D4" s="5">
        <f>SUMIFS(Candidate_Patterns!$C:$C,Candidate_Patterns!$F:$F,A4)+SUMIFS(Candidate_Patterns!$C:$C,Candidate_Patterns!$G:$G,A4)</f>
        <v/>
      </c>
      <c r="E4" s="5" t="n">
        <v>1</v>
      </c>
      <c r="F4" s="5">
        <f>E4-D4</f>
        <v/>
      </c>
      <c r="G4" s="5">
        <f>IF(F4&gt;=0,"OK","VIOLATION")</f>
        <v/>
      </c>
    </row>
    <row r="5" ht="30" customHeight="1" s="46">
      <c r="A5" s="5" t="n">
        <v>4</v>
      </c>
      <c r="B5" s="5" t="inlineStr">
        <is>
          <t>Aturas GmbH</t>
        </is>
      </c>
      <c r="C5" s="5" t="inlineStr">
        <is>
          <t>profit_anchor</t>
        </is>
      </c>
      <c r="D5" s="5">
        <f>SUMIFS(Candidate_Patterns!$C:$C,Candidate_Patterns!$F:$F,A5)+SUMIFS(Candidate_Patterns!$C:$C,Candidate_Patterns!$G:$G,A5)</f>
        <v/>
      </c>
      <c r="E5" s="5" t="n">
        <v>1</v>
      </c>
      <c r="F5" s="5">
        <f>E5-D5</f>
        <v/>
      </c>
      <c r="G5" s="5">
        <f>IF(F5&gt;=0,"OK","VIOLATION")</f>
        <v/>
      </c>
    </row>
    <row r="6" ht="30" customHeight="1" s="46">
      <c r="A6" s="5" t="n">
        <v>5</v>
      </c>
      <c r="B6" s="5" t="inlineStr">
        <is>
          <t>Barmherzige Brüder Trier gGmbH</t>
        </is>
      </c>
      <c r="C6" s="5" t="inlineStr">
        <is>
          <t>context_actor</t>
        </is>
      </c>
      <c r="D6" s="5">
        <f>SUMIFS(Candidate_Patterns!$C:$C,Candidate_Patterns!$F:$F,A6)+SUMIFS(Candidate_Patterns!$C:$C,Candidate_Patterns!$G:$G,A6)</f>
        <v/>
      </c>
      <c r="E6" s="5" t="n">
        <v>1</v>
      </c>
      <c r="F6" s="5">
        <f>E6-D6</f>
        <v/>
      </c>
      <c r="G6" s="5">
        <f>IF(F6&gt;=0,"OK","VIOLATION")</f>
        <v/>
      </c>
    </row>
    <row r="7" ht="30" customHeight="1" s="46">
      <c r="A7" s="5" t="n">
        <v>6</v>
      </c>
      <c r="B7" s="5" t="inlineStr">
        <is>
          <t>BASF SE</t>
        </is>
      </c>
      <c r="C7" s="5" t="inlineStr">
        <is>
          <t>profit_anchor</t>
        </is>
      </c>
      <c r="D7" s="5">
        <f>SUMIFS(Candidate_Patterns!$C:$C,Candidate_Patterns!$F:$F,A7)+SUMIFS(Candidate_Patterns!$C:$C,Candidate_Patterns!$G:$G,A7)</f>
        <v/>
      </c>
      <c r="E7" s="5" t="n">
        <v>1</v>
      </c>
      <c r="F7" s="5">
        <f>E7-D7</f>
        <v/>
      </c>
      <c r="G7" s="5">
        <f>IF(F7&gt;=0,"OK","VIOLATION")</f>
        <v/>
      </c>
    </row>
    <row r="8" ht="30" customHeight="1" s="46">
      <c r="A8" s="5" t="n">
        <v>7</v>
      </c>
      <c r="B8" s="5" t="inlineStr">
        <is>
          <t>Bauern- und Winzerverband Rheinland-Pfalz Süd e.V.</t>
        </is>
      </c>
      <c r="C8" s="5" t="inlineStr">
        <is>
          <t>implementation_anchor</t>
        </is>
      </c>
      <c r="D8" s="5">
        <f>SUMIFS(Candidate_Patterns!$C:$C,Candidate_Patterns!$F:$F,A8)+SUMIFS(Candidate_Patterns!$C:$C,Candidate_Patterns!$G:$G,A8)</f>
        <v/>
      </c>
      <c r="E8" s="5" t="n">
        <v>1</v>
      </c>
      <c r="F8" s="5">
        <f>E8-D8</f>
        <v/>
      </c>
      <c r="G8" s="5">
        <f>IF(F8&gt;=0,"OK","VIOLATION")</f>
        <v/>
      </c>
    </row>
    <row r="9" ht="30" customHeight="1" s="46">
      <c r="A9" s="5" t="n">
        <v>8</v>
      </c>
      <c r="B9" s="5" t="inlineStr">
        <is>
          <t>Bauwirtschaft Rheinland-Pfalz e.V.</t>
        </is>
      </c>
      <c r="C9" s="5" t="inlineStr">
        <is>
          <t>context_actor</t>
        </is>
      </c>
      <c r="D9" s="5">
        <f>SUMIFS(Candidate_Patterns!$C:$C,Candidate_Patterns!$F:$F,A9)+SUMIFS(Candidate_Patterns!$C:$C,Candidate_Patterns!$G:$G,A9)</f>
        <v/>
      </c>
      <c r="E9" s="5" t="n">
        <v>1</v>
      </c>
      <c r="F9" s="5">
        <f>E9-D9</f>
        <v/>
      </c>
      <c r="G9" s="5">
        <f>IF(F9&gt;=0,"OK","VIOLATION")</f>
        <v/>
      </c>
    </row>
    <row r="10" ht="30" customHeight="1" s="46">
      <c r="A10" s="5" t="n">
        <v>9</v>
      </c>
      <c r="B10" s="5" t="inlineStr">
        <is>
          <t>Bernd Hummel Holding GmbH</t>
        </is>
      </c>
      <c r="C10" s="5" t="inlineStr">
        <is>
          <t>profit_anchor</t>
        </is>
      </c>
      <c r="D10" s="5">
        <f>SUMIFS(Candidate_Patterns!$C:$C,Candidate_Patterns!$F:$F,A10)+SUMIFS(Candidate_Patterns!$C:$C,Candidate_Patterns!$G:$G,A10)</f>
        <v/>
      </c>
      <c r="E10" s="5" t="n">
        <v>1</v>
      </c>
      <c r="F10" s="5">
        <f>E10-D10</f>
        <v/>
      </c>
      <c r="G10" s="5">
        <f>IF(F10&gt;=0,"OK","VIOLATION")</f>
        <v/>
      </c>
    </row>
    <row r="11" ht="30" customHeight="1" s="46">
      <c r="A11" s="5" t="n">
        <v>10</v>
      </c>
      <c r="B11" s="5" t="inlineStr">
        <is>
          <t>Bitburger Braugruppe GmbH</t>
        </is>
      </c>
      <c r="C11" s="5" t="inlineStr">
        <is>
          <t>profit_anchor</t>
        </is>
      </c>
      <c r="D11" s="5">
        <f>SUMIFS(Candidate_Patterns!$C:$C,Candidate_Patterns!$F:$F,A11)+SUMIFS(Candidate_Patterns!$C:$C,Candidate_Patterns!$G:$G,A11)</f>
        <v/>
      </c>
      <c r="E11" s="5" t="n">
        <v>1</v>
      </c>
      <c r="F11" s="5">
        <f>E11-D11</f>
        <v/>
      </c>
      <c r="G11" s="5">
        <f>IF(F11&gt;=0,"OK","VIOLATION")</f>
        <v/>
      </c>
    </row>
    <row r="12" ht="30" customHeight="1" s="46">
      <c r="A12" s="5" t="n">
        <v>11</v>
      </c>
      <c r="B12" s="5" t="inlineStr">
        <is>
          <t>Boehringer Ingelheim Pharma GmbH &amp; Co. KG</t>
        </is>
      </c>
      <c r="C12" s="5" t="inlineStr">
        <is>
          <t>profit_anchor</t>
        </is>
      </c>
      <c r="D12" s="5">
        <f>SUMIFS(Candidate_Patterns!$C:$C,Candidate_Patterns!$F:$F,A12)+SUMIFS(Candidate_Patterns!$C:$C,Candidate_Patterns!$G:$G,A12)</f>
        <v/>
      </c>
      <c r="E12" s="5" t="n">
        <v>1</v>
      </c>
      <c r="F12" s="5">
        <f>E12-D12</f>
        <v/>
      </c>
      <c r="G12" s="5">
        <f>IF(F12&gt;=0,"OK","VIOLATION")</f>
        <v/>
      </c>
    </row>
    <row r="13" ht="30" customHeight="1" s="46">
      <c r="A13" s="5" t="n">
        <v>12</v>
      </c>
      <c r="B13" s="5" t="inlineStr">
        <is>
          <t>BRICKMAKERS AG</t>
        </is>
      </c>
      <c r="C13" s="5" t="inlineStr">
        <is>
          <t>profit_anchor</t>
        </is>
      </c>
      <c r="D13" s="5">
        <f>SUMIFS(Candidate_Patterns!$C:$C,Candidate_Patterns!$F:$F,A13)+SUMIFS(Candidate_Patterns!$C:$C,Candidate_Patterns!$G:$G,A13)</f>
        <v/>
      </c>
      <c r="E13" s="5" t="n">
        <v>1</v>
      </c>
      <c r="F13" s="5">
        <f>E13-D13</f>
        <v/>
      </c>
      <c r="G13" s="5">
        <f>IF(F13&gt;=0,"OK","VIOLATION")</f>
        <v/>
      </c>
    </row>
    <row r="14" ht="30" customHeight="1" s="46">
      <c r="A14" s="5" t="n">
        <v>13</v>
      </c>
      <c r="B14" s="5" t="inlineStr">
        <is>
          <t>Bundesagentur für Arbeit, Regionaldirektion Rheinland-Pfalz-Saarland</t>
        </is>
      </c>
      <c r="C14" s="5" t="inlineStr">
        <is>
          <t>implementation_anchor</t>
        </is>
      </c>
      <c r="D14" s="5">
        <f>SUMIFS(Candidate_Patterns!$C:$C,Candidate_Patterns!$F:$F,A14)+SUMIFS(Candidate_Patterns!$C:$C,Candidate_Patterns!$G:$G,A14)</f>
        <v/>
      </c>
      <c r="E14" s="5" t="n">
        <v>1</v>
      </c>
      <c r="F14" s="5">
        <f>E14-D14</f>
        <v/>
      </c>
      <c r="G14" s="5">
        <f>IF(F14&gt;=0,"OK","VIOLATION")</f>
        <v/>
      </c>
    </row>
    <row r="15" ht="30" customHeight="1" s="46">
      <c r="A15" s="5" t="n">
        <v>14</v>
      </c>
      <c r="B15" s="5" t="inlineStr">
        <is>
          <t>Caritasverband für die Diözese Speyer e.V.</t>
        </is>
      </c>
      <c r="C15" s="5" t="inlineStr">
        <is>
          <t>implementation_anchor</t>
        </is>
      </c>
      <c r="D15" s="5">
        <f>SUMIFS(Candidate_Patterns!$C:$C,Candidate_Patterns!$F:$F,A15)+SUMIFS(Candidate_Patterns!$C:$C,Candidate_Patterns!$G:$G,A15)</f>
        <v/>
      </c>
      <c r="E15" s="5" t="n">
        <v>1</v>
      </c>
      <c r="F15" s="5">
        <f>E15-D15</f>
        <v/>
      </c>
      <c r="G15" s="5">
        <f>IF(F15&gt;=0,"OK","VIOLATION")</f>
        <v/>
      </c>
    </row>
    <row r="16" ht="30" customHeight="1" s="46">
      <c r="A16" s="5" t="n">
        <v>15</v>
      </c>
      <c r="B16" s="5" t="inlineStr">
        <is>
          <t>Continental Automotive Technologies GmbH, Safety and Motion (SAM), Standort Rheinböllen</t>
        </is>
      </c>
      <c r="C16" s="5" t="inlineStr">
        <is>
          <t>profit_anchor</t>
        </is>
      </c>
      <c r="D16" s="5">
        <f>SUMIFS(Candidate_Patterns!$C:$C,Candidate_Patterns!$F:$F,A16)+SUMIFS(Candidate_Patterns!$C:$C,Candidate_Patterns!$G:$G,A16)</f>
        <v/>
      </c>
      <c r="E16" s="5" t="n">
        <v>1</v>
      </c>
      <c r="F16" s="5">
        <f>E16-D16</f>
        <v/>
      </c>
      <c r="G16" s="5">
        <f>IF(F16&gt;=0,"OK","VIOLATION")</f>
        <v/>
      </c>
    </row>
    <row r="17" ht="30" customHeight="1" s="46">
      <c r="A17" s="5" t="n">
        <v>16</v>
      </c>
      <c r="B17" s="5" t="inlineStr">
        <is>
          <t>Debeka Versicherungsgruppe</t>
        </is>
      </c>
      <c r="C17" s="5" t="inlineStr">
        <is>
          <t>profit_anchor</t>
        </is>
      </c>
      <c r="D17" s="5">
        <f>SUMIFS(Candidate_Patterns!$C:$C,Candidate_Patterns!$F:$F,A17)+SUMIFS(Candidate_Patterns!$C:$C,Candidate_Patterns!$G:$G,A17)</f>
        <v/>
      </c>
      <c r="E17" s="5" t="n">
        <v>1</v>
      </c>
      <c r="F17" s="5">
        <f>E17-D17</f>
        <v/>
      </c>
      <c r="G17" s="5">
        <f>IF(F17&gt;=0,"OK","VIOLATION")</f>
        <v/>
      </c>
    </row>
    <row r="18" ht="30" customHeight="1" s="46">
      <c r="A18" s="5" t="n">
        <v>17</v>
      </c>
      <c r="B18" s="5" t="inlineStr">
        <is>
          <t>Deutsche Bundesbank, Hauptverwaltung in Rheinland-Pfalz und dem Saarland</t>
        </is>
      </c>
      <c r="C18" s="5" t="inlineStr">
        <is>
          <t>context_actor</t>
        </is>
      </c>
      <c r="D18" s="5">
        <f>SUMIFS(Candidate_Patterns!$C:$C,Candidate_Patterns!$F:$F,A18)+SUMIFS(Candidate_Patterns!$C:$C,Candidate_Patterns!$G:$G,A18)</f>
        <v/>
      </c>
      <c r="E18" s="5" t="n">
        <v>1</v>
      </c>
      <c r="F18" s="5">
        <f>E18-D18</f>
        <v/>
      </c>
      <c r="G18" s="5">
        <f>IF(F18&gt;=0,"OK","VIOLATION")</f>
        <v/>
      </c>
    </row>
    <row r="19" ht="30" customHeight="1" s="46">
      <c r="A19" s="5" t="n">
        <v>18</v>
      </c>
      <c r="B19" s="5" t="inlineStr">
        <is>
          <t>Deutsche Telekom AG</t>
        </is>
      </c>
      <c r="C19" s="5" t="inlineStr">
        <is>
          <t>profit_anchor</t>
        </is>
      </c>
      <c r="D19" s="5">
        <f>SUMIFS(Candidate_Patterns!$C:$C,Candidate_Patterns!$F:$F,A19)+SUMIFS(Candidate_Patterns!$C:$C,Candidate_Patterns!$G:$G,A19)</f>
        <v/>
      </c>
      <c r="E19" s="5" t="n">
        <v>1</v>
      </c>
      <c r="F19" s="5">
        <f>E19-D19</f>
        <v/>
      </c>
      <c r="G19" s="5">
        <f>IF(F19&gt;=0,"OK","VIOLATION")</f>
        <v/>
      </c>
    </row>
    <row r="20" ht="30" customHeight="1" s="46">
      <c r="A20" s="5" t="n">
        <v>19</v>
      </c>
      <c r="B20" s="5" t="inlineStr">
        <is>
          <t>Deutsche Universität für Verwaltungswissenschaften Speyer</t>
        </is>
      </c>
      <c r="C20" s="5" t="inlineStr">
        <is>
          <t>academic_support</t>
        </is>
      </c>
      <c r="D20" s="5">
        <f>SUMIFS(Candidate_Patterns!$C:$C,Candidate_Patterns!$F:$F,A20)+SUMIFS(Candidate_Patterns!$C:$C,Candidate_Patterns!$G:$G,A20)</f>
        <v/>
      </c>
      <c r="E20" s="5" t="n">
        <v>1</v>
      </c>
      <c r="F20" s="5">
        <f>E20-D20</f>
        <v/>
      </c>
      <c r="G20" s="5">
        <f>IF(F20&gt;=0,"OK","VIOLATION")</f>
        <v/>
      </c>
    </row>
    <row r="21" ht="30" customHeight="1" s="46">
      <c r="A21" s="5" t="n">
        <v>20</v>
      </c>
      <c r="B21" s="5" t="inlineStr">
        <is>
          <t>Deutscher Gewerkschaftsbund (DGB) Rheinland-Pfalz/Saarland</t>
        </is>
      </c>
      <c r="C21" s="5" t="inlineStr">
        <is>
          <t>context_actor</t>
        </is>
      </c>
      <c r="D21" s="5">
        <f>SUMIFS(Candidate_Patterns!$C:$C,Candidate_Patterns!$F:$F,A21)+SUMIFS(Candidate_Patterns!$C:$C,Candidate_Patterns!$G:$G,A21)</f>
        <v/>
      </c>
      <c r="E21" s="5" t="n">
        <v>1</v>
      </c>
      <c r="F21" s="5">
        <f>E21-D21</f>
        <v/>
      </c>
      <c r="G21" s="5">
        <f>IF(F21&gt;=0,"OK","VIOLATION")</f>
        <v/>
      </c>
    </row>
    <row r="22" ht="30" customHeight="1" s="46">
      <c r="A22" s="5" t="n">
        <v>21</v>
      </c>
      <c r="B22" s="5" t="inlineStr">
        <is>
          <t>Duale Hochschule Rheinland-Pfalz</t>
        </is>
      </c>
      <c r="C22" s="5" t="inlineStr">
        <is>
          <t>academic_support</t>
        </is>
      </c>
      <c r="D22" s="5">
        <f>SUMIFS(Candidate_Patterns!$C:$C,Candidate_Patterns!$F:$F,A22)+SUMIFS(Candidate_Patterns!$C:$C,Candidate_Patterns!$G:$G,A22)</f>
        <v/>
      </c>
      <c r="E22" s="5" t="n">
        <v>1</v>
      </c>
      <c r="F22" s="5">
        <f>E22-D22</f>
        <v/>
      </c>
      <c r="G22" s="5">
        <f>IF(F22&gt;=0,"OK","VIOLATION")</f>
        <v/>
      </c>
    </row>
    <row r="23" ht="30" customHeight="1" s="46">
      <c r="A23" s="5" t="n">
        <v>22</v>
      </c>
      <c r="B23" s="5" t="inlineStr">
        <is>
          <t>Eckes-Granini Deutschland GmbH</t>
        </is>
      </c>
      <c r="C23" s="5" t="inlineStr">
        <is>
          <t>profit_anchor</t>
        </is>
      </c>
      <c r="D23" s="5">
        <f>SUMIFS(Candidate_Patterns!$C:$C,Candidate_Patterns!$F:$F,A23)+SUMIFS(Candidate_Patterns!$C:$C,Candidate_Patterns!$G:$G,A23)</f>
        <v/>
      </c>
      <c r="E23" s="5" t="n">
        <v>1</v>
      </c>
      <c r="F23" s="5">
        <f>E23-D23</f>
        <v/>
      </c>
      <c r="G23" s="5">
        <f>IF(F23&gt;=0,"OK","VIOLATION")</f>
        <v/>
      </c>
    </row>
    <row r="24" ht="30" customHeight="1" s="46">
      <c r="A24" s="5" t="n">
        <v>23</v>
      </c>
      <c r="B24" s="5" t="inlineStr">
        <is>
          <t>Empolis Information Management GmbH</t>
        </is>
      </c>
      <c r="C24" s="5" t="inlineStr">
        <is>
          <t>profit_anchor</t>
        </is>
      </c>
      <c r="D24" s="5">
        <f>SUMIFS(Candidate_Patterns!$C:$C,Candidate_Patterns!$F:$F,A24)+SUMIFS(Candidate_Patterns!$C:$C,Candidate_Patterns!$G:$G,A24)</f>
        <v/>
      </c>
      <c r="E24" s="5" t="n">
        <v>1</v>
      </c>
      <c r="F24" s="5">
        <f>E24-D24</f>
        <v/>
      </c>
      <c r="G24" s="5">
        <f>IF(F24&gt;=0,"OK","VIOLATION")</f>
        <v/>
      </c>
    </row>
    <row r="25" ht="30" customHeight="1" s="46">
      <c r="A25" s="5" t="n">
        <v>24</v>
      </c>
      <c r="B25" s="5" t="inlineStr">
        <is>
          <t>ENTEGA Plus GmbH</t>
        </is>
      </c>
      <c r="C25" s="5" t="inlineStr">
        <is>
          <t>profit_anchor</t>
        </is>
      </c>
      <c r="D25" s="5">
        <f>SUMIFS(Candidate_Patterns!$C:$C,Candidate_Patterns!$F:$F,A25)+SUMIFS(Candidate_Patterns!$C:$C,Candidate_Patterns!$G:$G,A25)</f>
        <v/>
      </c>
      <c r="E25" s="5" t="n">
        <v>1</v>
      </c>
      <c r="F25" s="5">
        <f>E25-D25</f>
        <v/>
      </c>
      <c r="G25" s="5">
        <f>IF(F25&gt;=0,"OK","VIOLATION")</f>
        <v/>
      </c>
    </row>
    <row r="26" ht="30" customHeight="1" s="46">
      <c r="A26" s="5" t="n">
        <v>25</v>
      </c>
      <c r="B26" s="5" t="inlineStr">
        <is>
          <t>Entwicklungsagentur Rheinland-Pfalz e.V.</t>
        </is>
      </c>
      <c r="C26" s="5" t="inlineStr">
        <is>
          <t>implementation_anchor</t>
        </is>
      </c>
      <c r="D26" s="5">
        <f>SUMIFS(Candidate_Patterns!$C:$C,Candidate_Patterns!$F:$F,A26)+SUMIFS(Candidate_Patterns!$C:$C,Candidate_Patterns!$G:$G,A26)</f>
        <v/>
      </c>
      <c r="E26" s="5" t="n">
        <v>1</v>
      </c>
      <c r="F26" s="5">
        <f>E26-D26</f>
        <v/>
      </c>
      <c r="G26" s="5">
        <f>IF(F26&gt;=0,"OK","VIOLATION")</f>
        <v/>
      </c>
    </row>
    <row r="27" ht="30" customHeight="1" s="46">
      <c r="A27" s="5" t="n">
        <v>26</v>
      </c>
      <c r="B27" s="5" t="inlineStr">
        <is>
          <t>Ernst &amp; Young GmbH</t>
        </is>
      </c>
      <c r="C27" s="5" t="inlineStr">
        <is>
          <t>profit_anchor</t>
        </is>
      </c>
      <c r="D27" s="5">
        <f>SUMIFS(Candidate_Patterns!$C:$C,Candidate_Patterns!$F:$F,A27)+SUMIFS(Candidate_Patterns!$C:$C,Candidate_Patterns!$G:$G,A27)</f>
        <v/>
      </c>
      <c r="E27" s="5" t="n">
        <v>1</v>
      </c>
      <c r="F27" s="5">
        <f>E27-D27</f>
        <v/>
      </c>
      <c r="G27" s="5">
        <f>IF(F27&gt;=0,"OK","VIOLATION")</f>
        <v/>
      </c>
    </row>
    <row r="28" ht="30" customHeight="1" s="46">
      <c r="A28" s="5" t="n">
        <v>27</v>
      </c>
      <c r="B28" s="5" t="inlineStr">
        <is>
          <t>Erster FC Kaiserslautern GmbH &amp; Co. KGaA</t>
        </is>
      </c>
      <c r="C28" s="5" t="inlineStr">
        <is>
          <t>profit_anchor</t>
        </is>
      </c>
      <c r="D28" s="5">
        <f>SUMIFS(Candidate_Patterns!$C:$C,Candidate_Patterns!$F:$F,A28)+SUMIFS(Candidate_Patterns!$C:$C,Candidate_Patterns!$G:$G,A28)</f>
        <v/>
      </c>
      <c r="E28" s="5" t="n">
        <v>1</v>
      </c>
      <c r="F28" s="5">
        <f>E28-D28</f>
        <v/>
      </c>
      <c r="G28" s="5">
        <f>IF(F28&gt;=0,"OK","VIOLATION")</f>
        <v/>
      </c>
    </row>
    <row r="29" ht="30" customHeight="1" s="46">
      <c r="A29" s="5" t="n">
        <v>28</v>
      </c>
      <c r="B29" s="5" t="inlineStr">
        <is>
          <t>Evangelische Kirche der Pfalz</t>
        </is>
      </c>
      <c r="C29" s="5" t="inlineStr">
        <is>
          <t>context_actor</t>
        </is>
      </c>
      <c r="D29" s="5">
        <f>SUMIFS(Candidate_Patterns!$C:$C,Candidate_Patterns!$F:$F,A29)+SUMIFS(Candidate_Patterns!$C:$C,Candidate_Patterns!$G:$G,A29)</f>
        <v/>
      </c>
      <c r="E29" s="5" t="n">
        <v>1</v>
      </c>
      <c r="F29" s="5">
        <f>E29-D29</f>
        <v/>
      </c>
      <c r="G29" s="5">
        <f>IF(F29&gt;=0,"OK","VIOLATION")</f>
        <v/>
      </c>
    </row>
    <row r="30" ht="30" customHeight="1" s="46">
      <c r="A30" s="5" t="n">
        <v>29</v>
      </c>
      <c r="B30" s="5" t="inlineStr">
        <is>
          <t>Fachingen Heil- und Mineralbrunnen GmbH</t>
        </is>
      </c>
      <c r="C30" s="5" t="inlineStr">
        <is>
          <t>profit_anchor</t>
        </is>
      </c>
      <c r="D30" s="5">
        <f>SUMIFS(Candidate_Patterns!$C:$C,Candidate_Patterns!$F:$F,A30)+SUMIFS(Candidate_Patterns!$C:$C,Candidate_Patterns!$G:$G,A30)</f>
        <v/>
      </c>
      <c r="E30" s="5" t="n">
        <v>1</v>
      </c>
      <c r="F30" s="5">
        <f>E30-D30</f>
        <v/>
      </c>
      <c r="G30" s="5">
        <f>IF(F30&gt;=0,"OK","VIOLATION")</f>
        <v/>
      </c>
    </row>
    <row r="31" ht="30" customHeight="1" s="46">
      <c r="A31" s="5" t="n">
        <v>30</v>
      </c>
      <c r="B31" s="5" t="inlineStr">
        <is>
          <t>Gerolsteiner Brunnen GmbH &amp; Co. KG</t>
        </is>
      </c>
      <c r="C31" s="5" t="inlineStr">
        <is>
          <t>profit_anchor</t>
        </is>
      </c>
      <c r="D31" s="5">
        <f>SUMIFS(Candidate_Patterns!$C:$C,Candidate_Patterns!$F:$F,A31)+SUMIFS(Candidate_Patterns!$C:$C,Candidate_Patterns!$G:$G,A31)</f>
        <v/>
      </c>
      <c r="E31" s="5" t="n">
        <v>1</v>
      </c>
      <c r="F31" s="5">
        <f>E31-D31</f>
        <v/>
      </c>
      <c r="G31" s="5">
        <f>IF(F31&gt;=0,"OK","VIOLATION")</f>
        <v/>
      </c>
    </row>
    <row r="32" ht="30" customHeight="1" s="46">
      <c r="A32" s="5" t="n">
        <v>31</v>
      </c>
      <c r="B32" s="5" t="inlineStr">
        <is>
          <t>GLOBUS Markthallen Holding GmbH &amp; Co. KG</t>
        </is>
      </c>
      <c r="C32" s="5" t="inlineStr">
        <is>
          <t>profit_anchor</t>
        </is>
      </c>
      <c r="D32" s="5">
        <f>SUMIFS(Candidate_Patterns!$C:$C,Candidate_Patterns!$F:$F,A32)+SUMIFS(Candidate_Patterns!$C:$C,Candidate_Patterns!$G:$G,A32)</f>
        <v/>
      </c>
      <c r="E32" s="5" t="n">
        <v>1</v>
      </c>
      <c r="F32" s="5">
        <f>E32-D32</f>
        <v/>
      </c>
      <c r="G32" s="5">
        <f>IF(F32&gt;=0,"OK","VIOLATION")</f>
        <v/>
      </c>
    </row>
    <row r="33" ht="30" customHeight="1" s="46">
      <c r="A33" s="5" t="n">
        <v>32</v>
      </c>
      <c r="B33" s="5" t="inlineStr">
        <is>
          <t>Handwerkskammern Rheinland-Pfalz</t>
        </is>
      </c>
      <c r="C33" s="5" t="inlineStr">
        <is>
          <t>implementation_anchor</t>
        </is>
      </c>
      <c r="D33" s="5">
        <f>SUMIFS(Candidate_Patterns!$C:$C,Candidate_Patterns!$F:$F,A33)+SUMIFS(Candidate_Patterns!$C:$C,Candidate_Patterns!$G:$G,A33)</f>
        <v/>
      </c>
      <c r="E33" s="5" t="n">
        <v>1</v>
      </c>
      <c r="F33" s="5">
        <f>E33-D33</f>
        <v/>
      </c>
      <c r="G33" s="5">
        <f>IF(F33&gt;=0,"OK","VIOLATION")</f>
        <v/>
      </c>
    </row>
    <row r="34" ht="30" customHeight="1" s="46">
      <c r="A34" s="5" t="n">
        <v>33</v>
      </c>
      <c r="B34" s="5" t="inlineStr">
        <is>
          <t>Heberger Gruppe</t>
        </is>
      </c>
      <c r="C34" s="5" t="inlineStr">
        <is>
          <t>context_actor</t>
        </is>
      </c>
      <c r="D34" s="5">
        <f>SUMIFS(Candidate_Patterns!$C:$C,Candidate_Patterns!$F:$F,A34)+SUMIFS(Candidate_Patterns!$C:$C,Candidate_Patterns!$G:$G,A34)</f>
        <v/>
      </c>
      <c r="E34" s="5" t="n">
        <v>1</v>
      </c>
      <c r="F34" s="5">
        <f>E34-D34</f>
        <v/>
      </c>
      <c r="G34" s="5">
        <f>IF(F34&gt;=0,"OK","VIOLATION")</f>
        <v/>
      </c>
    </row>
    <row r="35" ht="30" customHeight="1" s="46">
      <c r="A35" s="5" t="n">
        <v>34</v>
      </c>
      <c r="B35" s="5" t="inlineStr">
        <is>
          <t>Hochschule für Gesellschaftsgestaltung (HfGG)</t>
        </is>
      </c>
      <c r="C35" s="5" t="inlineStr">
        <is>
          <t>academic_support</t>
        </is>
      </c>
      <c r="D35" s="5">
        <f>SUMIFS(Candidate_Patterns!$C:$C,Candidate_Patterns!$F:$F,A35)+SUMIFS(Candidate_Patterns!$C:$C,Candidate_Patterns!$G:$G,A35)</f>
        <v/>
      </c>
      <c r="E35" s="5" t="n">
        <v>1</v>
      </c>
      <c r="F35" s="5">
        <f>E35-D35</f>
        <v/>
      </c>
      <c r="G35" s="5">
        <f>IF(F35&gt;=0,"OK","VIOLATION")</f>
        <v/>
      </c>
    </row>
    <row r="36" ht="30" customHeight="1" s="46">
      <c r="A36" s="5" t="n">
        <v>35</v>
      </c>
      <c r="B36" s="5" t="inlineStr">
        <is>
          <t>Hochschule für Musik Mainz</t>
        </is>
      </c>
      <c r="C36" s="5" t="inlineStr">
        <is>
          <t>academic_support</t>
        </is>
      </c>
      <c r="D36" s="5">
        <f>SUMIFS(Candidate_Patterns!$C:$C,Candidate_Patterns!$F:$F,A36)+SUMIFS(Candidate_Patterns!$C:$C,Candidate_Patterns!$G:$G,A36)</f>
        <v/>
      </c>
      <c r="E36" s="5" t="n">
        <v>1</v>
      </c>
      <c r="F36" s="5">
        <f>E36-D36</f>
        <v/>
      </c>
      <c r="G36" s="5">
        <f>IF(F36&gt;=0,"OK","VIOLATION")</f>
        <v/>
      </c>
    </row>
    <row r="37" ht="30" customHeight="1" s="46">
      <c r="A37" s="5" t="n">
        <v>36</v>
      </c>
      <c r="B37" s="5" t="inlineStr">
        <is>
          <t>Hochschule für Wirtschaft und Gesellschaft Ludwigshafen</t>
        </is>
      </c>
      <c r="C37" s="5" t="inlineStr">
        <is>
          <t>academic_support</t>
        </is>
      </c>
      <c r="D37" s="5">
        <f>SUMIFS(Candidate_Patterns!$C:$C,Candidate_Patterns!$F:$F,A37)+SUMIFS(Candidate_Patterns!$C:$C,Candidate_Patterns!$G:$G,A37)</f>
        <v/>
      </c>
      <c r="E37" s="5" t="n">
        <v>1</v>
      </c>
      <c r="F37" s="5">
        <f>E37-D37</f>
        <v/>
      </c>
      <c r="G37" s="5">
        <f>IF(F37&gt;=0,"OK","VIOLATION")</f>
        <v/>
      </c>
    </row>
    <row r="38" ht="30" customHeight="1" s="46">
      <c r="A38" s="5" t="n">
        <v>37</v>
      </c>
      <c r="B38" s="5" t="inlineStr">
        <is>
          <t>Hochschule Kaiserslautern</t>
        </is>
      </c>
      <c r="C38" s="5" t="inlineStr">
        <is>
          <t>academic_support</t>
        </is>
      </c>
      <c r="D38" s="5">
        <f>SUMIFS(Candidate_Patterns!$C:$C,Candidate_Patterns!$F:$F,A38)+SUMIFS(Candidate_Patterns!$C:$C,Candidate_Patterns!$G:$G,A38)</f>
        <v/>
      </c>
      <c r="E38" s="5" t="n">
        <v>1</v>
      </c>
      <c r="F38" s="5">
        <f>E38-D38</f>
        <v/>
      </c>
      <c r="G38" s="5">
        <f>IF(F38&gt;=0,"OK","VIOLATION")</f>
        <v/>
      </c>
    </row>
    <row r="39" ht="30" customHeight="1" s="46">
      <c r="A39" s="5" t="n">
        <v>38</v>
      </c>
      <c r="B39" s="5" t="inlineStr">
        <is>
          <t>Hochschule Koblenz</t>
        </is>
      </c>
      <c r="C39" s="5" t="inlineStr">
        <is>
          <t>academic_support</t>
        </is>
      </c>
      <c r="D39" s="5">
        <f>SUMIFS(Candidate_Patterns!$C:$C,Candidate_Patterns!$F:$F,A39)+SUMIFS(Candidate_Patterns!$C:$C,Candidate_Patterns!$G:$G,A39)</f>
        <v/>
      </c>
      <c r="E39" s="5" t="n">
        <v>1</v>
      </c>
      <c r="F39" s="5">
        <f>E39-D39</f>
        <v/>
      </c>
      <c r="G39" s="5">
        <f>IF(F39&gt;=0,"OK","VIOLATION")</f>
        <v/>
      </c>
    </row>
    <row r="40" ht="30" customHeight="1" s="46">
      <c r="A40" s="5" t="n">
        <v>39</v>
      </c>
      <c r="B40" s="5" t="inlineStr">
        <is>
          <t>Hochschule Mainz</t>
        </is>
      </c>
      <c r="C40" s="5" t="inlineStr">
        <is>
          <t>academic_support</t>
        </is>
      </c>
      <c r="D40" s="5">
        <f>SUMIFS(Candidate_Patterns!$C:$C,Candidate_Patterns!$F:$F,A40)+SUMIFS(Candidate_Patterns!$C:$C,Candidate_Patterns!$G:$G,A40)</f>
        <v/>
      </c>
      <c r="E40" s="5" t="n">
        <v>1</v>
      </c>
      <c r="F40" s="5">
        <f>E40-D40</f>
        <v/>
      </c>
      <c r="G40" s="5">
        <f>IF(F40&gt;=0,"OK","VIOLATION")</f>
        <v/>
      </c>
    </row>
    <row r="41" ht="30" customHeight="1" s="46">
      <c r="A41" s="5" t="n">
        <v>40</v>
      </c>
      <c r="B41" s="5" t="inlineStr">
        <is>
          <t>Hochschule Trier</t>
        </is>
      </c>
      <c r="C41" s="5" t="inlineStr">
        <is>
          <t>academic_support</t>
        </is>
      </c>
      <c r="D41" s="5">
        <f>SUMIFS(Candidate_Patterns!$C:$C,Candidate_Patterns!$F:$F,A41)+SUMIFS(Candidate_Patterns!$C:$C,Candidate_Patterns!$G:$G,A41)</f>
        <v/>
      </c>
      <c r="E41" s="5" t="n">
        <v>1</v>
      </c>
      <c r="F41" s="5">
        <f>E41-D41</f>
        <v/>
      </c>
      <c r="G41" s="5">
        <f>IF(F41&gt;=0,"OK","VIOLATION")</f>
        <v/>
      </c>
    </row>
    <row r="42" ht="30" customHeight="1" s="46">
      <c r="A42" s="5" t="n">
        <v>41</v>
      </c>
      <c r="B42" s="5" t="inlineStr">
        <is>
          <t>Hochschule Worms</t>
        </is>
      </c>
      <c r="C42" s="5" t="inlineStr">
        <is>
          <t>academic_support</t>
        </is>
      </c>
      <c r="D42" s="5">
        <f>SUMIFS(Candidate_Patterns!$C:$C,Candidate_Patterns!$F:$F,A42)+SUMIFS(Candidate_Patterns!$C:$C,Candidate_Patterns!$G:$G,A42)</f>
        <v/>
      </c>
      <c r="E42" s="5" t="n">
        <v>1</v>
      </c>
      <c r="F42" s="5">
        <f>E42-D42</f>
        <v/>
      </c>
      <c r="G42" s="5">
        <f>IF(F42&gt;=0,"OK","VIOLATION")</f>
        <v/>
      </c>
    </row>
    <row r="43" ht="30" customHeight="1" s="46">
      <c r="A43" s="5" t="n">
        <v>42</v>
      </c>
      <c r="B43" s="5" t="inlineStr">
        <is>
          <t>IKK Südwest</t>
        </is>
      </c>
      <c r="C43" s="5" t="inlineStr">
        <is>
          <t>context_actor</t>
        </is>
      </c>
      <c r="D43" s="5">
        <f>SUMIFS(Candidate_Patterns!$C:$C,Candidate_Patterns!$F:$F,A43)+SUMIFS(Candidate_Patterns!$C:$C,Candidate_Patterns!$G:$G,A43)</f>
        <v/>
      </c>
      <c r="E43" s="5" t="n">
        <v>1</v>
      </c>
      <c r="F43" s="5">
        <f>E43-D43</f>
        <v/>
      </c>
      <c r="G43" s="5">
        <f>IF(F43&gt;=0,"OK","VIOLATION")</f>
        <v/>
      </c>
    </row>
    <row r="44" ht="30" customHeight="1" s="46">
      <c r="A44" s="5" t="n">
        <v>43</v>
      </c>
      <c r="B44" s="5" t="inlineStr">
        <is>
          <t>in.betrieb gGmbH</t>
        </is>
      </c>
      <c r="C44" s="5" t="inlineStr">
        <is>
          <t>context_actor</t>
        </is>
      </c>
      <c r="D44" s="5">
        <f>SUMIFS(Candidate_Patterns!$C:$C,Candidate_Patterns!$F:$F,A44)+SUMIFS(Candidate_Patterns!$C:$C,Candidate_Patterns!$G:$G,A44)</f>
        <v/>
      </c>
      <c r="E44" s="5" t="n">
        <v>1</v>
      </c>
      <c r="F44" s="5">
        <f>E44-D44</f>
        <v/>
      </c>
      <c r="G44" s="5">
        <f>IF(F44&gt;=0,"OK","VIOLATION")</f>
        <v/>
      </c>
    </row>
    <row r="45" ht="30" customHeight="1" s="46">
      <c r="A45" s="5" t="n">
        <v>44</v>
      </c>
      <c r="B45" s="5" t="inlineStr">
        <is>
          <t>Ingenieurkammer Rheinland-Pfalz</t>
        </is>
      </c>
      <c r="C45" s="5" t="inlineStr">
        <is>
          <t>implementation_anchor</t>
        </is>
      </c>
      <c r="D45" s="5">
        <f>SUMIFS(Candidate_Patterns!$C:$C,Candidate_Patterns!$F:$F,A45)+SUMIFS(Candidate_Patterns!$C:$C,Candidate_Patterns!$G:$G,A45)</f>
        <v/>
      </c>
      <c r="E45" s="5" t="n">
        <v>1</v>
      </c>
      <c r="F45" s="5">
        <f>E45-D45</f>
        <v/>
      </c>
      <c r="G45" s="5">
        <f>IF(F45&gt;=0,"OK","VIOLATION")</f>
        <v/>
      </c>
    </row>
    <row r="46" ht="30" customHeight="1" s="46">
      <c r="A46" s="5" t="n">
        <v>45</v>
      </c>
      <c r="B46" s="5" t="inlineStr">
        <is>
          <t>Investitions- und Strukturbank Rheinland-Pfalz (ISB)</t>
        </is>
      </c>
      <c r="C46" s="5" t="inlineStr">
        <is>
          <t>context_actor</t>
        </is>
      </c>
      <c r="D46" s="5">
        <f>SUMIFS(Candidate_Patterns!$C:$C,Candidate_Patterns!$F:$F,A46)+SUMIFS(Candidate_Patterns!$C:$C,Candidate_Patterns!$G:$G,A46)</f>
        <v/>
      </c>
      <c r="E46" s="5" t="n">
        <v>1</v>
      </c>
      <c r="F46" s="5">
        <f>E46-D46</f>
        <v/>
      </c>
      <c r="G46" s="5">
        <f>IF(F46&gt;=0,"OK","VIOLATION")</f>
        <v/>
      </c>
    </row>
    <row r="47" ht="30" customHeight="1" s="46">
      <c r="A47" s="5" t="n">
        <v>46</v>
      </c>
      <c r="B47" s="5" t="inlineStr">
        <is>
          <t>IQIB - Institut für qualifizierende Innovationsforschung und -beratung GmbH</t>
        </is>
      </c>
      <c r="C47" s="5" t="inlineStr">
        <is>
          <t>profit_anchor</t>
        </is>
      </c>
      <c r="D47" s="5">
        <f>SUMIFS(Candidate_Patterns!$C:$C,Candidate_Patterns!$F:$F,A47)+SUMIFS(Candidate_Patterns!$C:$C,Candidate_Patterns!$G:$G,A47)</f>
        <v/>
      </c>
      <c r="E47" s="5" t="n">
        <v>1</v>
      </c>
      <c r="F47" s="5">
        <f>E47-D47</f>
        <v/>
      </c>
      <c r="G47" s="5">
        <f>IF(F47&gt;=0,"OK","VIOLATION")</f>
        <v/>
      </c>
    </row>
    <row r="48" ht="30" customHeight="1" s="46">
      <c r="A48" s="5" t="n">
        <v>47</v>
      </c>
      <c r="B48" s="5" t="inlineStr">
        <is>
          <t>ITK Engineering GmbH</t>
        </is>
      </c>
      <c r="C48" s="5" t="inlineStr">
        <is>
          <t>profit_anchor</t>
        </is>
      </c>
      <c r="D48" s="5">
        <f>SUMIFS(Candidate_Patterns!$C:$C,Candidate_Patterns!$F:$F,A48)+SUMIFS(Candidate_Patterns!$C:$C,Candidate_Patterns!$G:$G,A48)</f>
        <v/>
      </c>
      <c r="E48" s="5" t="n">
        <v>1</v>
      </c>
      <c r="F48" s="5">
        <f>E48-D48</f>
        <v/>
      </c>
      <c r="G48" s="5">
        <f>IF(F48&gt;=0,"OK","VIOLATION")</f>
        <v/>
      </c>
    </row>
    <row r="49" ht="30" customHeight="1" s="46">
      <c r="A49" s="5" t="n">
        <v>48</v>
      </c>
      <c r="B49" s="5" t="inlineStr">
        <is>
          <t>JOBS FOR MOMS UG</t>
        </is>
      </c>
      <c r="C49" s="5" t="inlineStr">
        <is>
          <t>context_actor</t>
        </is>
      </c>
      <c r="D49" s="5">
        <f>SUMIFS(Candidate_Patterns!$C:$C,Candidate_Patterns!$F:$F,A49)+SUMIFS(Candidate_Patterns!$C:$C,Candidate_Patterns!$G:$G,A49)</f>
        <v/>
      </c>
      <c r="E49" s="5" t="n">
        <v>1</v>
      </c>
      <c r="F49" s="5">
        <f>E49-D49</f>
        <v/>
      </c>
      <c r="G49" s="5">
        <f>IF(F49&gt;=0,"OK","VIOLATION")</f>
        <v/>
      </c>
    </row>
    <row r="50" ht="30" customHeight="1" s="46">
      <c r="A50" s="5" t="n">
        <v>49</v>
      </c>
      <c r="B50" s="5" t="inlineStr">
        <is>
          <t>Johannes Gutenberg-Universität Mainz</t>
        </is>
      </c>
      <c r="C50" s="5" t="inlineStr">
        <is>
          <t>academic_support</t>
        </is>
      </c>
      <c r="D50" s="5">
        <f>SUMIFS(Candidate_Patterns!$C:$C,Candidate_Patterns!$F:$F,A50)+SUMIFS(Candidate_Patterns!$C:$C,Candidate_Patterns!$G:$G,A50)</f>
        <v/>
      </c>
      <c r="E50" s="5" t="n">
        <v>1</v>
      </c>
      <c r="F50" s="5">
        <f>E50-D50</f>
        <v/>
      </c>
      <c r="G50" s="5">
        <f>IF(F50&gt;=0,"OK","VIOLATION")</f>
        <v/>
      </c>
    </row>
    <row r="51" ht="30" customHeight="1" s="46">
      <c r="A51" s="5" t="n">
        <v>50</v>
      </c>
      <c r="B51" s="5" t="inlineStr">
        <is>
          <t>Joseph Vögele AG</t>
        </is>
      </c>
      <c r="C51" s="5" t="inlineStr">
        <is>
          <t>profit_anchor</t>
        </is>
      </c>
      <c r="D51" s="5">
        <f>SUMIFS(Candidate_Patterns!$C:$C,Candidate_Patterns!$F:$F,A51)+SUMIFS(Candidate_Patterns!$C:$C,Candidate_Patterns!$G:$G,A51)</f>
        <v/>
      </c>
      <c r="E51" s="5" t="n">
        <v>1</v>
      </c>
      <c r="F51" s="5">
        <f>E51-D51</f>
        <v/>
      </c>
      <c r="G51" s="5">
        <f>IF(F51&gt;=0,"OK","VIOLATION")</f>
        <v/>
      </c>
    </row>
    <row r="52" ht="30" customHeight="1" s="46">
      <c r="A52" s="5" t="n">
        <v>51</v>
      </c>
      <c r="B52" s="5" t="inlineStr">
        <is>
          <t>JUWI GmbH</t>
        </is>
      </c>
      <c r="C52" s="5" t="inlineStr">
        <is>
          <t>profit_anchor</t>
        </is>
      </c>
      <c r="D52" s="5">
        <f>SUMIFS(Candidate_Patterns!$C:$C,Candidate_Patterns!$F:$F,A52)+SUMIFS(Candidate_Patterns!$C:$C,Candidate_Patterns!$G:$G,A52)</f>
        <v/>
      </c>
      <c r="E52" s="5" t="n">
        <v>1</v>
      </c>
      <c r="F52" s="5">
        <f>E52-D52</f>
        <v/>
      </c>
      <c r="G52" s="5">
        <f>IF(F52&gt;=0,"OK","VIOLATION")</f>
        <v/>
      </c>
    </row>
    <row r="53" ht="30" customHeight="1" s="46">
      <c r="A53" s="5" t="n">
        <v>52</v>
      </c>
      <c r="B53" s="5" t="inlineStr">
        <is>
          <t>Karl Gemünden GmbH &amp; Co. KG</t>
        </is>
      </c>
      <c r="C53" s="5" t="inlineStr">
        <is>
          <t>profit_anchor</t>
        </is>
      </c>
      <c r="D53" s="5">
        <f>SUMIFS(Candidate_Patterns!$C:$C,Candidate_Patterns!$F:$F,A53)+SUMIFS(Candidate_Patterns!$C:$C,Candidate_Patterns!$G:$G,A53)</f>
        <v/>
      </c>
      <c r="E53" s="5" t="n">
        <v>1</v>
      </c>
      <c r="F53" s="5">
        <f>E53-D53</f>
        <v/>
      </c>
      <c r="G53" s="5">
        <f>IF(F53&gt;=0,"OK","VIOLATION")</f>
        <v/>
      </c>
    </row>
    <row r="54" ht="30" customHeight="1" s="46">
      <c r="A54" s="5" t="n">
        <v>53</v>
      </c>
      <c r="B54" s="5" t="inlineStr">
        <is>
          <t>Kassenzahnärztliche Vereinigung Rheinland-Pfalz</t>
        </is>
      </c>
      <c r="C54" s="5" t="inlineStr">
        <is>
          <t>context_actor</t>
        </is>
      </c>
      <c r="D54" s="5">
        <f>SUMIFS(Candidate_Patterns!$C:$C,Candidate_Patterns!$F:$F,A54)+SUMIFS(Candidate_Patterns!$C:$C,Candidate_Patterns!$G:$G,A54)</f>
        <v/>
      </c>
      <c r="E54" s="5" t="n">
        <v>1</v>
      </c>
      <c r="F54" s="5">
        <f>E54-D54</f>
        <v/>
      </c>
      <c r="G54" s="5">
        <f>IF(F54&gt;=0,"OK","VIOLATION")</f>
        <v/>
      </c>
    </row>
    <row r="55" ht="30" customHeight="1" s="46">
      <c r="A55" s="5" t="n">
        <v>54</v>
      </c>
      <c r="B55" s="5" t="inlineStr">
        <is>
          <t>Kassenärztliche Vereinigung Rheinland-Pfalz</t>
        </is>
      </c>
      <c r="C55" s="5" t="inlineStr">
        <is>
          <t>context_actor</t>
        </is>
      </c>
      <c r="D55" s="5">
        <f>SUMIFS(Candidate_Patterns!$C:$C,Candidate_Patterns!$F:$F,A55)+SUMIFS(Candidate_Patterns!$C:$C,Candidate_Patterns!$G:$G,A55)</f>
        <v/>
      </c>
      <c r="E55" s="5" t="n">
        <v>1</v>
      </c>
      <c r="F55" s="5">
        <f>E55-D55</f>
        <v/>
      </c>
      <c r="G55" s="5">
        <f>IF(F55&gt;=0,"OK","VIOLATION")</f>
        <v/>
      </c>
    </row>
    <row r="56" ht="30" customHeight="1" s="46">
      <c r="A56" s="5" t="n">
        <v>55</v>
      </c>
      <c r="B56" s="5" t="inlineStr">
        <is>
          <t>Katholische Hochschule Mainz</t>
        </is>
      </c>
      <c r="C56" s="5" t="inlineStr">
        <is>
          <t>academic_support</t>
        </is>
      </c>
      <c r="D56" s="5">
        <f>SUMIFS(Candidate_Patterns!$C:$C,Candidate_Patterns!$F:$F,A56)+SUMIFS(Candidate_Patterns!$C:$C,Candidate_Patterns!$G:$G,A56)</f>
        <v/>
      </c>
      <c r="E56" s="5" t="n">
        <v>1</v>
      </c>
      <c r="F56" s="5">
        <f>E56-D56</f>
        <v/>
      </c>
      <c r="G56" s="5">
        <f>IF(F56&gt;=0,"OK","VIOLATION")</f>
        <v/>
      </c>
    </row>
    <row r="57" ht="30" customHeight="1" s="46">
      <c r="A57" s="5" t="n">
        <v>56</v>
      </c>
      <c r="B57" s="5" t="inlineStr">
        <is>
          <t>KPMG AG Wirtschaftsprüfungsgesellschaft</t>
        </is>
      </c>
      <c r="C57" s="5" t="inlineStr">
        <is>
          <t>profit_anchor</t>
        </is>
      </c>
      <c r="D57" s="5">
        <f>SUMIFS(Candidate_Patterns!$C:$C,Candidate_Patterns!$F:$F,A57)+SUMIFS(Candidate_Patterns!$C:$C,Candidate_Patterns!$G:$G,A57)</f>
        <v/>
      </c>
      <c r="E57" s="5" t="n">
        <v>1</v>
      </c>
      <c r="F57" s="5">
        <f>E57-D57</f>
        <v/>
      </c>
      <c r="G57" s="5">
        <f>IF(F57&gt;=0,"OK","VIOLATION")</f>
        <v/>
      </c>
    </row>
    <row r="58" ht="30" customHeight="1" s="46">
      <c r="A58" s="5" t="n">
        <v>57</v>
      </c>
      <c r="B58" s="5" t="inlineStr">
        <is>
          <t>KSB AG</t>
        </is>
      </c>
      <c r="C58" s="5" t="inlineStr">
        <is>
          <t>profit_anchor</t>
        </is>
      </c>
      <c r="D58" s="5">
        <f>SUMIFS(Candidate_Patterns!$C:$C,Candidate_Patterns!$F:$F,A58)+SUMIFS(Candidate_Patterns!$C:$C,Candidate_Patterns!$G:$G,A58)</f>
        <v/>
      </c>
      <c r="E58" s="5" t="n">
        <v>1</v>
      </c>
      <c r="F58" s="5">
        <f>E58-D58</f>
        <v/>
      </c>
      <c r="G58" s="5">
        <f>IF(F58&gt;=0,"OK","VIOLATION")</f>
        <v/>
      </c>
    </row>
    <row r="59" ht="30" customHeight="1" s="46">
      <c r="A59" s="5" t="n">
        <v>58</v>
      </c>
      <c r="B59" s="5" t="inlineStr">
        <is>
          <t>KÜBLER GmbH</t>
        </is>
      </c>
      <c r="C59" s="5" t="inlineStr">
        <is>
          <t>profit_anchor</t>
        </is>
      </c>
      <c r="D59" s="5">
        <f>SUMIFS(Candidate_Patterns!$C:$C,Candidate_Patterns!$F:$F,A59)+SUMIFS(Candidate_Patterns!$C:$C,Candidate_Patterns!$G:$G,A59)</f>
        <v/>
      </c>
      <c r="E59" s="5" t="n">
        <v>1</v>
      </c>
      <c r="F59" s="5">
        <f>E59-D59</f>
        <v/>
      </c>
      <c r="G59" s="5">
        <f>IF(F59&gt;=0,"OK","VIOLATION")</f>
        <v/>
      </c>
    </row>
    <row r="60" ht="30" customHeight="1" s="46">
      <c r="A60" s="5" t="n">
        <v>59</v>
      </c>
      <c r="B60" s="5" t="inlineStr">
        <is>
          <t>L Q M Marktforschung GmbH</t>
        </is>
      </c>
      <c r="C60" s="5" t="inlineStr">
        <is>
          <t>profit_anchor</t>
        </is>
      </c>
      <c r="D60" s="5">
        <f>SUMIFS(Candidate_Patterns!$C:$C,Candidate_Patterns!$F:$F,A60)+SUMIFS(Candidate_Patterns!$C:$C,Candidate_Patterns!$G:$G,A60)</f>
        <v/>
      </c>
      <c r="E60" s="5" t="n">
        <v>1</v>
      </c>
      <c r="F60" s="5">
        <f>E60-D60</f>
        <v/>
      </c>
      <c r="G60" s="5">
        <f>IF(F60&gt;=0,"OK","VIOLATION")</f>
        <v/>
      </c>
    </row>
    <row r="61" ht="30" customHeight="1" s="46">
      <c r="A61" s="5" t="n">
        <v>60</v>
      </c>
      <c r="B61" s="5" t="inlineStr">
        <is>
          <t>Landesbank Baden-Württemberg (LBBW)</t>
        </is>
      </c>
      <c r="C61" s="5" t="inlineStr">
        <is>
          <t>profit_anchor</t>
        </is>
      </c>
      <c r="D61" s="5">
        <f>SUMIFS(Candidate_Patterns!$C:$C,Candidate_Patterns!$F:$F,A61)+SUMIFS(Candidate_Patterns!$C:$C,Candidate_Patterns!$G:$G,A61)</f>
        <v/>
      </c>
      <c r="E61" s="5" t="n">
        <v>1</v>
      </c>
      <c r="F61" s="5">
        <f>E61-D61</f>
        <v/>
      </c>
      <c r="G61" s="5">
        <f>IF(F61&gt;=0,"OK","VIOLATION")</f>
        <v/>
      </c>
    </row>
    <row r="62" ht="30" customHeight="1" s="46">
      <c r="A62" s="5" t="n">
        <v>61</v>
      </c>
      <c r="B62" s="5" t="inlineStr">
        <is>
          <t>LandesPsychotherapeutenKammer Rheinland-Pfalz</t>
        </is>
      </c>
      <c r="C62" s="5" t="inlineStr">
        <is>
          <t>implementation_anchor</t>
        </is>
      </c>
      <c r="D62" s="5">
        <f>SUMIFS(Candidate_Patterns!$C:$C,Candidate_Patterns!$F:$F,A62)+SUMIFS(Candidate_Patterns!$C:$C,Candidate_Patterns!$G:$G,A62)</f>
        <v/>
      </c>
      <c r="E62" s="5" t="n">
        <v>1</v>
      </c>
      <c r="F62" s="5">
        <f>E62-D62</f>
        <v/>
      </c>
      <c r="G62" s="5">
        <f>IF(F62&gt;=0,"OK","VIOLATION")</f>
        <v/>
      </c>
    </row>
    <row r="63" ht="30" customHeight="1" s="46">
      <c r="A63" s="5" t="n">
        <v>62</v>
      </c>
      <c r="B63" s="5" t="inlineStr">
        <is>
          <t>Landesärztekammer Rheinland-Pfalz</t>
        </is>
      </c>
      <c r="C63" s="5" t="inlineStr">
        <is>
          <t>implementation_anchor</t>
        </is>
      </c>
      <c r="D63" s="5">
        <f>SUMIFS(Candidate_Patterns!$C:$C,Candidate_Patterns!$F:$F,A63)+SUMIFS(Candidate_Patterns!$C:$C,Candidate_Patterns!$G:$G,A63)</f>
        <v/>
      </c>
      <c r="E63" s="5" t="n">
        <v>1</v>
      </c>
      <c r="F63" s="5">
        <f>E63-D63</f>
        <v/>
      </c>
      <c r="G63" s="5">
        <f>IF(F63&gt;=0,"OK","VIOLATION")</f>
        <v/>
      </c>
    </row>
    <row r="64" ht="30" customHeight="1" s="46">
      <c r="A64" s="5" t="n">
        <v>63</v>
      </c>
      <c r="B64" s="5" t="inlineStr">
        <is>
          <t>Landkreistag Rheinland-Pfalz</t>
        </is>
      </c>
      <c r="C64" s="5" t="inlineStr">
        <is>
          <t>context_actor</t>
        </is>
      </c>
      <c r="D64" s="5">
        <f>SUMIFS(Candidate_Patterns!$C:$C,Candidate_Patterns!$F:$F,A64)+SUMIFS(Candidate_Patterns!$C:$C,Candidate_Patterns!$G:$G,A64)</f>
        <v/>
      </c>
      <c r="E64" s="5" t="n">
        <v>1</v>
      </c>
      <c r="F64" s="5">
        <f>E64-D64</f>
        <v/>
      </c>
      <c r="G64" s="5">
        <f>IF(F64&gt;=0,"OK","VIOLATION")</f>
        <v/>
      </c>
    </row>
    <row r="65" ht="30" customHeight="1" s="46">
      <c r="A65" s="5" t="n">
        <v>64</v>
      </c>
      <c r="B65" s="5" t="inlineStr">
        <is>
          <t>Leonardo PersonalKonzept GmbH</t>
        </is>
      </c>
      <c r="C65" s="5" t="inlineStr">
        <is>
          <t>profit_anchor</t>
        </is>
      </c>
      <c r="D65" s="5">
        <f>SUMIFS(Candidate_Patterns!$C:$C,Candidate_Patterns!$F:$F,A65)+SUMIFS(Candidate_Patterns!$C:$C,Candidate_Patterns!$G:$G,A65)</f>
        <v/>
      </c>
      <c r="E65" s="5" t="n">
        <v>1</v>
      </c>
      <c r="F65" s="5">
        <f>E65-D65</f>
        <v/>
      </c>
      <c r="G65" s="5">
        <f>IF(F65&gt;=0,"OK","VIOLATION")</f>
        <v/>
      </c>
    </row>
    <row r="66" ht="30" customHeight="1" s="46">
      <c r="A66" s="5" t="n">
        <v>65</v>
      </c>
      <c r="B66" s="5" t="inlineStr">
        <is>
          <t>Licharz GmbH</t>
        </is>
      </c>
      <c r="C66" s="5" t="inlineStr">
        <is>
          <t>profit_anchor</t>
        </is>
      </c>
      <c r="D66" s="5">
        <f>SUMIFS(Candidate_Patterns!$C:$C,Candidate_Patterns!$F:$F,A66)+SUMIFS(Candidate_Patterns!$C:$C,Candidate_Patterns!$G:$G,A66)</f>
        <v/>
      </c>
      <c r="E66" s="5" t="n">
        <v>1</v>
      </c>
      <c r="F66" s="5">
        <f>E66-D66</f>
        <v/>
      </c>
      <c r="G66" s="5">
        <f>IF(F66&gt;=0,"OK","VIOLATION")</f>
        <v/>
      </c>
    </row>
    <row r="67" ht="30" customHeight="1" s="46">
      <c r="A67" s="5" t="n">
        <v>66</v>
      </c>
      <c r="B67" s="5" t="inlineStr">
        <is>
          <t>LOTTO Rheinland-Pfalz GmbH</t>
        </is>
      </c>
      <c r="C67" s="5" t="inlineStr">
        <is>
          <t>profit_anchor</t>
        </is>
      </c>
      <c r="D67" s="5">
        <f>SUMIFS(Candidate_Patterns!$C:$C,Candidate_Patterns!$F:$F,A67)+SUMIFS(Candidate_Patterns!$C:$C,Candidate_Patterns!$G:$G,A67)</f>
        <v/>
      </c>
      <c r="E67" s="5" t="n">
        <v>1</v>
      </c>
      <c r="F67" s="5">
        <f>E67-D67</f>
        <v/>
      </c>
      <c r="G67" s="5">
        <f>IF(F67&gt;=0,"OK","VIOLATION")</f>
        <v/>
      </c>
    </row>
    <row r="68" ht="30" customHeight="1" s="46">
      <c r="A68" s="5" t="n">
        <v>67</v>
      </c>
      <c r="B68" s="5" t="inlineStr">
        <is>
          <t>LÖWEN ENTERTAINMENT GmbH</t>
        </is>
      </c>
      <c r="C68" s="5" t="inlineStr">
        <is>
          <t>profit_anchor</t>
        </is>
      </c>
      <c r="D68" s="5">
        <f>SUMIFS(Candidate_Patterns!$C:$C,Candidate_Patterns!$F:$F,A68)+SUMIFS(Candidate_Patterns!$C:$C,Candidate_Patterns!$G:$G,A68)</f>
        <v/>
      </c>
      <c r="E68" s="5" t="n">
        <v>1</v>
      </c>
      <c r="F68" s="5">
        <f>E68-D68</f>
        <v/>
      </c>
      <c r="G68" s="5">
        <f>IF(F68&gt;=0,"OK","VIOLATION")</f>
        <v/>
      </c>
    </row>
    <row r="69" ht="30" customHeight="1" s="46">
      <c r="A69" s="5" t="n">
        <v>68</v>
      </c>
      <c r="B69" s="5" t="inlineStr">
        <is>
          <t>Mainzer Stadtwerke AG</t>
        </is>
      </c>
      <c r="C69" s="5" t="inlineStr">
        <is>
          <t>profit_anchor</t>
        </is>
      </c>
      <c r="D69" s="5">
        <f>SUMIFS(Candidate_Patterns!$C:$C,Candidate_Patterns!$F:$F,A69)+SUMIFS(Candidate_Patterns!$C:$C,Candidate_Patterns!$G:$G,A69)</f>
        <v/>
      </c>
      <c r="E69" s="5" t="n">
        <v>1</v>
      </c>
      <c r="F69" s="5">
        <f>E69-D69</f>
        <v/>
      </c>
      <c r="G69" s="5">
        <f>IF(F69&gt;=0,"OK","VIOLATION")</f>
        <v/>
      </c>
    </row>
    <row r="70" ht="30" customHeight="1" s="46">
      <c r="A70" s="5" t="n">
        <v>69</v>
      </c>
      <c r="B70" s="5" t="inlineStr">
        <is>
          <t>Michelin Reifenwerke AG &amp; Co. KGaA</t>
        </is>
      </c>
      <c r="C70" s="5" t="inlineStr">
        <is>
          <t>profit_anchor</t>
        </is>
      </c>
      <c r="D70" s="5">
        <f>SUMIFS(Candidate_Patterns!$C:$C,Candidate_Patterns!$F:$F,A70)+SUMIFS(Candidate_Patterns!$C:$C,Candidate_Patterns!$G:$G,A70)</f>
        <v/>
      </c>
      <c r="E70" s="5" t="n">
        <v>1</v>
      </c>
      <c r="F70" s="5">
        <f>E70-D70</f>
        <v/>
      </c>
      <c r="G70" s="5">
        <f>IF(F70&gt;=0,"OK","VIOLATION")</f>
        <v/>
      </c>
    </row>
    <row r="71" ht="30" customHeight="1" s="46">
      <c r="A71" s="5" t="n">
        <v>70</v>
      </c>
      <c r="B71" s="5" t="inlineStr">
        <is>
          <t>Ministerium für Wirtschaft, Verkehr, Landwirtschaft und Weinbau</t>
        </is>
      </c>
      <c r="C71" s="5" t="inlineStr">
        <is>
          <t>profit_anchor</t>
        </is>
      </c>
      <c r="D71" s="5">
        <f>SUMIFS(Candidate_Patterns!$C:$C,Candidate_Patterns!$F:$F,A71)+SUMIFS(Candidate_Patterns!$C:$C,Candidate_Patterns!$G:$G,A71)</f>
        <v/>
      </c>
      <c r="E71" s="5" t="n">
        <v>1</v>
      </c>
      <c r="F71" s="5">
        <f>E71-D71</f>
        <v/>
      </c>
      <c r="G71" s="5">
        <f>IF(F71&gt;=0,"OK","VIOLATION")</f>
        <v/>
      </c>
    </row>
    <row r="72" ht="30" customHeight="1" s="46">
      <c r="A72" s="5" t="n">
        <v>71</v>
      </c>
      <c r="B72" s="5" t="inlineStr">
        <is>
          <t>PFAFF Industriesysteme und Maschinen GmbH</t>
        </is>
      </c>
      <c r="C72" s="5" t="inlineStr">
        <is>
          <t>profit_anchor</t>
        </is>
      </c>
      <c r="D72" s="5">
        <f>SUMIFS(Candidate_Patterns!$C:$C,Candidate_Patterns!$F:$F,A72)+SUMIFS(Candidate_Patterns!$C:$C,Candidate_Patterns!$G:$G,A72)</f>
        <v/>
      </c>
      <c r="E72" s="5" t="n">
        <v>1</v>
      </c>
      <c r="F72" s="5">
        <f>E72-D72</f>
        <v/>
      </c>
      <c r="G72" s="5">
        <f>IF(F72&gt;=0,"OK","VIOLATION")</f>
        <v/>
      </c>
    </row>
    <row r="73" ht="30" customHeight="1" s="46">
      <c r="A73" s="5" t="n">
        <v>72</v>
      </c>
      <c r="B73" s="5" t="inlineStr">
        <is>
          <t>Pfalzwerke AG</t>
        </is>
      </c>
      <c r="C73" s="5" t="inlineStr">
        <is>
          <t>profit_anchor</t>
        </is>
      </c>
      <c r="D73" s="5">
        <f>SUMIFS(Candidate_Patterns!$C:$C,Candidate_Patterns!$F:$F,A73)+SUMIFS(Candidate_Patterns!$C:$C,Candidate_Patterns!$G:$G,A73)</f>
        <v/>
      </c>
      <c r="E73" s="5" t="n">
        <v>1</v>
      </c>
      <c r="F73" s="5">
        <f>E73-D73</f>
        <v/>
      </c>
      <c r="G73" s="5">
        <f>IF(F73&gt;=0,"OK","VIOLATION")</f>
        <v/>
      </c>
    </row>
    <row r="74" ht="30" customHeight="1" s="46">
      <c r="A74" s="5" t="n">
        <v>73</v>
      </c>
      <c r="B74" s="5" t="inlineStr">
        <is>
          <t>Provinzial Versicherung AG</t>
        </is>
      </c>
      <c r="C74" s="5" t="inlineStr">
        <is>
          <t>profit_anchor</t>
        </is>
      </c>
      <c r="D74" s="5">
        <f>SUMIFS(Candidate_Patterns!$C:$C,Candidate_Patterns!$F:$F,A74)+SUMIFS(Candidate_Patterns!$C:$C,Candidate_Patterns!$G:$G,A74)</f>
        <v/>
      </c>
      <c r="E74" s="5" t="n">
        <v>1</v>
      </c>
      <c r="F74" s="5">
        <f>E74-D74</f>
        <v/>
      </c>
      <c r="G74" s="5">
        <f>IF(F74&gt;=0,"OK","VIOLATION")</f>
        <v/>
      </c>
    </row>
    <row r="75" ht="30" customHeight="1" s="46">
      <c r="A75" s="5" t="n">
        <v>74</v>
      </c>
      <c r="B75" s="5" t="inlineStr">
        <is>
          <t>Rheinland-Pfälzische Technische Universität Kaiserslautern-Landau (RPTU)</t>
        </is>
      </c>
      <c r="C75" s="5" t="inlineStr">
        <is>
          <t>academic_support</t>
        </is>
      </c>
      <c r="D75" s="5">
        <f>SUMIFS(Candidate_Patterns!$C:$C,Candidate_Patterns!$F:$F,A75)+SUMIFS(Candidate_Patterns!$C:$C,Candidate_Patterns!$G:$G,A75)</f>
        <v/>
      </c>
      <c r="E75" s="5" t="n">
        <v>1</v>
      </c>
      <c r="F75" s="5">
        <f>E75-D75</f>
        <v/>
      </c>
      <c r="G75" s="5">
        <f>IF(F75&gt;=0,"OK","VIOLATION")</f>
        <v/>
      </c>
    </row>
    <row r="76" ht="30" customHeight="1" s="46">
      <c r="A76" s="5" t="n">
        <v>75</v>
      </c>
      <c r="B76" s="5" t="inlineStr">
        <is>
          <t>robotspaceship</t>
        </is>
      </c>
      <c r="C76" s="5" t="inlineStr">
        <is>
          <t>context_actor</t>
        </is>
      </c>
      <c r="D76" s="5">
        <f>SUMIFS(Candidate_Patterns!$C:$C,Candidate_Patterns!$F:$F,A76)+SUMIFS(Candidate_Patterns!$C:$C,Candidate_Patterns!$G:$G,A76)</f>
        <v/>
      </c>
      <c r="E76" s="5" t="n">
        <v>1</v>
      </c>
      <c r="F76" s="5">
        <f>E76-D76</f>
        <v/>
      </c>
      <c r="G76" s="5">
        <f>IF(F76&gt;=0,"OK","VIOLATION")</f>
        <v/>
      </c>
    </row>
    <row r="77" ht="30" customHeight="1" s="46">
      <c r="A77" s="5" t="n">
        <v>76</v>
      </c>
      <c r="B77" s="5" t="inlineStr">
        <is>
          <t>RPR1.</t>
        </is>
      </c>
      <c r="C77" s="5" t="inlineStr">
        <is>
          <t>context_actor</t>
        </is>
      </c>
      <c r="D77" s="5">
        <f>SUMIFS(Candidate_Patterns!$C:$C,Candidate_Patterns!$F:$F,A77)+SUMIFS(Candidate_Patterns!$C:$C,Candidate_Patterns!$G:$G,A77)</f>
        <v/>
      </c>
      <c r="E77" s="5" t="n">
        <v>1</v>
      </c>
      <c r="F77" s="5">
        <f>E77-D77</f>
        <v/>
      </c>
      <c r="G77" s="5">
        <f>IF(F77&gt;=0,"OK","VIOLATION")</f>
        <v/>
      </c>
    </row>
    <row r="78" ht="30" customHeight="1" s="46">
      <c r="A78" s="5" t="n">
        <v>77</v>
      </c>
      <c r="B78" s="5" t="inlineStr">
        <is>
          <t>Schoenergie GmbH</t>
        </is>
      </c>
      <c r="C78" s="5" t="inlineStr">
        <is>
          <t>profit_anchor</t>
        </is>
      </c>
      <c r="D78" s="5">
        <f>SUMIFS(Candidate_Patterns!$C:$C,Candidate_Patterns!$F:$F,A78)+SUMIFS(Candidate_Patterns!$C:$C,Candidate_Patterns!$G:$G,A78)</f>
        <v/>
      </c>
      <c r="E78" s="5" t="n">
        <v>1</v>
      </c>
      <c r="F78" s="5">
        <f>E78-D78</f>
        <v/>
      </c>
      <c r="G78" s="5">
        <f>IF(F78&gt;=0,"OK","VIOLATION")</f>
        <v/>
      </c>
    </row>
    <row r="79" ht="30" customHeight="1" s="46">
      <c r="A79" s="5" t="n">
        <v>78</v>
      </c>
      <c r="B79" s="5" t="inlineStr">
        <is>
          <t>SCHOTT AG</t>
        </is>
      </c>
      <c r="C79" s="5" t="inlineStr">
        <is>
          <t>profit_anchor</t>
        </is>
      </c>
      <c r="D79" s="5">
        <f>SUMIFS(Candidate_Patterns!$C:$C,Candidate_Patterns!$F:$F,A79)+SUMIFS(Candidate_Patterns!$C:$C,Candidate_Patterns!$G:$G,A79)</f>
        <v/>
      </c>
      <c r="E79" s="5" t="n">
        <v>1</v>
      </c>
      <c r="F79" s="5">
        <f>E79-D79</f>
        <v/>
      </c>
      <c r="G79" s="5">
        <f>IF(F79&gt;=0,"OK","VIOLATION")</f>
        <v/>
      </c>
    </row>
    <row r="80" ht="30" customHeight="1" s="46">
      <c r="A80" s="5" t="n">
        <v>79</v>
      </c>
      <c r="B80" s="5" t="inlineStr">
        <is>
          <t>Schuler Service GmbH &amp; Co. KG</t>
        </is>
      </c>
      <c r="C80" s="5" t="inlineStr">
        <is>
          <t>profit_anchor</t>
        </is>
      </c>
      <c r="D80" s="5">
        <f>SUMIFS(Candidate_Patterns!$C:$C,Candidate_Patterns!$F:$F,A80)+SUMIFS(Candidate_Patterns!$C:$C,Candidate_Patterns!$G:$G,A80)</f>
        <v/>
      </c>
      <c r="E80" s="5" t="n">
        <v>1</v>
      </c>
      <c r="F80" s="5">
        <f>E80-D80</f>
        <v/>
      </c>
      <c r="G80" s="5">
        <f>IF(F80&gt;=0,"OK","VIOLATION")</f>
        <v/>
      </c>
    </row>
    <row r="81" ht="30" customHeight="1" s="46">
      <c r="A81" s="5" t="n">
        <v>80</v>
      </c>
      <c r="B81" s="5" t="inlineStr">
        <is>
          <t>SIMONA AG</t>
        </is>
      </c>
      <c r="C81" s="5" t="inlineStr">
        <is>
          <t>profit_anchor</t>
        </is>
      </c>
      <c r="D81" s="5">
        <f>SUMIFS(Candidate_Patterns!$C:$C,Candidate_Patterns!$F:$F,A81)+SUMIFS(Candidate_Patterns!$C:$C,Candidate_Patterns!$G:$G,A81)</f>
        <v/>
      </c>
      <c r="E81" s="5" t="n">
        <v>1</v>
      </c>
      <c r="F81" s="5">
        <f>E81-D81</f>
        <v/>
      </c>
      <c r="G81" s="5">
        <f>IF(F81&gt;=0,"OK","VIOLATION")</f>
        <v/>
      </c>
    </row>
    <row r="82" ht="30" customHeight="1" s="46">
      <c r="A82" s="5" t="n">
        <v>81</v>
      </c>
      <c r="B82" s="5" t="inlineStr">
        <is>
          <t>SmartFactory KL e.V.</t>
        </is>
      </c>
      <c r="C82" s="5" t="inlineStr">
        <is>
          <t>context_actor</t>
        </is>
      </c>
      <c r="D82" s="5">
        <f>SUMIFS(Candidate_Patterns!$C:$C,Candidate_Patterns!$F:$F,A82)+SUMIFS(Candidate_Patterns!$C:$C,Candidate_Patterns!$G:$G,A82)</f>
        <v/>
      </c>
      <c r="E82" s="5" t="n">
        <v>1</v>
      </c>
      <c r="F82" s="5">
        <f>E82-D82</f>
        <v/>
      </c>
      <c r="G82" s="5">
        <f>IF(F82&gt;=0,"OK","VIOLATION")</f>
        <v/>
      </c>
    </row>
    <row r="83" ht="30" customHeight="1" s="46">
      <c r="A83" s="5" t="n">
        <v>82</v>
      </c>
      <c r="B83" s="5" t="inlineStr">
        <is>
          <t>Sparkassenverband Rheinland-Pfalz</t>
        </is>
      </c>
      <c r="C83" s="5" t="inlineStr">
        <is>
          <t>profit_anchor</t>
        </is>
      </c>
      <c r="D83" s="5">
        <f>SUMIFS(Candidate_Patterns!$C:$C,Candidate_Patterns!$F:$F,A83)+SUMIFS(Candidate_Patterns!$C:$C,Candidate_Patterns!$G:$G,A83)</f>
        <v/>
      </c>
      <c r="E83" s="5" t="n">
        <v>1</v>
      </c>
      <c r="F83" s="5">
        <f>E83-D83</f>
        <v/>
      </c>
      <c r="G83" s="5">
        <f>IF(F83&gt;=0,"OK","VIOLATION")</f>
        <v/>
      </c>
    </row>
    <row r="84" ht="30" customHeight="1" s="46">
      <c r="A84" s="5" t="n">
        <v>83</v>
      </c>
      <c r="B84" s="5" t="inlineStr">
        <is>
          <t>Staatskanzlei des Landes Rheinland-Pfalz</t>
        </is>
      </c>
      <c r="C84" s="5" t="inlineStr">
        <is>
          <t>context_actor</t>
        </is>
      </c>
      <c r="D84" s="5">
        <f>SUMIFS(Candidate_Patterns!$C:$C,Candidate_Patterns!$F:$F,A84)+SUMIFS(Candidate_Patterns!$C:$C,Candidate_Patterns!$G:$G,A84)</f>
        <v/>
      </c>
      <c r="E84" s="5" t="n">
        <v>1</v>
      </c>
      <c r="F84" s="5">
        <f>E84-D84</f>
        <v/>
      </c>
      <c r="G84" s="5">
        <f>IF(F84&gt;=0,"OK","VIOLATION")</f>
        <v/>
      </c>
    </row>
    <row r="85" ht="30" customHeight="1" s="46">
      <c r="A85" s="5" t="n">
        <v>84</v>
      </c>
      <c r="B85" s="5" t="inlineStr">
        <is>
          <t>Steuerberaterkammer Rheinland-Pfalz</t>
        </is>
      </c>
      <c r="C85" s="5" t="inlineStr">
        <is>
          <t>implementation_anchor</t>
        </is>
      </c>
      <c r="D85" s="5">
        <f>SUMIFS(Candidate_Patterns!$C:$C,Candidate_Patterns!$F:$F,A85)+SUMIFS(Candidate_Patterns!$C:$C,Candidate_Patterns!$G:$G,A85)</f>
        <v/>
      </c>
      <c r="E85" s="5" t="n">
        <v>1</v>
      </c>
      <c r="F85" s="5">
        <f>E85-D85</f>
        <v/>
      </c>
      <c r="G85" s="5">
        <f>IF(F85&gt;=0,"OK","VIOLATION")</f>
        <v/>
      </c>
    </row>
    <row r="86" ht="30" customHeight="1" s="46">
      <c r="A86" s="5" t="n">
        <v>85</v>
      </c>
      <c r="B86" s="5" t="inlineStr">
        <is>
          <t>Städtetag Rheinland-Pfalz</t>
        </is>
      </c>
      <c r="C86" s="5" t="inlineStr">
        <is>
          <t>context_actor</t>
        </is>
      </c>
      <c r="D86" s="5">
        <f>SUMIFS(Candidate_Patterns!$C:$C,Candidate_Patterns!$F:$F,A86)+SUMIFS(Candidate_Patterns!$C:$C,Candidate_Patterns!$G:$G,A86)</f>
        <v/>
      </c>
      <c r="E86" s="5" t="n">
        <v>1</v>
      </c>
      <c r="F86" s="5">
        <f>E86-D86</f>
        <v/>
      </c>
      <c r="G86" s="5">
        <f>IF(F86&gt;=0,"OK","VIOLATION")</f>
        <v/>
      </c>
    </row>
    <row r="87" ht="30" customHeight="1" s="46">
      <c r="A87" s="5" t="n">
        <v>86</v>
      </c>
      <c r="B87" s="5" t="inlineStr">
        <is>
          <t>SWR – Südwestrundfunk</t>
        </is>
      </c>
      <c r="C87" s="5" t="inlineStr">
        <is>
          <t>context_actor</t>
        </is>
      </c>
      <c r="D87" s="5">
        <f>SUMIFS(Candidate_Patterns!$C:$C,Candidate_Patterns!$F:$F,A87)+SUMIFS(Candidate_Patterns!$C:$C,Candidate_Patterns!$G:$G,A87)</f>
        <v/>
      </c>
      <c r="E87" s="5" t="n">
        <v>1</v>
      </c>
      <c r="F87" s="5">
        <f>E87-D87</f>
        <v/>
      </c>
      <c r="G87" s="5">
        <f>IF(F87&gt;=0,"OK","VIOLATION")</f>
        <v/>
      </c>
    </row>
    <row r="88" ht="30" customHeight="1" s="46">
      <c r="A88" s="5" t="n">
        <v>87</v>
      </c>
      <c r="B88" s="5" t="inlineStr">
        <is>
          <t>Techniker Krankenkasse</t>
        </is>
      </c>
      <c r="C88" s="5" t="inlineStr">
        <is>
          <t>context_actor</t>
        </is>
      </c>
      <c r="D88" s="5">
        <f>SUMIFS(Candidate_Patterns!$C:$C,Candidate_Patterns!$F:$F,A88)+SUMIFS(Candidate_Patterns!$C:$C,Candidate_Patterns!$G:$G,A88)</f>
        <v/>
      </c>
      <c r="E88" s="5" t="n">
        <v>1</v>
      </c>
      <c r="F88" s="5">
        <f>E88-D88</f>
        <v/>
      </c>
      <c r="G88" s="5">
        <f>IF(F88&gt;=0,"OK","VIOLATION")</f>
        <v/>
      </c>
    </row>
    <row r="89" ht="30" customHeight="1" s="46">
      <c r="A89" s="5" t="n">
        <v>88</v>
      </c>
      <c r="B89" s="5" t="inlineStr">
        <is>
          <t>Technische Hochschule Bingen</t>
        </is>
      </c>
      <c r="C89" s="5" t="inlineStr">
        <is>
          <t>academic_support</t>
        </is>
      </c>
      <c r="D89" s="5">
        <f>SUMIFS(Candidate_Patterns!$C:$C,Candidate_Patterns!$F:$F,A89)+SUMIFS(Candidate_Patterns!$C:$C,Candidate_Patterns!$G:$G,A89)</f>
        <v/>
      </c>
      <c r="E89" s="5" t="n">
        <v>1</v>
      </c>
      <c r="F89" s="5">
        <f>E89-D89</f>
        <v/>
      </c>
      <c r="G89" s="5">
        <f>IF(F89&gt;=0,"OK","VIOLATION")</f>
        <v/>
      </c>
    </row>
    <row r="90" ht="30" customHeight="1" s="46">
      <c r="A90" s="5" t="n">
        <v>89</v>
      </c>
      <c r="B90" s="5" t="inlineStr">
        <is>
          <t>thyssenkrupp Rasselstein GmbH</t>
        </is>
      </c>
      <c r="C90" s="5" t="inlineStr">
        <is>
          <t>profit_anchor</t>
        </is>
      </c>
      <c r="D90" s="5">
        <f>SUMIFS(Candidate_Patterns!$C:$C,Candidate_Patterns!$F:$F,A90)+SUMIFS(Candidate_Patterns!$C:$C,Candidate_Patterns!$G:$G,A90)</f>
        <v/>
      </c>
      <c r="E90" s="5" t="n">
        <v>1</v>
      </c>
      <c r="F90" s="5">
        <f>E90-D90</f>
        <v/>
      </c>
      <c r="G90" s="5">
        <f>IF(F90&gt;=0,"OK","VIOLATION")</f>
        <v/>
      </c>
    </row>
    <row r="91" ht="30" customHeight="1" s="46">
      <c r="A91" s="5" t="n">
        <v>90</v>
      </c>
      <c r="B91" s="5" t="inlineStr">
        <is>
          <t>Transdev GmbH</t>
        </is>
      </c>
      <c r="C91" s="5" t="inlineStr">
        <is>
          <t>profit_anchor</t>
        </is>
      </c>
      <c r="D91" s="5">
        <f>SUMIFS(Candidate_Patterns!$C:$C,Candidate_Patterns!$F:$F,A91)+SUMIFS(Candidate_Patterns!$C:$C,Candidate_Patterns!$G:$G,A91)</f>
        <v/>
      </c>
      <c r="E91" s="5" t="n">
        <v>1</v>
      </c>
      <c r="F91" s="5">
        <f>E91-D91</f>
        <v/>
      </c>
      <c r="G91" s="5">
        <f>IF(F91&gt;=0,"OK","VIOLATION")</f>
        <v/>
      </c>
    </row>
    <row r="92" ht="30" customHeight="1" s="46">
      <c r="A92" s="5" t="n">
        <v>91</v>
      </c>
      <c r="B92" s="5" t="inlineStr">
        <is>
          <t>TÜV Rheinland Berlin Brandenburg Pfalz e.V.</t>
        </is>
      </c>
      <c r="C92" s="5" t="inlineStr">
        <is>
          <t>context_actor</t>
        </is>
      </c>
      <c r="D92" s="5">
        <f>SUMIFS(Candidate_Patterns!$C:$C,Candidate_Patterns!$F:$F,A92)+SUMIFS(Candidate_Patterns!$C:$C,Candidate_Patterns!$G:$G,A92)</f>
        <v/>
      </c>
      <c r="E92" s="5" t="n">
        <v>1</v>
      </c>
      <c r="F92" s="5">
        <f>E92-D92</f>
        <v/>
      </c>
      <c r="G92" s="5">
        <f>IF(F92&gt;=0,"OK","VIOLATION")</f>
        <v/>
      </c>
    </row>
    <row r="93" ht="30" customHeight="1" s="46">
      <c r="A93" s="5" t="n">
        <v>92</v>
      </c>
      <c r="B93" s="5" t="inlineStr">
        <is>
          <t>Universität Koblenz</t>
        </is>
      </c>
      <c r="C93" s="5" t="inlineStr">
        <is>
          <t>academic_support</t>
        </is>
      </c>
      <c r="D93" s="5">
        <f>SUMIFS(Candidate_Patterns!$C:$C,Candidate_Patterns!$F:$F,A93)+SUMIFS(Candidate_Patterns!$C:$C,Candidate_Patterns!$G:$G,A93)</f>
        <v/>
      </c>
      <c r="E93" s="5" t="n">
        <v>1</v>
      </c>
      <c r="F93" s="5">
        <f>E93-D93</f>
        <v/>
      </c>
      <c r="G93" s="5">
        <f>IF(F93&gt;=0,"OK","VIOLATION")</f>
        <v/>
      </c>
    </row>
    <row r="94" ht="30" customHeight="1" s="46">
      <c r="A94" s="5" t="n">
        <v>93</v>
      </c>
      <c r="B94" s="5" t="inlineStr">
        <is>
          <t>Universität Trier</t>
        </is>
      </c>
      <c r="C94" s="5" t="inlineStr">
        <is>
          <t>academic_support</t>
        </is>
      </c>
      <c r="D94" s="5">
        <f>SUMIFS(Candidate_Patterns!$C:$C,Candidate_Patterns!$F:$F,A94)+SUMIFS(Candidate_Patterns!$C:$C,Candidate_Patterns!$G:$G,A94)</f>
        <v/>
      </c>
      <c r="E94" s="5" t="n">
        <v>1</v>
      </c>
      <c r="F94" s="5">
        <f>E94-D94</f>
        <v/>
      </c>
      <c r="G94" s="5">
        <f>IF(F94&gt;=0,"OK","VIOLATION")</f>
        <v/>
      </c>
    </row>
    <row r="95" ht="30" customHeight="1" s="46">
      <c r="A95" s="5" t="n">
        <v>94</v>
      </c>
      <c r="B95" s="5" t="inlineStr">
        <is>
          <t>Vereinigte VR Bank Kur- und Rheinpfalz eG</t>
        </is>
      </c>
      <c r="C95" s="5" t="inlineStr">
        <is>
          <t>profit_anchor</t>
        </is>
      </c>
      <c r="D95" s="5">
        <f>SUMIFS(Candidate_Patterns!$C:$C,Candidate_Patterns!$F:$F,A95)+SUMIFS(Candidate_Patterns!$C:$C,Candidate_Patterns!$G:$G,A95)</f>
        <v/>
      </c>
      <c r="E95" s="5" t="n">
        <v>1</v>
      </c>
      <c r="F95" s="5">
        <f>E95-D95</f>
        <v/>
      </c>
      <c r="G95" s="5">
        <f>IF(F95&gt;=0,"OK","VIOLATION")</f>
        <v/>
      </c>
    </row>
    <row r="96" ht="30" customHeight="1" s="46">
      <c r="A96" s="5" t="n">
        <v>95</v>
      </c>
      <c r="B96" s="5" t="inlineStr">
        <is>
          <t>vero – Verband der Bau- und Rohstoffindustrie</t>
        </is>
      </c>
      <c r="C96" s="5" t="inlineStr">
        <is>
          <t>profit_anchor</t>
        </is>
      </c>
      <c r="D96" s="5">
        <f>SUMIFS(Candidate_Patterns!$C:$C,Candidate_Patterns!$F:$F,A96)+SUMIFS(Candidate_Patterns!$C:$C,Candidate_Patterns!$G:$G,A96)</f>
        <v/>
      </c>
      <c r="E96" s="5" t="n">
        <v>1</v>
      </c>
      <c r="F96" s="5">
        <f>E96-D96</f>
        <v/>
      </c>
      <c r="G96" s="5">
        <f>IF(F96&gt;=0,"OK","VIOLATION")</f>
        <v/>
      </c>
    </row>
    <row r="97" ht="30" customHeight="1" s="46">
      <c r="A97" s="5" t="n">
        <v>96</v>
      </c>
      <c r="B97" s="5" t="inlineStr">
        <is>
          <t>Villa Musica Rheinland-Pfalz</t>
        </is>
      </c>
      <c r="C97" s="5" t="inlineStr">
        <is>
          <t>context_actor</t>
        </is>
      </c>
      <c r="D97" s="5">
        <f>SUMIFS(Candidate_Patterns!$C:$C,Candidate_Patterns!$F:$F,A97)+SUMIFS(Candidate_Patterns!$C:$C,Candidate_Patterns!$G:$G,A97)</f>
        <v/>
      </c>
      <c r="E97" s="5" t="n">
        <v>1</v>
      </c>
      <c r="F97" s="5">
        <f>E97-D97</f>
        <v/>
      </c>
      <c r="G97" s="5">
        <f>IF(F97&gt;=0,"OK","VIOLATION")</f>
        <v/>
      </c>
    </row>
    <row r="98" ht="30" customHeight="1" s="46">
      <c r="A98" s="5" t="n">
        <v>97</v>
      </c>
      <c r="B98" s="5" t="inlineStr">
        <is>
          <t>Vinzenz Pallotti University gGmbH</t>
        </is>
      </c>
      <c r="C98" s="5" t="inlineStr">
        <is>
          <t>academic_support</t>
        </is>
      </c>
      <c r="D98" s="5">
        <f>SUMIFS(Candidate_Patterns!$C:$C,Candidate_Patterns!$F:$F,A98)+SUMIFS(Candidate_Patterns!$C:$C,Candidate_Patterns!$G:$G,A98)</f>
        <v/>
      </c>
      <c r="E98" s="5" t="n">
        <v>1</v>
      </c>
      <c r="F98" s="5">
        <f>E98-D98</f>
        <v/>
      </c>
      <c r="G98" s="5">
        <f>IF(F98&gt;=0,"OK","VIOLATION")</f>
        <v/>
      </c>
    </row>
    <row r="99" ht="30" customHeight="1" s="46">
      <c r="A99" s="5" t="n">
        <v>98</v>
      </c>
      <c r="B99" s="5" t="inlineStr">
        <is>
          <t>Westenergie AG</t>
        </is>
      </c>
      <c r="C99" s="5" t="inlineStr">
        <is>
          <t>profit_anchor</t>
        </is>
      </c>
      <c r="D99" s="5">
        <f>SUMIFS(Candidate_Patterns!$C:$C,Candidate_Patterns!$F:$F,A99)+SUMIFS(Candidate_Patterns!$C:$C,Candidate_Patterns!$G:$G,A99)</f>
        <v/>
      </c>
      <c r="E99" s="5" t="n">
        <v>1</v>
      </c>
      <c r="F99" s="5">
        <f>E99-D99</f>
        <v/>
      </c>
      <c r="G99" s="5">
        <f>IF(F99&gt;=0,"OK","VIOLATION")</f>
        <v/>
      </c>
    </row>
    <row r="100" ht="30" customHeight="1" s="46">
      <c r="A100" s="5" t="n">
        <v>99</v>
      </c>
      <c r="B100" s="5" t="inlineStr">
        <is>
          <t>WHU – Otto Beisheim School of Management</t>
        </is>
      </c>
      <c r="C100" s="5" t="inlineStr">
        <is>
          <t>academic_support</t>
        </is>
      </c>
      <c r="D100" s="5">
        <f>SUMIFS(Candidate_Patterns!$C:$C,Candidate_Patterns!$F:$F,A100)+SUMIFS(Candidate_Patterns!$C:$C,Candidate_Patterns!$G:$G,A100)</f>
        <v/>
      </c>
      <c r="E100" s="5" t="n">
        <v>1</v>
      </c>
      <c r="F100" s="5">
        <f>E100-D100</f>
        <v/>
      </c>
      <c r="G100" s="5">
        <f>IF(F100&gt;=0,"OK","VIOLATION")</f>
        <v/>
      </c>
    </row>
    <row r="101" ht="30" customHeight="1" s="46">
      <c r="A101" s="5" t="n">
        <v>100</v>
      </c>
      <c r="B101" s="5" t="inlineStr">
        <is>
          <t>Wilhelm Faber GmbH</t>
        </is>
      </c>
      <c r="C101" s="5" t="inlineStr">
        <is>
          <t>profit_anchor</t>
        </is>
      </c>
      <c r="D101" s="5">
        <f>SUMIFS(Candidate_Patterns!$C:$C,Candidate_Patterns!$F:$F,A101)+SUMIFS(Candidate_Patterns!$C:$C,Candidate_Patterns!$G:$G,A101)</f>
        <v/>
      </c>
      <c r="E101" s="5" t="n">
        <v>1</v>
      </c>
      <c r="F101" s="5">
        <f>E101-D101</f>
        <v/>
      </c>
      <c r="G101" s="5">
        <f>IF(F101&gt;=0,"OK","VIOLATION")</f>
        <v/>
      </c>
    </row>
    <row r="102" ht="30" customHeight="1" s="46">
      <c r="A102" s="5" t="n">
        <v>101</v>
      </c>
      <c r="B102" s="5" t="inlineStr">
        <is>
          <t>Zahnen Technik GmbH</t>
        </is>
      </c>
      <c r="C102" s="5" t="inlineStr">
        <is>
          <t>profit_anchor</t>
        </is>
      </c>
      <c r="D102" s="5">
        <f>SUMIFS(Candidate_Patterns!$C:$C,Candidate_Patterns!$F:$F,A102)+SUMIFS(Candidate_Patterns!$C:$C,Candidate_Patterns!$G:$G,A102)</f>
        <v/>
      </c>
      <c r="E102" s="5" t="n">
        <v>1</v>
      </c>
      <c r="F102" s="5">
        <f>E102-D102</f>
        <v/>
      </c>
      <c r="G102" s="5">
        <f>IF(F102&gt;=0,"OK","VIOLATION")</f>
        <v/>
      </c>
    </row>
    <row r="103" ht="30" customHeight="1" s="46">
      <c r="A103" s="5" t="n">
        <v>102</v>
      </c>
      <c r="B103" s="5" t="inlineStr">
        <is>
          <t>ZDF – Zweites Deutsches Fernsehen</t>
        </is>
      </c>
      <c r="C103" s="5" t="inlineStr">
        <is>
          <t>context_actor</t>
        </is>
      </c>
      <c r="D103" s="5">
        <f>SUMIFS(Candidate_Patterns!$C:$C,Candidate_Patterns!$F:$F,A103)+SUMIFS(Candidate_Patterns!$C:$C,Candidate_Patterns!$G:$G,A103)</f>
        <v/>
      </c>
      <c r="E103" s="5" t="n">
        <v>1</v>
      </c>
      <c r="F103" s="5">
        <f>E103-D103</f>
        <v/>
      </c>
      <c r="G103" s="5">
        <f>IF(F103&gt;=0,"OK","VIOLATION")</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44" customWidth="1" style="46" min="1" max="1"/>
    <col width="16" customWidth="1" style="46" min="2" max="2"/>
    <col width="62" customWidth="1" style="46" min="3" max="3"/>
    <col width="64" customWidth="1" style="46" min="4" max="4"/>
    <col width="12" customWidth="1" style="46" min="5" max="5"/>
    <col width="12" customWidth="1" style="46" min="6" max="6"/>
    <col width="30" customWidth="1" style="46" min="7" max="7"/>
  </cols>
  <sheetData>
    <row r="1" ht="28" customHeight="1" s="46">
      <c r="A1" s="48" t="inlineStr">
        <is>
          <t>concrete_cluster</t>
        </is>
      </c>
      <c r="B1" s="48" t="inlineStr">
        <is>
          <t>themenfeld</t>
        </is>
      </c>
      <c r="C1" s="48" t="inlineStr">
        <is>
          <t>cluster_label</t>
        </is>
      </c>
      <c r="D1" s="48" t="inlineStr">
        <is>
          <t>selected_count</t>
        </is>
      </c>
      <c r="E1" s="48" t="inlineStr">
        <is>
          <t>limit</t>
        </is>
      </c>
      <c r="F1" s="48" t="inlineStr">
        <is>
          <t>slack</t>
        </is>
      </c>
      <c r="G1" s="48" t="inlineStr">
        <is>
          <t>constraint_status</t>
        </is>
      </c>
    </row>
    <row r="2" ht="30" customHeight="1" s="46">
      <c r="A2" s="5" t="inlineStr">
        <is>
          <t>energie_versorgungssicherheit</t>
        </is>
      </c>
      <c r="B2" s="5" t="inlineStr">
        <is>
          <t>nachhaltigkeit</t>
        </is>
      </c>
      <c r="C2" s="5" t="inlineStr">
        <is>
          <t>Energie, Netze und Versorgungssicherheit</t>
        </is>
      </c>
      <c r="D2" s="5">
        <f>SUMIFS(Candidate_Patterns!$C:$C,Candidate_Patterns!$K:$K,A2)</f>
        <v/>
      </c>
      <c r="E2" s="5" t="n">
        <v>2</v>
      </c>
      <c r="F2" s="5">
        <f>E2-D2</f>
        <v/>
      </c>
      <c r="G2" s="5">
        <f>IF(F2&gt;=0,"OK","VIOLATION")</f>
        <v/>
      </c>
    </row>
    <row r="3" ht="30" customHeight="1" s="46">
      <c r="A3" s="5" t="inlineStr">
        <is>
          <t>kreislaufwirtschaft_bau_ebv</t>
        </is>
      </c>
      <c r="B3" s="5" t="inlineStr">
        <is>
          <t>nachhaltigkeit</t>
        </is>
      </c>
      <c r="C3" s="5" t="inlineStr">
        <is>
          <t>Kreislaufwirtschaft, Bau und Ersatzbaustoffverordnung</t>
        </is>
      </c>
      <c r="D3" s="5">
        <f>SUMIFS(Candidate_Patterns!$C:$C,Candidate_Patterns!$K:$K,A3)</f>
        <v/>
      </c>
      <c r="E3" s="5" t="n">
        <v>2</v>
      </c>
      <c r="F3" s="5">
        <f>E3-D3</f>
        <v/>
      </c>
      <c r="G3" s="5">
        <f>IF(F3&gt;=0,"OK","VIOLATION")</f>
        <v/>
      </c>
    </row>
    <row r="4" ht="30" customHeight="1" s="46">
      <c r="A4" s="5" t="inlineStr">
        <is>
          <t>wasser_umwelttechnik_resilienz</t>
        </is>
      </c>
      <c r="B4" s="5" t="inlineStr">
        <is>
          <t>nachhaltigkeit</t>
        </is>
      </c>
      <c r="C4" s="5" t="inlineStr">
        <is>
          <t>Wasser, Umwelttechnik und kommunale Resilienz</t>
        </is>
      </c>
      <c r="D4" s="5">
        <f>SUMIFS(Candidate_Patterns!$C:$C,Candidate_Patterns!$K:$K,A4)</f>
        <v/>
      </c>
      <c r="E4" s="5" t="n">
        <v>2</v>
      </c>
      <c r="F4" s="5">
        <f>E4-D4</f>
        <v/>
      </c>
      <c r="G4" s="5">
        <f>IF(F4&gt;=0,"OK","VIOLATION")</f>
        <v/>
      </c>
    </row>
    <row r="5" ht="30" customHeight="1" s="46">
      <c r="A5" s="5" t="inlineStr">
        <is>
          <t>klima_anpassung_stadt_land</t>
        </is>
      </c>
      <c r="B5" s="5" t="inlineStr">
        <is>
          <t>nachhaltigkeit</t>
        </is>
      </c>
      <c r="C5" s="5" t="inlineStr">
        <is>
          <t>Klimaanpassung in Stadt und Land</t>
        </is>
      </c>
      <c r="D5" s="5">
        <f>SUMIFS(Candidate_Patterns!$C:$C,Candidate_Patterns!$K:$K,A5)</f>
        <v/>
      </c>
      <c r="E5" s="5" t="n">
        <v>2</v>
      </c>
      <c r="F5" s="5">
        <f>E5-D5</f>
        <v/>
      </c>
      <c r="G5" s="5">
        <f>IF(F5&gt;=0,"OK","VIOLATION")</f>
        <v/>
      </c>
    </row>
    <row r="6" ht="30" customHeight="1" s="46">
      <c r="A6" s="5" t="inlineStr">
        <is>
          <t>standort_investition_transformation</t>
        </is>
      </c>
      <c r="B6" s="5" t="inlineStr">
        <is>
          <t>wirtschaft</t>
        </is>
      </c>
      <c r="C6" s="5" t="inlineStr">
        <is>
          <t>Standort, Investition und industrielle Transformation</t>
        </is>
      </c>
      <c r="D6" s="5">
        <f>SUMIFS(Candidate_Patterns!$C:$C,Candidate_Patterns!$K:$K,A6)</f>
        <v/>
      </c>
      <c r="E6" s="5" t="n">
        <v>2</v>
      </c>
      <c r="F6" s="5">
        <f>E6-D6</f>
        <v/>
      </c>
      <c r="G6" s="5">
        <f>IF(F6&gt;=0,"OK","VIOLATION")</f>
        <v/>
      </c>
    </row>
    <row r="7" ht="30" customHeight="1" s="46">
      <c r="A7" s="5" t="inlineStr">
        <is>
          <t>mittelstand_digitalisierung_produktivitaet</t>
        </is>
      </c>
      <c r="B7" s="5" t="inlineStr">
        <is>
          <t>wirtschaft</t>
        </is>
      </c>
      <c r="C7" s="5" t="inlineStr">
        <is>
          <t>Mittelstand, Digitalisierung und Produktivität</t>
        </is>
      </c>
      <c r="D7" s="5">
        <f>SUMIFS(Candidate_Patterns!$C:$C,Candidate_Patterns!$K:$K,A7)</f>
        <v/>
      </c>
      <c r="E7" s="5" t="n">
        <v>2</v>
      </c>
      <c r="F7" s="5">
        <f>E7-D7</f>
        <v/>
      </c>
      <c r="G7" s="5">
        <f>IF(F7&gt;=0,"OK","VIOLATION")</f>
        <v/>
      </c>
    </row>
    <row r="8" ht="30" customHeight="1" s="46">
      <c r="A8" s="5" t="inlineStr">
        <is>
          <t>arbeitsmarkt_fachkraefte</t>
        </is>
      </c>
      <c r="B8" s="5" t="inlineStr">
        <is>
          <t>wirtschaft</t>
        </is>
      </c>
      <c r="C8" s="5" t="inlineStr">
        <is>
          <t>Arbeitsmarkt, Fachkräfte und Qualifizierung</t>
        </is>
      </c>
      <c r="D8" s="5">
        <f>SUMIFS(Candidate_Patterns!$C:$C,Candidate_Patterns!$K:$K,A8)</f>
        <v/>
      </c>
      <c r="E8" s="5" t="n">
        <v>2</v>
      </c>
      <c r="F8" s="5">
        <f>E8-D8</f>
        <v/>
      </c>
      <c r="G8" s="5">
        <f>IF(F8&gt;=0,"OK","VIOLATION")</f>
        <v/>
      </c>
    </row>
    <row r="9" ht="30" customHeight="1" s="46">
      <c r="A9" s="5" t="inlineStr">
        <is>
          <t>finanzierung_foerderung_transformation</t>
        </is>
      </c>
      <c r="B9" s="5" t="inlineStr">
        <is>
          <t>wirtschaft</t>
        </is>
      </c>
      <c r="C9" s="5" t="inlineStr">
        <is>
          <t>Finanzierung und Förderung von Transformation</t>
        </is>
      </c>
      <c r="D9" s="5">
        <f>SUMIFS(Candidate_Patterns!$C:$C,Candidate_Patterns!$K:$K,A9)</f>
        <v/>
      </c>
      <c r="E9" s="5" t="n">
        <v>2</v>
      </c>
      <c r="F9" s="5">
        <f>E9-D9</f>
        <v/>
      </c>
      <c r="G9" s="5">
        <f>IF(F9&gt;=0,"OK","VIOLATION")</f>
        <v/>
      </c>
    </row>
    <row r="10" ht="30" customHeight="1" s="46">
      <c r="A10" s="5" t="inlineStr">
        <is>
          <t>ki_daten_verwaltung_wirtschaft</t>
        </is>
      </c>
      <c r="B10" s="5" t="inlineStr">
        <is>
          <t>technologie</t>
        </is>
      </c>
      <c r="C10" s="5" t="inlineStr">
        <is>
          <t>KI, Daten und Verwaltungs-/Wirtschaftsanwendungen</t>
        </is>
      </c>
      <c r="D10" s="5">
        <f>SUMIFS(Candidate_Patterns!$C:$C,Candidate_Patterns!$K:$K,A10)</f>
        <v/>
      </c>
      <c r="E10" s="5" t="n">
        <v>2</v>
      </c>
      <c r="F10" s="5">
        <f>E10-D10</f>
        <v/>
      </c>
      <c r="G10" s="5">
        <f>IF(F10&gt;=0,"OK","VIOLATION")</f>
        <v/>
      </c>
    </row>
    <row r="11" ht="30" customHeight="1" s="46">
      <c r="A11" s="5" t="inlineStr">
        <is>
          <t>industrie_40_automation</t>
        </is>
      </c>
      <c r="B11" s="5" t="inlineStr">
        <is>
          <t>technologie</t>
        </is>
      </c>
      <c r="C11" s="5" t="inlineStr">
        <is>
          <t>Industrie 4.0, Automatisierung und Produktion</t>
        </is>
      </c>
      <c r="D11" s="5">
        <f>SUMIFS(Candidate_Patterns!$C:$C,Candidate_Patterns!$K:$K,A11)</f>
        <v/>
      </c>
      <c r="E11" s="5" t="n">
        <v>2</v>
      </c>
      <c r="F11" s="5">
        <f>E11-D11</f>
        <v/>
      </c>
      <c r="G11" s="5">
        <f>IF(F11&gt;=0,"OK","VIOLATION")</f>
        <v/>
      </c>
    </row>
    <row r="12" ht="30" customHeight="1" s="46">
      <c r="A12" s="5" t="inlineStr">
        <is>
          <t>cyber_resilienz_kritische_infrastruktur</t>
        </is>
      </c>
      <c r="B12" s="5" t="inlineStr">
        <is>
          <t>technologie</t>
        </is>
      </c>
      <c r="C12" s="5" t="inlineStr">
        <is>
          <t>Cyberresilienz und kritische Infrastruktur</t>
        </is>
      </c>
      <c r="D12" s="5">
        <f>SUMIFS(Candidate_Patterns!$C:$C,Candidate_Patterns!$K:$K,A12)</f>
        <v/>
      </c>
      <c r="E12" s="5" t="n">
        <v>2</v>
      </c>
      <c r="F12" s="5">
        <f>E12-D12</f>
        <v/>
      </c>
      <c r="G12" s="5">
        <f>IF(F12&gt;=0,"OK","VIOLATION")</f>
        <v/>
      </c>
    </row>
    <row r="13" ht="30" customHeight="1" s="46">
      <c r="A13" s="5" t="inlineStr">
        <is>
          <t>digitale_bau_verwaltung_planung</t>
        </is>
      </c>
      <c r="B13" s="5" t="inlineStr">
        <is>
          <t>technologie</t>
        </is>
      </c>
      <c r="C13" s="5" t="inlineStr">
        <is>
          <t>Digitale Bau-, Planungs- und Genehmigungsprozesse</t>
        </is>
      </c>
      <c r="D13" s="5">
        <f>SUMIFS(Candidate_Patterns!$C:$C,Candidate_Patterns!$K:$K,A13)</f>
        <v/>
      </c>
      <c r="E13" s="5" t="n">
        <v>2</v>
      </c>
      <c r="F13" s="5">
        <f>E13-D13</f>
        <v/>
      </c>
      <c r="G13" s="5">
        <f>IF(F13&gt;=0,"OK","VIOLATION")</f>
        <v/>
      </c>
    </row>
    <row r="14" ht="30" customHeight="1" s="46">
      <c r="A14" s="5" t="inlineStr">
        <is>
          <t>kultur_standort_identitaet</t>
        </is>
      </c>
      <c r="B14" s="5" t="inlineStr">
        <is>
          <t>kultur</t>
        </is>
      </c>
      <c r="C14" s="5" t="inlineStr">
        <is>
          <t>Kultur, Standortidentität und regionale Attraktivität</t>
        </is>
      </c>
      <c r="D14" s="5">
        <f>SUMIFS(Candidate_Patterns!$C:$C,Candidate_Patterns!$K:$K,A14)</f>
        <v/>
      </c>
      <c r="E14" s="5" t="n">
        <v>2</v>
      </c>
      <c r="F14" s="5">
        <f>E14-D14</f>
        <v/>
      </c>
      <c r="G14" s="5">
        <f>IF(F14&gt;=0,"OK","VIOLATION")</f>
        <v/>
      </c>
    </row>
    <row r="15" ht="30" customHeight="1" s="46">
      <c r="A15" s="5" t="inlineStr">
        <is>
          <t>kreativwirtschaft_digitale_medien</t>
        </is>
      </c>
      <c r="B15" s="5" t="inlineStr">
        <is>
          <t>kultur</t>
        </is>
      </c>
      <c r="C15" s="5" t="inlineStr">
        <is>
          <t>Kreativwirtschaft, Medien und digitale Öffentlichkeit</t>
        </is>
      </c>
      <c r="D15" s="5">
        <f>SUMIFS(Candidate_Patterns!$C:$C,Candidate_Patterns!$K:$K,A15)</f>
        <v/>
      </c>
      <c r="E15" s="5" t="n">
        <v>2</v>
      </c>
      <c r="F15" s="5">
        <f>E15-D15</f>
        <v/>
      </c>
      <c r="G15" s="5">
        <f>IF(F15&gt;=0,"OK","VIOLATION")</f>
        <v/>
      </c>
    </row>
    <row r="16" ht="30" customHeight="1" s="46">
      <c r="A16" s="5" t="inlineStr">
        <is>
          <t>musikstipendium_talentfoerderung</t>
        </is>
      </c>
      <c r="B16" s="5" t="inlineStr">
        <is>
          <t>kultur</t>
        </is>
      </c>
      <c r="C16" s="5" t="inlineStr">
        <is>
          <t>Talentförderung, Musik und Nachwuchs</t>
        </is>
      </c>
      <c r="D16" s="5">
        <f>SUMIFS(Candidate_Patterns!$C:$C,Candidate_Patterns!$K:$K,A16)</f>
        <v/>
      </c>
      <c r="E16" s="5" t="n">
        <v>2</v>
      </c>
      <c r="F16" s="5">
        <f>E16-D16</f>
        <v/>
      </c>
      <c r="G16" s="5">
        <f>IF(F16&gt;=0,"OK","VIOLATION")</f>
        <v/>
      </c>
    </row>
    <row r="17" ht="30" customHeight="1" s="46">
      <c r="A17" s="5" t="inlineStr">
        <is>
          <t>hochschule_wirtschaft_transfer</t>
        </is>
      </c>
      <c r="B17" s="5" t="inlineStr">
        <is>
          <t>wissen</t>
        </is>
      </c>
      <c r="C17" s="5" t="inlineStr">
        <is>
          <t>Hochschule-Wirtschaft-Transfer</t>
        </is>
      </c>
      <c r="D17" s="5">
        <f>SUMIFS(Candidate_Patterns!$C:$C,Candidate_Patterns!$K:$K,A17)</f>
        <v/>
      </c>
      <c r="E17" s="5" t="n">
        <v>2</v>
      </c>
      <c r="F17" s="5">
        <f>E17-D17</f>
        <v/>
      </c>
      <c r="G17" s="5">
        <f>IF(F17&gt;=0,"OK","VIOLATION")</f>
        <v/>
      </c>
    </row>
    <row r="18" ht="30" customHeight="1" s="46">
      <c r="A18" s="5" t="inlineStr">
        <is>
          <t>weiterbildung_lebenslanges_lernen</t>
        </is>
      </c>
      <c r="B18" s="5" t="inlineStr">
        <is>
          <t>wissen</t>
        </is>
      </c>
      <c r="C18" s="5" t="inlineStr">
        <is>
          <t>Weiterbildung und lebenslanges Lernen</t>
        </is>
      </c>
      <c r="D18" s="5">
        <f>SUMIFS(Candidate_Patterns!$C:$C,Candidate_Patterns!$K:$K,A18)</f>
        <v/>
      </c>
      <c r="E18" s="5" t="n">
        <v>2</v>
      </c>
      <c r="F18" s="5">
        <f>E18-D18</f>
        <v/>
      </c>
      <c r="G18" s="5">
        <f>IF(F18&gt;=0,"OK","VIOLATION")</f>
        <v/>
      </c>
    </row>
    <row r="19" ht="30" customHeight="1" s="46">
      <c r="A19" s="5" t="inlineStr">
        <is>
          <t>wissenschaft_demokratie_gesellschaft</t>
        </is>
      </c>
      <c r="B19" s="5" t="inlineStr">
        <is>
          <t>wissen</t>
        </is>
      </c>
      <c r="C19" s="5" t="inlineStr">
        <is>
          <t>Wissenschaft, Demokratie und gesellschaftlicher Zusammenhalt</t>
        </is>
      </c>
      <c r="D19" s="5">
        <f>SUMIFS(Candidate_Patterns!$C:$C,Candidate_Patterns!$K:$K,A19)</f>
        <v/>
      </c>
      <c r="E19" s="5" t="n">
        <v>2</v>
      </c>
      <c r="F19" s="5">
        <f>E19-D19</f>
        <v/>
      </c>
      <c r="G19" s="5">
        <f>IF(F19&gt;=0,"OK","VIOLATION")</f>
        <v/>
      </c>
    </row>
    <row r="20" ht="30" customHeight="1" s="46">
      <c r="A20" s="5" t="inlineStr">
        <is>
          <t>verwaltungswissen_digitalisierung</t>
        </is>
      </c>
      <c r="B20" s="5" t="inlineStr">
        <is>
          <t>wissen</t>
        </is>
      </c>
      <c r="C20" s="5" t="inlineStr">
        <is>
          <t>Verwaltungswissen und digitale Umsetzung</t>
        </is>
      </c>
      <c r="D20" s="5">
        <f>SUMIFS(Candidate_Patterns!$C:$C,Candidate_Patterns!$K:$K,A20)</f>
        <v/>
      </c>
      <c r="E20" s="5" t="n">
        <v>2</v>
      </c>
      <c r="F20" s="5">
        <f>E20-D20</f>
        <v/>
      </c>
      <c r="G20" s="5">
        <f>IF(F20&gt;=0,"OK","VIOLATION")</f>
        <v/>
      </c>
    </row>
    <row r="21" ht="30" customHeight="1" s="46">
      <c r="A21" s="5" t="inlineStr">
        <is>
          <t>gesundheit_versorgung_praevention</t>
        </is>
      </c>
      <c r="B21" s="5" t="inlineStr">
        <is>
          <t>gesellschaft</t>
        </is>
      </c>
      <c r="C21" s="5" t="inlineStr">
        <is>
          <t>Gesundheitsversorgung und Prävention</t>
        </is>
      </c>
      <c r="D21" s="5">
        <f>SUMIFS(Candidate_Patterns!$C:$C,Candidate_Patterns!$K:$K,A21)</f>
        <v/>
      </c>
      <c r="E21" s="5" t="n">
        <v>2</v>
      </c>
      <c r="F21" s="5">
        <f>E21-D21</f>
        <v/>
      </c>
      <c r="G21" s="5">
        <f>IF(F21&gt;=0,"OK","VIOLATION")</f>
        <v/>
      </c>
    </row>
    <row r="22" ht="30" customHeight="1" s="46">
      <c r="A22" s="5" t="inlineStr">
        <is>
          <t>pflege_fachkraefte_sozialwirtschaft</t>
        </is>
      </c>
      <c r="B22" s="5" t="inlineStr">
        <is>
          <t>gesellschaft</t>
        </is>
      </c>
      <c r="C22" s="5" t="inlineStr">
        <is>
          <t>Pflege, Fachkräfte und Sozialwirtschaft</t>
        </is>
      </c>
      <c r="D22" s="5">
        <f>SUMIFS(Candidate_Patterns!$C:$C,Candidate_Patterns!$K:$K,A22)</f>
        <v/>
      </c>
      <c r="E22" s="5" t="n">
        <v>2</v>
      </c>
      <c r="F22" s="5">
        <f>E22-D22</f>
        <v/>
      </c>
      <c r="G22" s="5">
        <f>IF(F22&gt;=0,"OK","VIOLATION")</f>
        <v/>
      </c>
    </row>
    <row r="23" ht="30" customHeight="1" s="46">
      <c r="A23" s="5" t="inlineStr">
        <is>
          <t>teilhabe_inklusion_arbeitsmarkt</t>
        </is>
      </c>
      <c r="B23" s="5" t="inlineStr">
        <is>
          <t>gesellschaft</t>
        </is>
      </c>
      <c r="C23" s="5" t="inlineStr">
        <is>
          <t>Teilhabe, Inklusion und Arbeitsmarkt</t>
        </is>
      </c>
      <c r="D23" s="5">
        <f>SUMIFS(Candidate_Patterns!$C:$C,Candidate_Patterns!$K:$K,A23)</f>
        <v/>
      </c>
      <c r="E23" s="5" t="n">
        <v>2</v>
      </c>
      <c r="F23" s="5">
        <f>E23-D23</f>
        <v/>
      </c>
      <c r="G23" s="5">
        <f>IF(F23&gt;=0,"OK","VIOLATION")</f>
        <v/>
      </c>
    </row>
    <row r="24" ht="30" customHeight="1" s="46">
      <c r="A24" s="5" t="inlineStr">
        <is>
          <t>demokratie_medien_zusammenhalt</t>
        </is>
      </c>
      <c r="B24" s="5" t="inlineStr">
        <is>
          <t>gesellschaft</t>
        </is>
      </c>
      <c r="C24" s="5" t="inlineStr">
        <is>
          <t>Demokratie, Medien und gesellschaftlicher Zusammenhalt</t>
        </is>
      </c>
      <c r="D24" s="5">
        <f>SUMIFS(Candidate_Patterns!$C:$C,Candidate_Patterns!$K:$K,A24)</f>
        <v/>
      </c>
      <c r="E24" s="5" t="n">
        <v>2</v>
      </c>
      <c r="F24" s="5">
        <f>E24-D24</f>
        <v/>
      </c>
      <c r="G24" s="5">
        <f>IF(F24&gt;=0,"OK","VIOLATION")</f>
        <v/>
      </c>
    </row>
    <row r="25" ht="30" customHeight="1" s="46">
      <c r="A25" s="5" t="inlineStr">
        <is>
          <t>sport_region_identifikation</t>
        </is>
      </c>
      <c r="B25" s="5" t="inlineStr">
        <is>
          <t>gesellschaft</t>
        </is>
      </c>
      <c r="C25" s="5" t="inlineStr">
        <is>
          <t>Sport, Region und gesellschaftliche Identifikation</t>
        </is>
      </c>
      <c r="D25" s="5">
        <f>SUMIFS(Candidate_Patterns!$C:$C,Candidate_Patterns!$K:$K,A25)</f>
        <v/>
      </c>
      <c r="E25" s="5" t="n">
        <v>2</v>
      </c>
      <c r="F25" s="5">
        <f>E25-D25</f>
        <v/>
      </c>
      <c r="G25" s="5">
        <f>IF(F25&gt;=0,"OK","VIOLATION")</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D25"/>
  <sheetViews>
    <sheetView showGridLines="1" workbookViewId="0">
      <selection activeCell="A1" sqref="A1"/>
    </sheetView>
  </sheetViews>
  <sheetFormatPr baseColWidth="8" defaultRowHeight="15"/>
  <cols>
    <col width="44" customWidth="1" style="46" min="1" max="1"/>
    <col width="16" customWidth="1" style="46" min="2" max="2"/>
    <col width="62" customWidth="1" style="46" min="3" max="3"/>
    <col width="80" customWidth="1" style="46" min="4" max="4"/>
    <col width="80" customWidth="1" style="46" min="5" max="5"/>
    <col width="17" customWidth="1" style="46" min="6" max="6"/>
    <col width="12" customWidth="1" style="46" min="7" max="7"/>
    <col width="12" customWidth="1" style="46" min="8" max="8"/>
    <col width="12" customWidth="1" style="46" min="9" max="9"/>
    <col width="12" customWidth="1" style="46" min="10" max="10"/>
    <col width="12" customWidth="1" style="46" min="11" max="11"/>
    <col width="12" customWidth="1" style="46" min="12" max="12"/>
    <col width="12" customWidth="1" style="46" min="13" max="13"/>
    <col width="12" customWidth="1" style="46" min="14" max="14"/>
    <col width="12" customWidth="1" style="46" min="15" max="15"/>
    <col width="12" customWidth="1" style="46" min="16" max="16"/>
    <col width="12" customWidth="1" style="46" min="17" max="17"/>
    <col width="12" customWidth="1" style="46" min="18" max="18"/>
    <col width="12" customWidth="1" style="46" min="19" max="19"/>
    <col width="12" customWidth="1" style="46" min="20" max="20"/>
    <col width="12" customWidth="1" style="46" min="21" max="21"/>
    <col width="12" customWidth="1" style="46" min="22" max="22"/>
    <col width="12" customWidth="1" style="46" min="23" max="23"/>
    <col width="12" customWidth="1" style="46" min="24" max="24"/>
    <col width="12" customWidth="1" style="46" min="25" max="25"/>
    <col width="12" customWidth="1" style="46" min="26" max="26"/>
    <col width="12" customWidth="1" style="46" min="27" max="27"/>
    <col width="12" customWidth="1" style="46" min="28" max="28"/>
    <col width="12" customWidth="1" style="46" min="29" max="29"/>
    <col width="12" customWidth="1" style="46" min="30" max="30"/>
  </cols>
  <sheetData>
    <row r="1" ht="28" customHeight="1" s="46">
      <c r="A1" s="48" t="inlineStr">
        <is>
          <t>concrete_cluster</t>
        </is>
      </c>
      <c r="B1" s="48" t="inlineStr">
        <is>
          <t>themenfeld</t>
        </is>
      </c>
      <c r="C1" s="48" t="inlineStr">
        <is>
          <t>cluster_label</t>
        </is>
      </c>
      <c r="D1" s="48" t="inlineStr">
        <is>
          <t>static_problem_question</t>
        </is>
      </c>
      <c r="E1" s="48" t="inlineStr">
        <is>
          <t>signal_keywords</t>
        </is>
      </c>
      <c r="F1" s="48" t="inlineStr">
        <is>
          <t>priority_weight</t>
        </is>
      </c>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row>
    <row r="2" ht="30" customHeight="1" s="46">
      <c r="A2" s="5" t="inlineStr">
        <is>
          <t>energie_versorgungssicherheit</t>
        </is>
      </c>
      <c r="B2" s="5" t="inlineStr">
        <is>
          <t>nachhaltigkeit</t>
        </is>
      </c>
      <c r="C2" s="5" t="inlineStr">
        <is>
          <t>Energie, Netze und Versorgungssicherheit</t>
        </is>
      </c>
      <c r="D2" s="5" t="inlineStr">
        <is>
          <t>Wie bleiben Unternehmen, Kommunen und Infrastrukturträger in Rheinland-Pfalz investitions- und versorgungssicher?</t>
        </is>
      </c>
      <c r="E2" s="5" t="inlineStr">
        <is>
          <t>energiepreise, strompreise, wärme, waerme, netzausbau, versorgungssicherheit, erneuerbare energien, speicher, photovoltaik, wasserstoff, standortkosten, energieintensive industrie</t>
        </is>
      </c>
      <c r="F2" s="5" t="n">
        <v>8.800000000000001</v>
      </c>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row>
    <row r="3" ht="30" customHeight="1" s="46">
      <c r="A3" s="5" t="inlineStr">
        <is>
          <t>kreislaufwirtschaft_bau_ebv</t>
        </is>
      </c>
      <c r="B3" s="5" t="inlineStr">
        <is>
          <t>nachhaltigkeit</t>
        </is>
      </c>
      <c r="C3" s="5" t="inlineStr">
        <is>
          <t>Kreislaufwirtschaft, Bau und Ersatzbaustoffverordnung</t>
        </is>
      </c>
      <c r="D3" s="5" t="inlineStr">
        <is>
          <t>Wie können Bauwirtschaft, Rohstoffindustrie, Kommunen und Verwaltung Kreislaufwirtschaft praktisch und rechtssicher umsetzen?</t>
        </is>
      </c>
      <c r="E3" s="5" t="inlineStr">
        <is>
          <t>ersatzbaustoffverordnung, ebv, einbaukarte, recyclingbaustoffe, rohstoffindustrie, bauwirtschaft, kommunen, verwaltung, planungssicherheit, regulierung, genehmigung</t>
        </is>
      </c>
      <c r="F3" s="5" t="n">
        <v>9</v>
      </c>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ht="30" customHeight="1" s="46">
      <c r="A4" s="5" t="inlineStr">
        <is>
          <t>wasser_umwelttechnik_resilienz</t>
        </is>
      </c>
      <c r="B4" s="5" t="inlineStr">
        <is>
          <t>nachhaltigkeit</t>
        </is>
      </c>
      <c r="C4" s="5" t="inlineStr">
        <is>
          <t>Wasser, Umwelttechnik und kommunale Resilienz</t>
        </is>
      </c>
      <c r="D4" s="5" t="inlineStr">
        <is>
          <t>Wie können Kommunen und Infrastrukturträger Wasser-, Abwasser- und Umwelttechnik digitaler und resilienter steuern?</t>
        </is>
      </c>
      <c r="E4" s="5" t="inlineStr">
        <is>
          <t>wasser, abwasser, umwelttechnik, prozesssteuerung, sensorik, cloud, kommunale infrastruktur, klimafolgen, resilienz, versorgung, entsorgung</t>
        </is>
      </c>
      <c r="F4" s="5" t="n">
        <v>7.7</v>
      </c>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row>
    <row r="5" ht="30" customHeight="1" s="46">
      <c r="A5" s="5" t="inlineStr">
        <is>
          <t>klima_anpassung_stadt_land</t>
        </is>
      </c>
      <c r="B5" s="5" t="inlineStr">
        <is>
          <t>nachhaltigkeit</t>
        </is>
      </c>
      <c r="C5" s="5" t="inlineStr">
        <is>
          <t>Klimaanpassung in Stadt und Land</t>
        </is>
      </c>
      <c r="D5" s="5" t="inlineStr">
        <is>
          <t>Wie reagieren Kommunen, Bauwirtschaft, Landwirtschaft und Infrastruktur auf Hitze, Starkregen und Flächendruck?</t>
        </is>
      </c>
      <c r="E5" s="5" t="inlineStr">
        <is>
          <t>starkregen, hitze, klimaanpassung, flächenverbrauch, flaechenverbrauch, innenstadt, mobilität, mobilitaet, stadtentwicklung, biodiversität, biodiversitaet, landwirtschaft, kommunen</t>
        </is>
      </c>
      <c r="F5" s="5" t="n">
        <v>5</v>
      </c>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row>
    <row r="6" ht="30" customHeight="1" s="46">
      <c r="A6" s="5" t="inlineStr">
        <is>
          <t>standort_investition_transformation</t>
        </is>
      </c>
      <c r="B6" s="5" t="inlineStr">
        <is>
          <t>wirtschaft</t>
        </is>
      </c>
      <c r="C6" s="5" t="inlineStr">
        <is>
          <t>Standort, Investition und industrielle Transformation</t>
        </is>
      </c>
      <c r="D6" s="5" t="inlineStr">
        <is>
          <t>Welche Standortbedingungen entscheiden darüber, ob Unternehmen in Rheinland-Pfalz investieren, modernisieren oder verlagern?</t>
        </is>
      </c>
      <c r="E6" s="5" t="inlineStr">
        <is>
          <t>investition, standort, produktion, werk, kapazität, kapazitaet, arbeitsplätze, arbeitsplaetze, modernisierung, transformation, wettbewerbsfähigkeit, wettbewerbsfaehigkeit, industrie, export, lieferketten</t>
        </is>
      </c>
      <c r="F6" s="5" t="n">
        <v>7.5</v>
      </c>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row>
    <row r="7" ht="30" customHeight="1" s="46">
      <c r="A7" s="5" t="inlineStr">
        <is>
          <t>mittelstand_digitalisierung_produktivitaet</t>
        </is>
      </c>
      <c r="B7" s="5" t="inlineStr">
        <is>
          <t>wirtschaft</t>
        </is>
      </c>
      <c r="C7" s="5" t="inlineStr">
        <is>
          <t>Mittelstand, Digitalisierung und Produktivität</t>
        </is>
      </c>
      <c r="D7" s="5" t="inlineStr">
        <is>
          <t>Wie können mittelständische Unternehmen digitale Werkzeuge praktisch einsetzen, ohne dass daraus nur Pilotprojekte entstehen?</t>
        </is>
      </c>
      <c r="E7" s="5" t="inlineStr">
        <is>
          <t>digitalisierung, mittelstand, produktivität, produktivitaet, automatisierung, ki, software, plattform, prozessoptimierung, industrie 4.0, cloud, erp</t>
        </is>
      </c>
      <c r="F7" s="5" t="n">
        <v>5</v>
      </c>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row>
    <row r="8" ht="30" customHeight="1" s="46">
      <c r="A8" s="5" t="inlineStr">
        <is>
          <t>arbeitsmarkt_fachkraefte</t>
        </is>
      </c>
      <c r="B8" s="5" t="inlineStr">
        <is>
          <t>wirtschaft</t>
        </is>
      </c>
      <c r="C8" s="5" t="inlineStr">
        <is>
          <t>Arbeitsmarkt, Fachkräfte und Qualifizierung</t>
        </is>
      </c>
      <c r="D8" s="5" t="inlineStr">
        <is>
          <t>Wie sichern Unternehmen, Hochschulen, Kammern und Arbeitsverwaltung Fachkräfte für Transformation, Pflege, Technik und Verwaltung?</t>
        </is>
      </c>
      <c r="E8" s="5" t="inlineStr">
        <is>
          <t>fachkräfte, fachkraefte, ausbildung, weiterbildung, qualifizierung, duale ausbildung, arbeitsmarkt, personal, recruiting, integration, zuwanderung, nachwuchs</t>
        </is>
      </c>
      <c r="F8" s="5" t="n">
        <v>8.6</v>
      </c>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row>
    <row r="9" ht="30" customHeight="1" s="46">
      <c r="A9" s="5" t="inlineStr">
        <is>
          <t>finanzierung_foerderung_transformation</t>
        </is>
      </c>
      <c r="B9" s="5" t="inlineStr">
        <is>
          <t>wirtschaft</t>
        </is>
      </c>
      <c r="C9" s="5" t="inlineStr">
        <is>
          <t>Finanzierung und Förderung von Transformation</t>
        </is>
      </c>
      <c r="D9" s="5" t="inlineStr">
        <is>
          <t>Wie kommen Investitionen, Fördermittel, Banken und Unternehmensstrategien schneller zusammen?</t>
        </is>
      </c>
      <c r="E9" s="5" t="inlineStr">
        <is>
          <t>förderung, foerderung, finanzierung, kredit, investition, kapital, transformation, mittelstand, nachfolge, innovation, risiko, bank</t>
        </is>
      </c>
      <c r="F9" s="5" t="n">
        <v>5</v>
      </c>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row>
    <row r="10" ht="30" customHeight="1" s="46">
      <c r="A10" s="5" t="inlineStr">
        <is>
          <t>ki_daten_verwaltung_wirtschaft</t>
        </is>
      </c>
      <c r="B10" s="5" t="inlineStr">
        <is>
          <t>technologie</t>
        </is>
      </c>
      <c r="C10" s="5" t="inlineStr">
        <is>
          <t>KI, Daten und Verwaltungs-/Wirtschaftsanwendungen</t>
        </is>
      </c>
      <c r="D10" s="5" t="inlineStr">
        <is>
          <t>Wo können KI und Datenplattformen in Unternehmen, Verwaltung und öffentlicher Infrastruktur konkret Nutzen stiften?</t>
        </is>
      </c>
      <c r="E10" s="5" t="inlineStr">
        <is>
          <t>ki, künstliche intelligenz, kuenstliche intelligenz, daten, plattform, automatisierung, verwaltung, e-government, prozessdigitalisierung, chatbot, wissensmanagement</t>
        </is>
      </c>
      <c r="F10" s="5" t="n">
        <v>7.9</v>
      </c>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row>
    <row r="11" ht="30" customHeight="1" s="46">
      <c r="A11" s="5" t="inlineStr">
        <is>
          <t>industrie_40_automation</t>
        </is>
      </c>
      <c r="B11" s="5" t="inlineStr">
        <is>
          <t>technologie</t>
        </is>
      </c>
      <c r="C11" s="5" t="inlineStr">
        <is>
          <t>Industrie 4.0, Automatisierung und Produktion</t>
        </is>
      </c>
      <c r="D11" s="5" t="inlineStr">
        <is>
          <t>Wie wird industrielle Produktion in Rheinland-Pfalz digitaler, robuster und wettbewerbsfähiger?</t>
        </is>
      </c>
      <c r="E11" s="5" t="inlineStr">
        <is>
          <t>industrie 4.0, automatisierung, produktion, sensorik, maschinenbau, digitaler zwilling, robotik, prozesssteuerung, fertigung, smart factory</t>
        </is>
      </c>
      <c r="F11" s="5" t="n">
        <v>5</v>
      </c>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row>
    <row r="12" ht="30" customHeight="1" s="46">
      <c r="A12" s="5" t="inlineStr">
        <is>
          <t>cyber_resilienz_kritische_infrastruktur</t>
        </is>
      </c>
      <c r="B12" s="5" t="inlineStr">
        <is>
          <t>technologie</t>
        </is>
      </c>
      <c r="C12" s="5" t="inlineStr">
        <is>
          <t>Cyberresilienz und kritische Infrastruktur</t>
        </is>
      </c>
      <c r="D12" s="5" t="inlineStr">
        <is>
          <t>Wie schützen Unternehmen, Kommunen und Versorger digitale Systeme, Daten und kritische Infrastruktur?</t>
        </is>
      </c>
      <c r="E12" s="5" t="inlineStr">
        <is>
          <t>cybersicherheit, it-sicherheit, resilienz, kritische infrastruktur, krisenmanagement, datenschutz, cloud, netzwerke, kommunen, versorgung</t>
        </is>
      </c>
      <c r="F12" s="5" t="n">
        <v>5</v>
      </c>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row>
    <row r="13" ht="30" customHeight="1" s="46">
      <c r="A13" s="5" t="inlineStr">
        <is>
          <t>digitale_bau_verwaltung_planung</t>
        </is>
      </c>
      <c r="B13" s="5" t="inlineStr">
        <is>
          <t>technologie</t>
        </is>
      </c>
      <c r="C13" s="5" t="inlineStr">
        <is>
          <t>Digitale Bau-, Planungs- und Genehmigungsprozesse</t>
        </is>
      </c>
      <c r="D13" s="5" t="inlineStr">
        <is>
          <t>Wie können Bau, Planung, Genehmigung und Verwaltung durch digitale Werkzeuge schneller und rechtssicherer werden?</t>
        </is>
      </c>
      <c r="E13" s="5" t="inlineStr">
        <is>
          <t>bim, planung, genehmigung, bauverwaltung, einbaukarte, ersatzbaustoffverordnung, kommunen, verwaltung, digitales tool, plattform</t>
        </is>
      </c>
      <c r="F13" s="5" t="n">
        <v>7.4</v>
      </c>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row>
    <row r="14" ht="30" customHeight="1" s="46">
      <c r="A14" s="5" t="inlineStr">
        <is>
          <t>kultur_standort_identitaet</t>
        </is>
      </c>
      <c r="B14" s="5" t="inlineStr">
        <is>
          <t>kultur</t>
        </is>
      </c>
      <c r="C14" s="5" t="inlineStr">
        <is>
          <t>Kultur, Standortidentität und regionale Attraktivität</t>
        </is>
      </c>
      <c r="D14" s="5" t="inlineStr">
        <is>
          <t>Wie stärkt Kultur die Attraktivität von Städten, Regionen und Arbeitgeberstandorten?</t>
        </is>
      </c>
      <c r="E14" s="5" t="inlineStr">
        <is>
          <t>kultur, innenstadt, stadtentwicklung, regionalität, regionalitaet, identität, identitaet, tourismus, arbeitgeberattraktivität, arbeitgeberattraktivitaet, standortmarketing, veranstaltung, festival</t>
        </is>
      </c>
      <c r="F14" s="5" t="n">
        <v>5</v>
      </c>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row>
    <row r="15" ht="30" customHeight="1" s="46">
      <c r="A15" s="5" t="inlineStr">
        <is>
          <t>kreativwirtschaft_digitale_medien</t>
        </is>
      </c>
      <c r="B15" s="5" t="inlineStr">
        <is>
          <t>kultur</t>
        </is>
      </c>
      <c r="C15" s="5" t="inlineStr">
        <is>
          <t>Kreativwirtschaft, Medien und digitale Öffentlichkeit</t>
        </is>
      </c>
      <c r="D15" s="5" t="inlineStr">
        <is>
          <t>Wie verändern Medien, Plattformen und kreative Arbeit die öffentliche Wahrnehmung von Rheinland-Pfalz?</t>
        </is>
      </c>
      <c r="E15" s="5" t="inlineStr">
        <is>
          <t>medien, kreativwirtschaft, film, audio, plattform, publikation, digitale öffentlichkeit, digitale oeffentlichkeit, kommunikation, journalismus, kulturvermittlung</t>
        </is>
      </c>
      <c r="F15" s="5" t="n">
        <v>5</v>
      </c>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row>
    <row r="16" ht="30" customHeight="1" s="46">
      <c r="A16" s="5" t="inlineStr">
        <is>
          <t>musikstipendium_talentfoerderung</t>
        </is>
      </c>
      <c r="B16" s="5" t="inlineStr">
        <is>
          <t>kultur</t>
        </is>
      </c>
      <c r="C16" s="5" t="inlineStr">
        <is>
          <t>Talentförderung, Musik und Nachwuchs</t>
        </is>
      </c>
      <c r="D16" s="5" t="inlineStr">
        <is>
          <t>Wie lassen sich kulturelle Talentförderung, Bildung und regionale Sichtbarkeit verbinden?</t>
        </is>
      </c>
      <c r="E16" s="5" t="inlineStr">
        <is>
          <t>musikstipendium, stipendium, nachwuchs, talent, förderung, foerderung, bildung, musik, hochschule, kultur</t>
        </is>
      </c>
      <c r="F16" s="5" t="n">
        <v>5</v>
      </c>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row>
    <row r="17" ht="30" customHeight="1" s="46">
      <c r="A17" s="5" t="inlineStr">
        <is>
          <t>hochschule_wirtschaft_transfer</t>
        </is>
      </c>
      <c r="B17" s="5" t="inlineStr">
        <is>
          <t>wissen</t>
        </is>
      </c>
      <c r="C17" s="5" t="inlineStr">
        <is>
          <t>Hochschule-Wirtschaft-Transfer</t>
        </is>
      </c>
      <c r="D17" s="5" t="inlineStr">
        <is>
          <t>Wie kommen Forschung, Unternehmen und öffentliche Akteure schneller in gemeinsame Umsetzungsprojekte?</t>
        </is>
      </c>
      <c r="E17" s="5" t="inlineStr">
        <is>
          <t>transfer, kooperation, forschung, hochschule, unternehmen, projekt, innovation, anwendung, gründung, gruendung, wissensallianz</t>
        </is>
      </c>
      <c r="F17" s="5" t="n">
        <v>8.1</v>
      </c>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row>
    <row r="18" ht="30" customHeight="1" s="46">
      <c r="A18" s="5" t="inlineStr">
        <is>
          <t>weiterbildung_lebenslanges_lernen</t>
        </is>
      </c>
      <c r="B18" s="5" t="inlineStr">
        <is>
          <t>wissen</t>
        </is>
      </c>
      <c r="C18" s="5" t="inlineStr">
        <is>
          <t>Weiterbildung und lebenslanges Lernen</t>
        </is>
      </c>
      <c r="D18" s="5" t="inlineStr">
        <is>
          <t>Wie können Beschäftigte, Verwaltung und Unternehmen Weiterbildung in reale Transformationsprozesse integrieren?</t>
        </is>
      </c>
      <c r="E18" s="5" t="inlineStr">
        <is>
          <t>weiterbildung, qualifizierung, zertifikat, lebenslanges lernen, fachkräfte, fachkraefte, kompetenzen, digitalisierung, pflege, verwaltung, technik</t>
        </is>
      </c>
      <c r="F18" s="5" t="n">
        <v>5</v>
      </c>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row>
    <row r="19" ht="30" customHeight="1" s="46">
      <c r="A19" s="5" t="inlineStr">
        <is>
          <t>wissenschaft_demokratie_gesellschaft</t>
        </is>
      </c>
      <c r="B19" s="5" t="inlineStr">
        <is>
          <t>wissen</t>
        </is>
      </c>
      <c r="C19" s="5" t="inlineStr">
        <is>
          <t>Wissenschaft, Demokratie und gesellschaftlicher Zusammenhalt</t>
        </is>
      </c>
      <c r="D19" s="5" t="inlineStr">
        <is>
          <t>Wie kann wissenschaftliches Wissen in gesellschaftliche Debatten, Demokratiebildung und öffentliche Orientierung wirken?</t>
        </is>
      </c>
      <c r="E19" s="5" t="inlineStr">
        <is>
          <t>demokratie, gesellschaft, wissenschaftskommunikation, bildung, teilhabe, extremismus, medienkompetenz, zivilgesellschaft, forschung, öffentlichkeit, oeffentlichkeit</t>
        </is>
      </c>
      <c r="F19" s="5" t="n">
        <v>5</v>
      </c>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row>
    <row r="20" ht="30" customHeight="1" s="46">
      <c r="A20" s="5" t="inlineStr">
        <is>
          <t>verwaltungswissen_digitalisierung</t>
        </is>
      </c>
      <c r="B20" s="5" t="inlineStr">
        <is>
          <t>wissen</t>
        </is>
      </c>
      <c r="C20" s="5" t="inlineStr">
        <is>
          <t>Verwaltungswissen und digitale Umsetzung</t>
        </is>
      </c>
      <c r="D20" s="5" t="inlineStr">
        <is>
          <t>Wie wird Verwaltung bei Regulierung, Genehmigung, Digitalisierung und Umsetzung leistungsfähiger?</t>
        </is>
      </c>
      <c r="E20" s="5" t="inlineStr">
        <is>
          <t>verwaltung, e-government, genehmigung, regulierung, kommunen, digitalisierung, umsetzung, planung, prozess, daten</t>
        </is>
      </c>
      <c r="F20" s="5" t="n">
        <v>5</v>
      </c>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row>
    <row r="21" ht="30" customHeight="1" s="46">
      <c r="A21" s="5" t="inlineStr">
        <is>
          <t>gesundheit_versorgung_praevention</t>
        </is>
      </c>
      <c r="B21" s="5" t="inlineStr">
        <is>
          <t>gesellschaft</t>
        </is>
      </c>
      <c r="C21" s="5" t="inlineStr">
        <is>
          <t>Gesundheitsversorgung und Prävention</t>
        </is>
      </c>
      <c r="D21" s="5" t="inlineStr">
        <is>
          <t>Wie kann Gesundheitsversorgung in Rheinland-Pfalz zugänglich, präventiv und digital unterstützt werden?</t>
        </is>
      </c>
      <c r="E21" s="5" t="inlineStr">
        <is>
          <t>gesundheit, versorgung, prävention, praevention, patienten, krankenkasse, ärzte, aerzte, notfallversorgung, digital health, e-health, ambulant</t>
        </is>
      </c>
      <c r="F21" s="5" t="n">
        <v>8.4</v>
      </c>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row>
    <row r="22" ht="30" customHeight="1" s="46">
      <c r="A22" s="5" t="inlineStr">
        <is>
          <t>pflege_fachkraefte_sozialwirtschaft</t>
        </is>
      </c>
      <c r="B22" s="5" t="inlineStr">
        <is>
          <t>gesellschaft</t>
        </is>
      </c>
      <c r="C22" s="5" t="inlineStr">
        <is>
          <t>Pflege, Fachkräfte und Sozialwirtschaft</t>
        </is>
      </c>
      <c r="D22" s="5" t="inlineStr">
        <is>
          <t>Wie sichern Pflege- und Sozialträger Personal, Qualität und Versorgung in einer alternden Gesellschaft?</t>
        </is>
      </c>
      <c r="E22" s="5" t="inlineStr">
        <is>
          <t>pflege, fachkräfte, fachkraefte, sozialwirtschaft, versorgung, teilhabe, ausbildung, personal, gesundheitsberufe, inklusion, betreuung</t>
        </is>
      </c>
      <c r="F22" s="5" t="n">
        <v>8.300000000000001</v>
      </c>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row>
    <row r="23" ht="30" customHeight="1" s="46">
      <c r="A23" s="5" t="inlineStr">
        <is>
          <t>teilhabe_inklusion_arbeitsmarkt</t>
        </is>
      </c>
      <c r="B23" s="5" t="inlineStr">
        <is>
          <t>gesellschaft</t>
        </is>
      </c>
      <c r="C23" s="5" t="inlineStr">
        <is>
          <t>Teilhabe, Inklusion und Arbeitsmarkt</t>
        </is>
      </c>
      <c r="D23" s="5" t="inlineStr">
        <is>
          <t>Wie können Menschen mit Familienpflichten, Behinderung oder schwierigen Erwerbsbiografien besser am Arbeitsmarkt teilnehmen?</t>
        </is>
      </c>
      <c r="E23" s="5" t="inlineStr">
        <is>
          <t>teilhabe, inklusion, arbeitsmarkt, familie, mütter, muetter, vereinbarkeit, integration, barrierefreiheit, soziale innovation, beschäftigung, beschaeftigung</t>
        </is>
      </c>
      <c r="F23" s="5" t="n">
        <v>5</v>
      </c>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row>
    <row r="24" ht="30" customHeight="1" s="46">
      <c r="A24" s="5" t="inlineStr">
        <is>
          <t>demokratie_medien_zusammenhalt</t>
        </is>
      </c>
      <c r="B24" s="5" t="inlineStr">
        <is>
          <t>gesellschaft</t>
        </is>
      </c>
      <c r="C24" s="5" t="inlineStr">
        <is>
          <t>Demokratie, Medien und gesellschaftlicher Zusammenhalt</t>
        </is>
      </c>
      <c r="D24" s="5" t="inlineStr">
        <is>
          <t>Wie stärken Medien, Bildung, Kirchen, Wissenschaft und Zivilgesellschaft Vertrauen und demokratische Orientierung?</t>
        </is>
      </c>
      <c r="E24" s="5" t="inlineStr">
        <is>
          <t>demokratie, zusammenhalt, medien, gesellschaft, bildung, vielfalt, extremismus, dialog, kirche, öffentlichkeit, oeffentlichkeit</t>
        </is>
      </c>
      <c r="F24" s="5" t="n">
        <v>7</v>
      </c>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row>
    <row r="25" ht="30" customHeight="1" s="46">
      <c r="A25" s="5" t="inlineStr">
        <is>
          <t>sport_region_identifikation</t>
        </is>
      </c>
      <c r="B25" s="5" t="inlineStr">
        <is>
          <t>gesellschaft</t>
        </is>
      </c>
      <c r="C25" s="5" t="inlineStr">
        <is>
          <t>Sport, Region und gesellschaftliche Identifikation</t>
        </is>
      </c>
      <c r="D25" s="5" t="inlineStr">
        <is>
          <t>Wie können Sportvereine als regionale Plattformen für Bildung, Teilhabe, Gesundheit oder Standortbindung wirken?</t>
        </is>
      </c>
      <c r="E25" s="5" t="inlineStr">
        <is>
          <t>sport, verein, nachwuchs, bildung, gesundheit, integration, fans, region, identifikation, gesellschaftliches engagement</t>
        </is>
      </c>
      <c r="F25" s="5" t="n">
        <v>5</v>
      </c>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A103"/>
  <sheetViews>
    <sheetView showGridLines="1" workbookViewId="0">
      <selection activeCell="A1" sqref="A1"/>
    </sheetView>
  </sheetViews>
  <sheetFormatPr baseColWidth="8" defaultRowHeight="15"/>
  <cols>
    <col width="12" customWidth="1" style="46" min="1" max="1"/>
    <col width="80" customWidth="1" style="46" min="2" max="2"/>
    <col width="23" customWidth="1" style="46" min="3" max="3"/>
    <col width="31" customWidth="1" style="46" min="4" max="4"/>
    <col width="29" customWidth="1" style="46" min="5" max="5"/>
    <col width="32" customWidth="1" style="46" min="6" max="6"/>
    <col width="28" customWidth="1" style="46" min="7" max="7"/>
    <col width="37" customWidth="1" style="46" min="8" max="8"/>
    <col width="44" customWidth="1" style="46" min="9" max="9"/>
    <col width="26" customWidth="1" style="46" min="10" max="10"/>
    <col width="40" customWidth="1" style="46" min="11" max="11"/>
    <col width="32" customWidth="1" style="46" min="12" max="12"/>
    <col width="25" customWidth="1" style="46" min="13" max="13"/>
    <col width="41" customWidth="1" style="46" min="14" max="14"/>
    <col width="33" customWidth="1" style="46" min="15" max="15"/>
    <col width="28" customWidth="1" style="46" min="16" max="16"/>
    <col width="35" customWidth="1" style="46" min="17" max="17"/>
    <col width="34" customWidth="1" style="46" min="18" max="18"/>
    <col width="32" customWidth="1" style="46" min="19" max="19"/>
    <col width="35" customWidth="1" style="46" min="20" max="20"/>
    <col width="38" customWidth="1" style="46" min="21" max="21"/>
    <col width="35" customWidth="1" style="46" min="22" max="22"/>
    <col width="35" customWidth="1" style="46" min="23" max="23"/>
    <col width="37" customWidth="1" style="46" min="24" max="24"/>
    <col width="33" customWidth="1" style="46" min="25" max="25"/>
    <col width="32" customWidth="1" style="46" min="26" max="26"/>
    <col width="29" customWidth="1" style="46" min="27" max="27"/>
  </cols>
  <sheetData>
    <row r="1" ht="28" customHeight="1" s="46">
      <c r="A1" s="48" t="inlineStr">
        <is>
          <t>member_id</t>
        </is>
      </c>
      <c r="B1" s="48" t="inlineStr">
        <is>
          <t>member_name</t>
        </is>
      </c>
      <c r="C1" s="48" t="inlineStr">
        <is>
          <t>actor_role</t>
        </is>
      </c>
      <c r="D1" s="48" t="inlineStr">
        <is>
          <t>energie_versorgungssicherheit</t>
        </is>
      </c>
      <c r="E1" s="48" t="inlineStr">
        <is>
          <t>kreislaufwirtschaft_bau_ebv</t>
        </is>
      </c>
      <c r="F1" s="48" t="inlineStr">
        <is>
          <t>wasser_umwelttechnik_resilienz</t>
        </is>
      </c>
      <c r="G1" s="48" t="inlineStr">
        <is>
          <t>klima_anpassung_stadt_land</t>
        </is>
      </c>
      <c r="H1" s="48" t="inlineStr">
        <is>
          <t>standort_investition_transformation</t>
        </is>
      </c>
      <c r="I1" s="48" t="inlineStr">
        <is>
          <t>mittelstand_digitalisierung_produktivitaet</t>
        </is>
      </c>
      <c r="J1" s="48" t="inlineStr">
        <is>
          <t>arbeitsmarkt_fachkraefte</t>
        </is>
      </c>
      <c r="K1" s="48" t="inlineStr">
        <is>
          <t>finanzierung_foerderung_transformation</t>
        </is>
      </c>
      <c r="L1" s="48" t="inlineStr">
        <is>
          <t>ki_daten_verwaltung_wirtschaft</t>
        </is>
      </c>
      <c r="M1" s="48" t="inlineStr">
        <is>
          <t>industrie_40_automation</t>
        </is>
      </c>
      <c r="N1" s="48" t="inlineStr">
        <is>
          <t>cyber_resilienz_kritische_infrastruktur</t>
        </is>
      </c>
      <c r="O1" s="48" t="inlineStr">
        <is>
          <t>digitale_bau_verwaltung_planung</t>
        </is>
      </c>
      <c r="P1" s="48" t="inlineStr">
        <is>
          <t>kultur_standort_identitaet</t>
        </is>
      </c>
      <c r="Q1" s="48" t="inlineStr">
        <is>
          <t>kreativwirtschaft_digitale_medien</t>
        </is>
      </c>
      <c r="R1" s="48" t="inlineStr">
        <is>
          <t>musikstipendium_talentfoerderung</t>
        </is>
      </c>
      <c r="S1" s="48" t="inlineStr">
        <is>
          <t>hochschule_wirtschaft_transfer</t>
        </is>
      </c>
      <c r="T1" s="48" t="inlineStr">
        <is>
          <t>weiterbildung_lebenslanges_lernen</t>
        </is>
      </c>
      <c r="U1" s="48" t="inlineStr">
        <is>
          <t>wissenschaft_demokratie_gesellschaft</t>
        </is>
      </c>
      <c r="V1" s="48" t="inlineStr">
        <is>
          <t>verwaltungswissen_digitalisierung</t>
        </is>
      </c>
      <c r="W1" s="48" t="inlineStr">
        <is>
          <t>gesundheit_versorgung_praevention</t>
        </is>
      </c>
      <c r="X1" s="48" t="inlineStr">
        <is>
          <t>pflege_fachkraefte_sozialwirtschaft</t>
        </is>
      </c>
      <c r="Y1" s="48" t="inlineStr">
        <is>
          <t>teilhabe_inklusion_arbeitsmarkt</t>
        </is>
      </c>
      <c r="Z1" s="48" t="inlineStr">
        <is>
          <t>demokratie_medien_zusammenhalt</t>
        </is>
      </c>
      <c r="AA1" s="48" t="inlineStr">
        <is>
          <t>sport_region_identifikation</t>
        </is>
      </c>
    </row>
    <row r="2" ht="30" customHeight="1" s="46">
      <c r="A2" s="5" t="n">
        <v>1</v>
      </c>
      <c r="B2" s="5" t="inlineStr">
        <is>
          <t>1. FSV Mainz 05 e.V.</t>
        </is>
      </c>
      <c r="C2" s="5" t="inlineStr">
        <is>
          <t>context_actor</t>
        </is>
      </c>
      <c r="D2" s="5" t="n">
        <v>0</v>
      </c>
      <c r="E2" s="5" t="n">
        <v>0</v>
      </c>
      <c r="F2" s="5" t="n">
        <v>0</v>
      </c>
      <c r="G2" s="5" t="n">
        <v>0</v>
      </c>
      <c r="H2" s="5" t="n">
        <v>0</v>
      </c>
      <c r="I2" s="5" t="n">
        <v>0</v>
      </c>
      <c r="J2" s="5" t="n">
        <v>0</v>
      </c>
      <c r="K2" s="5" t="n">
        <v>0</v>
      </c>
      <c r="L2" s="5" t="n">
        <v>0</v>
      </c>
      <c r="M2" s="5" t="n">
        <v>0</v>
      </c>
      <c r="N2" s="5" t="n">
        <v>0</v>
      </c>
      <c r="O2" s="5" t="n">
        <v>0</v>
      </c>
      <c r="P2" s="5" t="n">
        <v>4</v>
      </c>
      <c r="Q2" s="5" t="n">
        <v>3</v>
      </c>
      <c r="R2" s="5" t="n">
        <v>0</v>
      </c>
      <c r="S2" s="5" t="n">
        <v>0</v>
      </c>
      <c r="T2" s="5" t="n">
        <v>0</v>
      </c>
      <c r="U2" s="5" t="n">
        <v>0</v>
      </c>
      <c r="V2" s="5" t="n">
        <v>0</v>
      </c>
      <c r="W2" s="5" t="n">
        <v>0</v>
      </c>
      <c r="X2" s="5" t="n">
        <v>0</v>
      </c>
      <c r="Y2" s="5" t="n">
        <v>0</v>
      </c>
      <c r="Z2" s="5" t="n">
        <v>3</v>
      </c>
      <c r="AA2" s="5" t="n">
        <v>5</v>
      </c>
    </row>
    <row r="3" ht="30" customHeight="1" s="46">
      <c r="A3" s="5" t="n">
        <v>2</v>
      </c>
      <c r="B3" s="5" t="inlineStr">
        <is>
          <t>AOK Rheinland-Pfalz/Saarland</t>
        </is>
      </c>
      <c r="C3" s="5" t="inlineStr">
        <is>
          <t>context_actor</t>
        </is>
      </c>
      <c r="D3" s="5" t="n">
        <v>0</v>
      </c>
      <c r="E3" s="5" t="n">
        <v>0</v>
      </c>
      <c r="F3" s="5" t="n">
        <v>0</v>
      </c>
      <c r="G3" s="5" t="n">
        <v>0</v>
      </c>
      <c r="H3" s="5" t="n">
        <v>0</v>
      </c>
      <c r="I3" s="5" t="n">
        <v>0</v>
      </c>
      <c r="J3" s="5" t="n">
        <v>0</v>
      </c>
      <c r="K3" s="5" t="n">
        <v>0</v>
      </c>
      <c r="L3" s="5" t="n">
        <v>0</v>
      </c>
      <c r="M3" s="5" t="n">
        <v>0</v>
      </c>
      <c r="N3" s="5" t="n">
        <v>0</v>
      </c>
      <c r="O3" s="5" t="n">
        <v>0</v>
      </c>
      <c r="P3" s="5" t="n">
        <v>0</v>
      </c>
      <c r="Q3" s="5" t="n">
        <v>0</v>
      </c>
      <c r="R3" s="5" t="n">
        <v>0</v>
      </c>
      <c r="S3" s="5" t="n">
        <v>0</v>
      </c>
      <c r="T3" s="5" t="n">
        <v>0</v>
      </c>
      <c r="U3" s="5" t="n">
        <v>0</v>
      </c>
      <c r="V3" s="5" t="n">
        <v>0</v>
      </c>
      <c r="W3" s="5" t="n">
        <v>5</v>
      </c>
      <c r="X3" s="5" t="n">
        <v>4</v>
      </c>
      <c r="Y3" s="5" t="n">
        <v>0</v>
      </c>
      <c r="Z3" s="5" t="n">
        <v>0</v>
      </c>
      <c r="AA3" s="5" t="n">
        <v>4</v>
      </c>
    </row>
    <row r="4" ht="30" customHeight="1" s="46">
      <c r="A4" s="5" t="n">
        <v>3</v>
      </c>
      <c r="B4" s="5" t="inlineStr">
        <is>
          <t>Architektenkammer Rheinland-Pfalz</t>
        </is>
      </c>
      <c r="C4" s="5" t="inlineStr">
        <is>
          <t>implementation_anchor</t>
        </is>
      </c>
      <c r="D4" s="5" t="n">
        <v>0</v>
      </c>
      <c r="E4" s="5" t="n">
        <v>4</v>
      </c>
      <c r="F4" s="5" t="n">
        <v>0</v>
      </c>
      <c r="G4" s="5" t="n">
        <v>4</v>
      </c>
      <c r="H4" s="5" t="n">
        <v>0</v>
      </c>
      <c r="I4" s="5" t="n">
        <v>0</v>
      </c>
      <c r="J4" s="5" t="n">
        <v>0</v>
      </c>
      <c r="K4" s="5" t="n">
        <v>0</v>
      </c>
      <c r="L4" s="5" t="n">
        <v>0</v>
      </c>
      <c r="M4" s="5" t="n">
        <v>0</v>
      </c>
      <c r="N4" s="5" t="n">
        <v>0</v>
      </c>
      <c r="O4" s="5" t="n">
        <v>5</v>
      </c>
      <c r="P4" s="5" t="n">
        <v>0</v>
      </c>
      <c r="Q4" s="5" t="n">
        <v>0</v>
      </c>
      <c r="R4" s="5" t="n">
        <v>0</v>
      </c>
      <c r="S4" s="5" t="n">
        <v>0</v>
      </c>
      <c r="T4" s="5" t="n">
        <v>0</v>
      </c>
      <c r="U4" s="5" t="n">
        <v>0</v>
      </c>
      <c r="V4" s="5" t="n">
        <v>0</v>
      </c>
      <c r="W4" s="5" t="n">
        <v>0</v>
      </c>
      <c r="X4" s="5" t="n">
        <v>0</v>
      </c>
      <c r="Y4" s="5" t="n">
        <v>0</v>
      </c>
      <c r="Z4" s="5" t="n">
        <v>0</v>
      </c>
      <c r="AA4" s="5" t="n">
        <v>0</v>
      </c>
    </row>
    <row r="5" ht="30" customHeight="1" s="46">
      <c r="A5" s="5" t="n">
        <v>4</v>
      </c>
      <c r="B5" s="5" t="inlineStr">
        <is>
          <t>Aturas GmbH</t>
        </is>
      </c>
      <c r="C5" s="5" t="inlineStr">
        <is>
          <t>profit_anchor</t>
        </is>
      </c>
      <c r="D5" s="5" t="n">
        <v>0</v>
      </c>
      <c r="E5" s="5" t="n">
        <v>0</v>
      </c>
      <c r="F5" s="5" t="n">
        <v>0</v>
      </c>
      <c r="G5" s="5" t="n">
        <v>0</v>
      </c>
      <c r="H5" s="5" t="n">
        <v>0</v>
      </c>
      <c r="I5" s="5" t="n">
        <v>4</v>
      </c>
      <c r="J5" s="5" t="n">
        <v>0</v>
      </c>
      <c r="K5" s="5" t="n">
        <v>0</v>
      </c>
      <c r="L5" s="5" t="n">
        <v>4</v>
      </c>
      <c r="M5" s="5" t="n">
        <v>0</v>
      </c>
      <c r="N5" s="5" t="n">
        <v>0</v>
      </c>
      <c r="O5" s="5" t="n">
        <v>4</v>
      </c>
      <c r="P5" s="5" t="n">
        <v>0</v>
      </c>
      <c r="Q5" s="5" t="n">
        <v>0</v>
      </c>
      <c r="R5" s="5" t="n">
        <v>0</v>
      </c>
      <c r="S5" s="5" t="n">
        <v>0</v>
      </c>
      <c r="T5" s="5" t="n">
        <v>0</v>
      </c>
      <c r="U5" s="5" t="n">
        <v>0</v>
      </c>
      <c r="V5" s="5" t="n">
        <v>4</v>
      </c>
      <c r="W5" s="5" t="n">
        <v>0</v>
      </c>
      <c r="X5" s="5" t="n">
        <v>0</v>
      </c>
      <c r="Y5" s="5" t="n">
        <v>0</v>
      </c>
      <c r="Z5" s="5" t="n">
        <v>0</v>
      </c>
      <c r="AA5" s="5" t="n">
        <v>0</v>
      </c>
    </row>
    <row r="6" ht="30" customHeight="1" s="46">
      <c r="A6" s="5" t="n">
        <v>5</v>
      </c>
      <c r="B6" s="5" t="inlineStr">
        <is>
          <t>Barmherzige Brüder Trier gGmbH</t>
        </is>
      </c>
      <c r="C6" s="5" t="inlineStr">
        <is>
          <t>context_actor</t>
        </is>
      </c>
      <c r="D6" s="5" t="n">
        <v>0</v>
      </c>
      <c r="E6" s="5" t="n">
        <v>0</v>
      </c>
      <c r="F6" s="5" t="n">
        <v>0</v>
      </c>
      <c r="G6" s="5" t="n">
        <v>0</v>
      </c>
      <c r="H6" s="5" t="n">
        <v>0</v>
      </c>
      <c r="I6" s="5" t="n">
        <v>0</v>
      </c>
      <c r="J6" s="5" t="n">
        <v>4</v>
      </c>
      <c r="K6" s="5" t="n">
        <v>0</v>
      </c>
      <c r="L6" s="5" t="n">
        <v>0</v>
      </c>
      <c r="M6" s="5" t="n">
        <v>0</v>
      </c>
      <c r="N6" s="5" t="n">
        <v>0</v>
      </c>
      <c r="O6" s="5" t="n">
        <v>0</v>
      </c>
      <c r="P6" s="5" t="n">
        <v>0</v>
      </c>
      <c r="Q6" s="5" t="n">
        <v>0</v>
      </c>
      <c r="R6" s="5" t="n">
        <v>0</v>
      </c>
      <c r="S6" s="5" t="n">
        <v>0</v>
      </c>
      <c r="T6" s="5" t="n">
        <v>4</v>
      </c>
      <c r="U6" s="5" t="n">
        <v>0</v>
      </c>
      <c r="V6" s="5" t="n">
        <v>0</v>
      </c>
      <c r="W6" s="5" t="n">
        <v>4</v>
      </c>
      <c r="X6" s="5" t="n">
        <v>5</v>
      </c>
      <c r="Y6" s="5" t="n">
        <v>4</v>
      </c>
      <c r="Z6" s="5" t="n">
        <v>0</v>
      </c>
      <c r="AA6" s="5" t="n">
        <v>0</v>
      </c>
    </row>
    <row r="7" ht="30" customHeight="1" s="46">
      <c r="A7" s="5" t="n">
        <v>6</v>
      </c>
      <c r="B7" s="5" t="inlineStr">
        <is>
          <t>BASF SE</t>
        </is>
      </c>
      <c r="C7" s="5" t="inlineStr">
        <is>
          <t>profit_anchor</t>
        </is>
      </c>
      <c r="D7" s="5" t="n">
        <v>4</v>
      </c>
      <c r="E7" s="5" t="n">
        <v>0</v>
      </c>
      <c r="F7" s="5" t="n">
        <v>0</v>
      </c>
      <c r="G7" s="5" t="n">
        <v>0</v>
      </c>
      <c r="H7" s="5" t="n">
        <v>5</v>
      </c>
      <c r="I7" s="5" t="n">
        <v>0</v>
      </c>
      <c r="J7" s="5" t="n">
        <v>3</v>
      </c>
      <c r="K7" s="5" t="n">
        <v>0</v>
      </c>
      <c r="L7" s="5" t="n">
        <v>0</v>
      </c>
      <c r="M7" s="5" t="n">
        <v>4</v>
      </c>
      <c r="N7" s="5" t="n">
        <v>0</v>
      </c>
      <c r="O7" s="5" t="n">
        <v>0</v>
      </c>
      <c r="P7" s="5" t="n">
        <v>0</v>
      </c>
      <c r="Q7" s="5" t="n">
        <v>0</v>
      </c>
      <c r="R7" s="5" t="n">
        <v>0</v>
      </c>
      <c r="S7" s="5" t="n">
        <v>4</v>
      </c>
      <c r="T7" s="5" t="n">
        <v>0</v>
      </c>
      <c r="U7" s="5" t="n">
        <v>0</v>
      </c>
      <c r="V7" s="5" t="n">
        <v>0</v>
      </c>
      <c r="W7" s="5" t="n">
        <v>0</v>
      </c>
      <c r="X7" s="5" t="n">
        <v>0</v>
      </c>
      <c r="Y7" s="5" t="n">
        <v>0</v>
      </c>
      <c r="Z7" s="5" t="n">
        <v>0</v>
      </c>
      <c r="AA7" s="5" t="n">
        <v>0</v>
      </c>
    </row>
    <row r="8" ht="30" customHeight="1" s="46">
      <c r="A8" s="5" t="n">
        <v>7</v>
      </c>
      <c r="B8" s="5" t="inlineStr">
        <is>
          <t>Bauern- und Winzerverband Rheinland-Pfalz Süd e.V.</t>
        </is>
      </c>
      <c r="C8" s="5" t="inlineStr">
        <is>
          <t>implementation_anchor</t>
        </is>
      </c>
      <c r="D8" s="5" t="n">
        <v>0</v>
      </c>
      <c r="E8" s="5" t="n">
        <v>0</v>
      </c>
      <c r="F8" s="5" t="n">
        <v>0</v>
      </c>
      <c r="G8" s="5" t="n">
        <v>5</v>
      </c>
      <c r="H8" s="5" t="n">
        <v>0</v>
      </c>
      <c r="I8" s="5" t="n">
        <v>0</v>
      </c>
      <c r="J8" s="5" t="n">
        <v>0</v>
      </c>
      <c r="K8" s="5" t="n">
        <v>0</v>
      </c>
      <c r="L8" s="5" t="n">
        <v>0</v>
      </c>
      <c r="M8" s="5" t="n">
        <v>0</v>
      </c>
      <c r="N8" s="5" t="n">
        <v>0</v>
      </c>
      <c r="O8" s="5" t="n">
        <v>0</v>
      </c>
      <c r="P8" s="5" t="n">
        <v>0</v>
      </c>
      <c r="Q8" s="5" t="n">
        <v>0</v>
      </c>
      <c r="R8" s="5" t="n">
        <v>0</v>
      </c>
      <c r="S8" s="5" t="n">
        <v>0</v>
      </c>
      <c r="T8" s="5" t="n">
        <v>0</v>
      </c>
      <c r="U8" s="5" t="n">
        <v>0</v>
      </c>
      <c r="V8" s="5" t="n">
        <v>0</v>
      </c>
      <c r="W8" s="5" t="n">
        <v>0</v>
      </c>
      <c r="X8" s="5" t="n">
        <v>0</v>
      </c>
      <c r="Y8" s="5" t="n">
        <v>0</v>
      </c>
      <c r="Z8" s="5" t="n">
        <v>0</v>
      </c>
      <c r="AA8" s="5" t="n">
        <v>0</v>
      </c>
    </row>
    <row r="9" ht="30" customHeight="1" s="46">
      <c r="A9" s="5" t="n">
        <v>8</v>
      </c>
      <c r="B9" s="5" t="inlineStr">
        <is>
          <t>Bauwirtschaft Rheinland-Pfalz e.V.</t>
        </is>
      </c>
      <c r="C9" s="5" t="inlineStr">
        <is>
          <t>context_actor</t>
        </is>
      </c>
      <c r="D9" s="5" t="n">
        <v>0</v>
      </c>
      <c r="E9" s="5" t="n">
        <v>5</v>
      </c>
      <c r="F9" s="5" t="n">
        <v>0</v>
      </c>
      <c r="G9" s="5" t="n">
        <v>4</v>
      </c>
      <c r="H9" s="5" t="n">
        <v>0</v>
      </c>
      <c r="I9" s="5" t="n">
        <v>0</v>
      </c>
      <c r="J9" s="5" t="n">
        <v>0</v>
      </c>
      <c r="K9" s="5" t="n">
        <v>0</v>
      </c>
      <c r="L9" s="5" t="n">
        <v>0</v>
      </c>
      <c r="M9" s="5" t="n">
        <v>0</v>
      </c>
      <c r="N9" s="5" t="n">
        <v>0</v>
      </c>
      <c r="O9" s="5" t="n">
        <v>5</v>
      </c>
      <c r="P9" s="5" t="n">
        <v>0</v>
      </c>
      <c r="Q9" s="5" t="n">
        <v>0</v>
      </c>
      <c r="R9" s="5" t="n">
        <v>0</v>
      </c>
      <c r="S9" s="5" t="n">
        <v>0</v>
      </c>
      <c r="T9" s="5" t="n">
        <v>0</v>
      </c>
      <c r="U9" s="5" t="n">
        <v>0</v>
      </c>
      <c r="V9" s="5" t="n">
        <v>0</v>
      </c>
      <c r="W9" s="5" t="n">
        <v>0</v>
      </c>
      <c r="X9" s="5" t="n">
        <v>0</v>
      </c>
      <c r="Y9" s="5" t="n">
        <v>0</v>
      </c>
      <c r="Z9" s="5" t="n">
        <v>0</v>
      </c>
      <c r="AA9" s="5" t="n">
        <v>0</v>
      </c>
    </row>
    <row r="10" ht="30" customHeight="1" s="46">
      <c r="A10" s="5" t="n">
        <v>9</v>
      </c>
      <c r="B10" s="5" t="inlineStr">
        <is>
          <t>Bernd Hummel Holding GmbH</t>
        </is>
      </c>
      <c r="C10" s="5" t="inlineStr">
        <is>
          <t>profit_anchor</t>
        </is>
      </c>
      <c r="D10" s="5" t="n">
        <v>0</v>
      </c>
      <c r="E10" s="5" t="n">
        <v>0</v>
      </c>
      <c r="F10" s="5" t="n">
        <v>0</v>
      </c>
      <c r="G10" s="5" t="n">
        <v>0</v>
      </c>
      <c r="H10" s="5" t="n">
        <v>0</v>
      </c>
      <c r="I10" s="5" t="n">
        <v>0</v>
      </c>
      <c r="J10" s="5" t="n">
        <v>0</v>
      </c>
      <c r="K10" s="5" t="n">
        <v>0</v>
      </c>
      <c r="L10" s="5" t="n">
        <v>0</v>
      </c>
      <c r="M10" s="5" t="n">
        <v>0</v>
      </c>
      <c r="N10" s="5" t="n">
        <v>0</v>
      </c>
      <c r="O10" s="5" t="n">
        <v>0</v>
      </c>
      <c r="P10" s="5" t="n">
        <v>0</v>
      </c>
      <c r="Q10" s="5" t="n">
        <v>0</v>
      </c>
      <c r="R10" s="5" t="n">
        <v>0</v>
      </c>
      <c r="S10" s="5" t="n">
        <v>0</v>
      </c>
      <c r="T10" s="5" t="n">
        <v>0</v>
      </c>
      <c r="U10" s="5" t="n">
        <v>0</v>
      </c>
      <c r="V10" s="5" t="n">
        <v>0</v>
      </c>
      <c r="W10" s="5" t="n">
        <v>0</v>
      </c>
      <c r="X10" s="5" t="n">
        <v>0</v>
      </c>
      <c r="Y10" s="5" t="n">
        <v>0</v>
      </c>
      <c r="Z10" s="5" t="n">
        <v>0</v>
      </c>
      <c r="AA10" s="5" t="n">
        <v>0</v>
      </c>
    </row>
    <row r="11" ht="30" customHeight="1" s="46">
      <c r="A11" s="5" t="n">
        <v>10</v>
      </c>
      <c r="B11" s="5" t="inlineStr">
        <is>
          <t>Bitburger Braugruppe GmbH</t>
        </is>
      </c>
      <c r="C11" s="5" t="inlineStr">
        <is>
          <t>profit_anchor</t>
        </is>
      </c>
      <c r="D11" s="5" t="n">
        <v>0</v>
      </c>
      <c r="E11" s="5" t="n">
        <v>0</v>
      </c>
      <c r="F11" s="5" t="n">
        <v>0</v>
      </c>
      <c r="G11" s="5" t="n">
        <v>0</v>
      </c>
      <c r="H11" s="5" t="n">
        <v>4</v>
      </c>
      <c r="I11" s="5" t="n">
        <v>0</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row>
    <row r="12" ht="30" customHeight="1" s="46">
      <c r="A12" s="5" t="n">
        <v>11</v>
      </c>
      <c r="B12" s="5" t="inlineStr">
        <is>
          <t>Boehringer Ingelheim Pharma GmbH &amp; Co. KG</t>
        </is>
      </c>
      <c r="C12" s="5" t="inlineStr">
        <is>
          <t>profit_anchor</t>
        </is>
      </c>
      <c r="D12" s="5" t="n">
        <v>0</v>
      </c>
      <c r="E12" s="5" t="n">
        <v>0</v>
      </c>
      <c r="F12" s="5" t="n">
        <v>0</v>
      </c>
      <c r="G12" s="5" t="n">
        <v>0</v>
      </c>
      <c r="H12" s="5" t="n">
        <v>5</v>
      </c>
      <c r="I12" s="5" t="n">
        <v>0</v>
      </c>
      <c r="J12" s="5" t="n">
        <v>3</v>
      </c>
      <c r="K12" s="5" t="n">
        <v>3</v>
      </c>
      <c r="L12" s="5" t="n">
        <v>0</v>
      </c>
      <c r="M12" s="5" t="n">
        <v>0</v>
      </c>
      <c r="N12" s="5" t="n">
        <v>0</v>
      </c>
      <c r="O12" s="5" t="n">
        <v>0</v>
      </c>
      <c r="P12" s="5" t="n">
        <v>0</v>
      </c>
      <c r="Q12" s="5" t="n">
        <v>0</v>
      </c>
      <c r="R12" s="5" t="n">
        <v>0</v>
      </c>
      <c r="S12" s="5" t="n">
        <v>4</v>
      </c>
      <c r="T12" s="5" t="n">
        <v>0</v>
      </c>
      <c r="U12" s="5" t="n">
        <v>0</v>
      </c>
      <c r="V12" s="5" t="n">
        <v>0</v>
      </c>
      <c r="W12" s="5" t="n">
        <v>4</v>
      </c>
      <c r="X12" s="5" t="n">
        <v>0</v>
      </c>
      <c r="Y12" s="5" t="n">
        <v>0</v>
      </c>
      <c r="Z12" s="5" t="n">
        <v>0</v>
      </c>
      <c r="AA12" s="5" t="n">
        <v>0</v>
      </c>
    </row>
    <row r="13" ht="30" customHeight="1" s="46">
      <c r="A13" s="5" t="n">
        <v>12</v>
      </c>
      <c r="B13" s="5" t="inlineStr">
        <is>
          <t>BRICKMAKERS AG</t>
        </is>
      </c>
      <c r="C13" s="5" t="inlineStr">
        <is>
          <t>profit_anchor</t>
        </is>
      </c>
      <c r="D13" s="5" t="n">
        <v>0</v>
      </c>
      <c r="E13" s="5" t="n">
        <v>0</v>
      </c>
      <c r="F13" s="5" t="n">
        <v>0</v>
      </c>
      <c r="G13" s="5" t="n">
        <v>0</v>
      </c>
      <c r="H13" s="5" t="n">
        <v>0</v>
      </c>
      <c r="I13" s="5" t="n">
        <v>5</v>
      </c>
      <c r="J13" s="5" t="n">
        <v>0</v>
      </c>
      <c r="K13" s="5" t="n">
        <v>0</v>
      </c>
      <c r="L13" s="5" t="n">
        <v>5</v>
      </c>
      <c r="M13" s="5" t="n">
        <v>0</v>
      </c>
      <c r="N13" s="5" t="n">
        <v>4</v>
      </c>
      <c r="O13" s="5" t="n">
        <v>4</v>
      </c>
      <c r="P13" s="5" t="n">
        <v>0</v>
      </c>
      <c r="Q13" s="5" t="n">
        <v>0</v>
      </c>
      <c r="R13" s="5" t="n">
        <v>0</v>
      </c>
      <c r="S13" s="5" t="n">
        <v>4</v>
      </c>
      <c r="T13" s="5" t="n">
        <v>0</v>
      </c>
      <c r="U13" s="5" t="n">
        <v>0</v>
      </c>
      <c r="V13" s="5" t="n">
        <v>0</v>
      </c>
      <c r="W13" s="5" t="n">
        <v>0</v>
      </c>
      <c r="X13" s="5" t="n">
        <v>0</v>
      </c>
      <c r="Y13" s="5" t="n">
        <v>0</v>
      </c>
      <c r="Z13" s="5" t="n">
        <v>0</v>
      </c>
      <c r="AA13" s="5" t="n">
        <v>0</v>
      </c>
    </row>
    <row r="14" ht="30" customHeight="1" s="46">
      <c r="A14" s="5" t="n">
        <v>13</v>
      </c>
      <c r="B14" s="5" t="inlineStr">
        <is>
          <t>Bundesagentur für Arbeit, Regionaldirektion Rheinland-Pfalz-Saarland</t>
        </is>
      </c>
      <c r="C14" s="5" t="inlineStr">
        <is>
          <t>implementation_anchor</t>
        </is>
      </c>
      <c r="D14" s="5" t="n">
        <v>0</v>
      </c>
      <c r="E14" s="5" t="n">
        <v>0</v>
      </c>
      <c r="F14" s="5" t="n">
        <v>0</v>
      </c>
      <c r="G14" s="5" t="n">
        <v>0</v>
      </c>
      <c r="H14" s="5" t="n">
        <v>0</v>
      </c>
      <c r="I14" s="5" t="n">
        <v>0</v>
      </c>
      <c r="J14" s="5" t="n">
        <v>5</v>
      </c>
      <c r="K14" s="5" t="n">
        <v>0</v>
      </c>
      <c r="L14" s="5" t="n">
        <v>0</v>
      </c>
      <c r="M14" s="5" t="n">
        <v>0</v>
      </c>
      <c r="N14" s="5" t="n">
        <v>0</v>
      </c>
      <c r="O14" s="5" t="n">
        <v>0</v>
      </c>
      <c r="P14" s="5" t="n">
        <v>0</v>
      </c>
      <c r="Q14" s="5" t="n">
        <v>0</v>
      </c>
      <c r="R14" s="5" t="n">
        <v>0</v>
      </c>
      <c r="S14" s="5" t="n">
        <v>0</v>
      </c>
      <c r="T14" s="5" t="n">
        <v>5</v>
      </c>
      <c r="U14" s="5" t="n">
        <v>0</v>
      </c>
      <c r="V14" s="5" t="n">
        <v>0</v>
      </c>
      <c r="W14" s="5" t="n">
        <v>0</v>
      </c>
      <c r="X14" s="5" t="n">
        <v>5</v>
      </c>
      <c r="Y14" s="5" t="n">
        <v>5</v>
      </c>
      <c r="Z14" s="5" t="n">
        <v>0</v>
      </c>
      <c r="AA14" s="5" t="n">
        <v>0</v>
      </c>
    </row>
    <row r="15" ht="30" customHeight="1" s="46">
      <c r="A15" s="5" t="n">
        <v>14</v>
      </c>
      <c r="B15" s="5" t="inlineStr">
        <is>
          <t>Caritasverband für die Diözese Speyer e.V.</t>
        </is>
      </c>
      <c r="C15" s="5" t="inlineStr">
        <is>
          <t>implementation_anchor</t>
        </is>
      </c>
      <c r="D15" s="5" t="n">
        <v>0</v>
      </c>
      <c r="E15" s="5" t="n">
        <v>0</v>
      </c>
      <c r="F15" s="5" t="n">
        <v>0</v>
      </c>
      <c r="G15" s="5" t="n">
        <v>0</v>
      </c>
      <c r="H15" s="5" t="n">
        <v>0</v>
      </c>
      <c r="I15" s="5" t="n">
        <v>0</v>
      </c>
      <c r="J15" s="5" t="n">
        <v>4</v>
      </c>
      <c r="K15" s="5" t="n">
        <v>0</v>
      </c>
      <c r="L15" s="5" t="n">
        <v>0</v>
      </c>
      <c r="M15" s="5" t="n">
        <v>0</v>
      </c>
      <c r="N15" s="5" t="n">
        <v>0</v>
      </c>
      <c r="O15" s="5" t="n">
        <v>0</v>
      </c>
      <c r="P15" s="5" t="n">
        <v>0</v>
      </c>
      <c r="Q15" s="5" t="n">
        <v>0</v>
      </c>
      <c r="R15" s="5" t="n">
        <v>0</v>
      </c>
      <c r="S15" s="5" t="n">
        <v>0</v>
      </c>
      <c r="T15" s="5" t="n">
        <v>0</v>
      </c>
      <c r="U15" s="5" t="n">
        <v>0</v>
      </c>
      <c r="V15" s="5" t="n">
        <v>0</v>
      </c>
      <c r="W15" s="5" t="n">
        <v>4</v>
      </c>
      <c r="X15" s="5" t="n">
        <v>5</v>
      </c>
      <c r="Y15" s="5" t="n">
        <v>5</v>
      </c>
      <c r="Z15" s="5" t="n">
        <v>4</v>
      </c>
      <c r="AA15" s="5" t="n">
        <v>0</v>
      </c>
    </row>
    <row r="16" ht="30" customHeight="1" s="46">
      <c r="A16" s="5" t="n">
        <v>15</v>
      </c>
      <c r="B16" s="5" t="inlineStr">
        <is>
          <t>Continental Automotive Technologies GmbH, Safety and Motion (SAM), Standort Rheinböllen</t>
        </is>
      </c>
      <c r="C16" s="5" t="inlineStr">
        <is>
          <t>profit_anchor</t>
        </is>
      </c>
      <c r="D16" s="5" t="n">
        <v>0</v>
      </c>
      <c r="E16" s="5" t="n">
        <v>0</v>
      </c>
      <c r="F16" s="5" t="n">
        <v>0</v>
      </c>
      <c r="G16" s="5" t="n">
        <v>0</v>
      </c>
      <c r="H16" s="5" t="n">
        <v>4</v>
      </c>
      <c r="I16" s="5" t="n">
        <v>0</v>
      </c>
      <c r="J16" s="5" t="n">
        <v>0</v>
      </c>
      <c r="K16" s="5" t="n">
        <v>0</v>
      </c>
      <c r="L16" s="5" t="n">
        <v>0</v>
      </c>
      <c r="M16" s="5" t="n">
        <v>5</v>
      </c>
      <c r="N16" s="5" t="n">
        <v>0</v>
      </c>
      <c r="O16" s="5" t="n">
        <v>0</v>
      </c>
      <c r="P16" s="5" t="n">
        <v>0</v>
      </c>
      <c r="Q16" s="5" t="n">
        <v>0</v>
      </c>
      <c r="R16" s="5" t="n">
        <v>0</v>
      </c>
      <c r="S16" s="5" t="n">
        <v>0</v>
      </c>
      <c r="T16" s="5" t="n">
        <v>0</v>
      </c>
      <c r="U16" s="5" t="n">
        <v>0</v>
      </c>
      <c r="V16" s="5" t="n">
        <v>0</v>
      </c>
      <c r="W16" s="5" t="n">
        <v>0</v>
      </c>
      <c r="X16" s="5" t="n">
        <v>0</v>
      </c>
      <c r="Y16" s="5" t="n">
        <v>0</v>
      </c>
      <c r="Z16" s="5" t="n">
        <v>0</v>
      </c>
      <c r="AA16" s="5" t="n">
        <v>0</v>
      </c>
    </row>
    <row r="17" ht="30" customHeight="1" s="46">
      <c r="A17" s="5" t="n">
        <v>16</v>
      </c>
      <c r="B17" s="5" t="inlineStr">
        <is>
          <t>Debeka Versicherungsgruppe</t>
        </is>
      </c>
      <c r="C17" s="5" t="inlineStr">
        <is>
          <t>profit_anchor</t>
        </is>
      </c>
      <c r="D17" s="5" t="n">
        <v>0</v>
      </c>
      <c r="E17" s="5" t="n">
        <v>0</v>
      </c>
      <c r="F17" s="5" t="n">
        <v>0</v>
      </c>
      <c r="G17" s="5" t="n">
        <v>0</v>
      </c>
      <c r="H17" s="5" t="n">
        <v>4</v>
      </c>
      <c r="I17" s="5" t="n">
        <v>0</v>
      </c>
      <c r="J17" s="5" t="n">
        <v>0</v>
      </c>
      <c r="K17" s="5" t="n">
        <v>4</v>
      </c>
      <c r="L17" s="5" t="n">
        <v>0</v>
      </c>
      <c r="M17" s="5" t="n">
        <v>0</v>
      </c>
      <c r="N17" s="5" t="n">
        <v>4</v>
      </c>
      <c r="O17" s="5" t="n">
        <v>0</v>
      </c>
      <c r="P17" s="5" t="n">
        <v>0</v>
      </c>
      <c r="Q17" s="5" t="n">
        <v>0</v>
      </c>
      <c r="R17" s="5" t="n">
        <v>0</v>
      </c>
      <c r="S17" s="5" t="n">
        <v>0</v>
      </c>
      <c r="T17" s="5" t="n">
        <v>0</v>
      </c>
      <c r="U17" s="5" t="n">
        <v>0</v>
      </c>
      <c r="V17" s="5" t="n">
        <v>0</v>
      </c>
      <c r="W17" s="5" t="n">
        <v>0</v>
      </c>
      <c r="X17" s="5" t="n">
        <v>0</v>
      </c>
      <c r="Y17" s="5" t="n">
        <v>0</v>
      </c>
      <c r="Z17" s="5" t="n">
        <v>0</v>
      </c>
      <c r="AA17" s="5" t="n">
        <v>0</v>
      </c>
    </row>
    <row r="18" ht="30" customHeight="1" s="46">
      <c r="A18" s="5" t="n">
        <v>17</v>
      </c>
      <c r="B18" s="5" t="inlineStr">
        <is>
          <t>Deutsche Bundesbank, Hauptverwaltung in Rheinland-Pfalz und dem Saarland</t>
        </is>
      </c>
      <c r="C18" s="5" t="inlineStr">
        <is>
          <t>context_actor</t>
        </is>
      </c>
      <c r="D18" s="5" t="n">
        <v>0</v>
      </c>
      <c r="E18" s="5" t="n">
        <v>0</v>
      </c>
      <c r="F18" s="5" t="n">
        <v>0</v>
      </c>
      <c r="G18" s="5" t="n">
        <v>0</v>
      </c>
      <c r="H18" s="5" t="n">
        <v>0</v>
      </c>
      <c r="I18" s="5" t="n">
        <v>0</v>
      </c>
      <c r="J18" s="5" t="n">
        <v>0</v>
      </c>
      <c r="K18" s="5" t="n">
        <v>0</v>
      </c>
      <c r="L18" s="5" t="n">
        <v>0</v>
      </c>
      <c r="M18" s="5" t="n">
        <v>0</v>
      </c>
      <c r="N18" s="5" t="n">
        <v>4</v>
      </c>
      <c r="O18" s="5" t="n">
        <v>0</v>
      </c>
      <c r="P18" s="5" t="n">
        <v>0</v>
      </c>
      <c r="Q18" s="5" t="n">
        <v>0</v>
      </c>
      <c r="R18" s="5" t="n">
        <v>0</v>
      </c>
      <c r="S18" s="5" t="n">
        <v>0</v>
      </c>
      <c r="T18" s="5" t="n">
        <v>0</v>
      </c>
      <c r="U18" s="5" t="n">
        <v>0</v>
      </c>
      <c r="V18" s="5" t="n">
        <v>0</v>
      </c>
      <c r="W18" s="5" t="n">
        <v>0</v>
      </c>
      <c r="X18" s="5" t="n">
        <v>0</v>
      </c>
      <c r="Y18" s="5" t="n">
        <v>0</v>
      </c>
      <c r="Z18" s="5" t="n">
        <v>0</v>
      </c>
      <c r="AA18" s="5" t="n">
        <v>0</v>
      </c>
    </row>
    <row r="19" ht="30" customHeight="1" s="46">
      <c r="A19" s="5" t="n">
        <v>18</v>
      </c>
      <c r="B19" s="5" t="inlineStr">
        <is>
          <t>Deutsche Telekom AG</t>
        </is>
      </c>
      <c r="C19" s="5" t="inlineStr">
        <is>
          <t>profit_anchor</t>
        </is>
      </c>
      <c r="D19" s="5" t="n">
        <v>0</v>
      </c>
      <c r="E19" s="5" t="n">
        <v>0</v>
      </c>
      <c r="F19" s="5" t="n">
        <v>0</v>
      </c>
      <c r="G19" s="5" t="n">
        <v>0</v>
      </c>
      <c r="H19" s="5" t="n">
        <v>0</v>
      </c>
      <c r="I19" s="5" t="n">
        <v>5</v>
      </c>
      <c r="J19" s="5" t="n">
        <v>0</v>
      </c>
      <c r="K19" s="5" t="n">
        <v>0</v>
      </c>
      <c r="L19" s="5" t="n">
        <v>5</v>
      </c>
      <c r="M19" s="5" t="n">
        <v>4</v>
      </c>
      <c r="N19" s="5" t="n">
        <v>5</v>
      </c>
      <c r="O19" s="5" t="n">
        <v>0</v>
      </c>
      <c r="P19" s="5" t="n">
        <v>0</v>
      </c>
      <c r="Q19" s="5" t="n">
        <v>4</v>
      </c>
      <c r="R19" s="5" t="n">
        <v>0</v>
      </c>
      <c r="S19" s="5" t="n">
        <v>0</v>
      </c>
      <c r="T19" s="5" t="n">
        <v>0</v>
      </c>
      <c r="U19" s="5" t="n">
        <v>0</v>
      </c>
      <c r="V19" s="5" t="n">
        <v>0</v>
      </c>
      <c r="W19" s="5" t="n">
        <v>0</v>
      </c>
      <c r="X19" s="5" t="n">
        <v>0</v>
      </c>
      <c r="Y19" s="5" t="n">
        <v>0</v>
      </c>
      <c r="Z19" s="5" t="n">
        <v>0</v>
      </c>
      <c r="AA19" s="5" t="n">
        <v>0</v>
      </c>
    </row>
    <row r="20" ht="30" customHeight="1" s="46">
      <c r="A20" s="5" t="n">
        <v>19</v>
      </c>
      <c r="B20" s="5" t="inlineStr">
        <is>
          <t>Deutsche Universität für Verwaltungswissenschaften Speyer</t>
        </is>
      </c>
      <c r="C20" s="5" t="inlineStr">
        <is>
          <t>academic_support</t>
        </is>
      </c>
      <c r="D20" s="5" t="n">
        <v>0</v>
      </c>
      <c r="E20" s="5" t="n">
        <v>0</v>
      </c>
      <c r="F20" s="5" t="n">
        <v>0</v>
      </c>
      <c r="G20" s="5" t="n">
        <v>0</v>
      </c>
      <c r="H20" s="5" t="n">
        <v>0</v>
      </c>
      <c r="I20" s="5" t="n">
        <v>0</v>
      </c>
      <c r="J20" s="5" t="n">
        <v>0</v>
      </c>
      <c r="K20" s="5" t="n">
        <v>0</v>
      </c>
      <c r="L20" s="5" t="n">
        <v>5</v>
      </c>
      <c r="M20" s="5" t="n">
        <v>0</v>
      </c>
      <c r="N20" s="5" t="n">
        <v>0</v>
      </c>
      <c r="O20" s="5" t="n">
        <v>4</v>
      </c>
      <c r="P20" s="5" t="n">
        <v>0</v>
      </c>
      <c r="Q20" s="5" t="n">
        <v>0</v>
      </c>
      <c r="R20" s="5" t="n">
        <v>0</v>
      </c>
      <c r="S20" s="5" t="n">
        <v>0</v>
      </c>
      <c r="T20" s="5" t="n">
        <v>0</v>
      </c>
      <c r="U20" s="5" t="n">
        <v>5</v>
      </c>
      <c r="V20" s="5" t="n">
        <v>5</v>
      </c>
      <c r="W20" s="5" t="n">
        <v>0</v>
      </c>
      <c r="X20" s="5" t="n">
        <v>0</v>
      </c>
      <c r="Y20" s="5" t="n">
        <v>0</v>
      </c>
      <c r="Z20" s="5" t="n">
        <v>5</v>
      </c>
      <c r="AA20" s="5" t="n">
        <v>0</v>
      </c>
    </row>
    <row r="21" ht="30" customHeight="1" s="46">
      <c r="A21" s="5" t="n">
        <v>20</v>
      </c>
      <c r="B21" s="5" t="inlineStr">
        <is>
          <t>Deutscher Gewerkschaftsbund (DGB) Rheinland-Pfalz/Saarland</t>
        </is>
      </c>
      <c r="C21" s="5" t="inlineStr">
        <is>
          <t>context_actor</t>
        </is>
      </c>
      <c r="D21" s="5" t="n">
        <v>0</v>
      </c>
      <c r="E21" s="5" t="n">
        <v>0</v>
      </c>
      <c r="F21" s="5" t="n">
        <v>0</v>
      </c>
      <c r="G21" s="5" t="n">
        <v>0</v>
      </c>
      <c r="H21" s="5" t="n">
        <v>0</v>
      </c>
      <c r="I21" s="5" t="n">
        <v>0</v>
      </c>
      <c r="J21" s="5" t="n">
        <v>5</v>
      </c>
      <c r="K21" s="5" t="n">
        <v>0</v>
      </c>
      <c r="L21" s="5" t="n">
        <v>0</v>
      </c>
      <c r="M21" s="5" t="n">
        <v>0</v>
      </c>
      <c r="N21" s="5" t="n">
        <v>0</v>
      </c>
      <c r="O21" s="5" t="n">
        <v>0</v>
      </c>
      <c r="P21" s="5" t="n">
        <v>0</v>
      </c>
      <c r="Q21" s="5" t="n">
        <v>0</v>
      </c>
      <c r="R21" s="5" t="n">
        <v>0</v>
      </c>
      <c r="S21" s="5" t="n">
        <v>0</v>
      </c>
      <c r="T21" s="5" t="n">
        <v>4</v>
      </c>
      <c r="U21" s="5" t="n">
        <v>0</v>
      </c>
      <c r="V21" s="5" t="n">
        <v>0</v>
      </c>
      <c r="W21" s="5" t="n">
        <v>0</v>
      </c>
      <c r="X21" s="5" t="n">
        <v>4</v>
      </c>
      <c r="Y21" s="5" t="n">
        <v>4</v>
      </c>
      <c r="Z21" s="5" t="n">
        <v>0</v>
      </c>
      <c r="AA21" s="5" t="n">
        <v>0</v>
      </c>
    </row>
    <row r="22" ht="30" customHeight="1" s="46">
      <c r="A22" s="5" t="n">
        <v>21</v>
      </c>
      <c r="B22" s="5" t="inlineStr">
        <is>
          <t>Duale Hochschule Rheinland-Pfalz</t>
        </is>
      </c>
      <c r="C22" s="5" t="inlineStr">
        <is>
          <t>academic_support</t>
        </is>
      </c>
      <c r="D22" s="5" t="n">
        <v>0</v>
      </c>
      <c r="E22" s="5" t="n">
        <v>0</v>
      </c>
      <c r="F22" s="5" t="n">
        <v>0</v>
      </c>
      <c r="G22" s="5" t="n">
        <v>0</v>
      </c>
      <c r="H22" s="5" t="n">
        <v>0</v>
      </c>
      <c r="I22" s="5" t="n">
        <v>0</v>
      </c>
      <c r="J22" s="5" t="n">
        <v>5</v>
      </c>
      <c r="K22" s="5" t="n">
        <v>0</v>
      </c>
      <c r="L22" s="5" t="n">
        <v>0</v>
      </c>
      <c r="M22" s="5" t="n">
        <v>0</v>
      </c>
      <c r="N22" s="5" t="n">
        <v>0</v>
      </c>
      <c r="O22" s="5" t="n">
        <v>0</v>
      </c>
      <c r="P22" s="5" t="n">
        <v>0</v>
      </c>
      <c r="Q22" s="5" t="n">
        <v>0</v>
      </c>
      <c r="R22" s="5" t="n">
        <v>0</v>
      </c>
      <c r="S22" s="5" t="n">
        <v>4</v>
      </c>
      <c r="T22" s="5" t="n">
        <v>5</v>
      </c>
      <c r="U22" s="5" t="n">
        <v>0</v>
      </c>
      <c r="V22" s="5" t="n">
        <v>0</v>
      </c>
      <c r="W22" s="5" t="n">
        <v>0</v>
      </c>
      <c r="X22" s="5" t="n">
        <v>4</v>
      </c>
      <c r="Y22" s="5" t="n">
        <v>0</v>
      </c>
      <c r="Z22" s="5" t="n">
        <v>0</v>
      </c>
      <c r="AA22" s="5" t="n">
        <v>0</v>
      </c>
    </row>
    <row r="23" ht="30" customHeight="1" s="46">
      <c r="A23" s="5" t="n">
        <v>22</v>
      </c>
      <c r="B23" s="5" t="inlineStr">
        <is>
          <t>Eckes-Granini Deutschland GmbH</t>
        </is>
      </c>
      <c r="C23" s="5" t="inlineStr">
        <is>
          <t>profit_anchor</t>
        </is>
      </c>
      <c r="D23" s="5" t="n">
        <v>0</v>
      </c>
      <c r="E23" s="5" t="n">
        <v>0</v>
      </c>
      <c r="F23" s="5" t="n">
        <v>0</v>
      </c>
      <c r="G23" s="5" t="n">
        <v>0</v>
      </c>
      <c r="H23" s="5" t="n">
        <v>4</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row>
    <row r="24" ht="30" customHeight="1" s="46">
      <c r="A24" s="5" t="n">
        <v>23</v>
      </c>
      <c r="B24" s="5" t="inlineStr">
        <is>
          <t>Empolis Information Management GmbH</t>
        </is>
      </c>
      <c r="C24" s="5" t="inlineStr">
        <is>
          <t>profit_anchor</t>
        </is>
      </c>
      <c r="D24" s="5" t="n">
        <v>0</v>
      </c>
      <c r="E24" s="5" t="n">
        <v>0</v>
      </c>
      <c r="F24" s="5" t="n">
        <v>0</v>
      </c>
      <c r="G24" s="5" t="n">
        <v>0</v>
      </c>
      <c r="H24" s="5" t="n">
        <v>0</v>
      </c>
      <c r="I24" s="5" t="n">
        <v>5</v>
      </c>
      <c r="J24" s="5" t="n">
        <v>0</v>
      </c>
      <c r="K24" s="5" t="n">
        <v>0</v>
      </c>
      <c r="L24" s="5" t="n">
        <v>5</v>
      </c>
      <c r="M24" s="5" t="n">
        <v>0</v>
      </c>
      <c r="N24" s="5" t="n">
        <v>4</v>
      </c>
      <c r="O24" s="5" t="n">
        <v>4</v>
      </c>
      <c r="P24" s="5" t="n">
        <v>0</v>
      </c>
      <c r="Q24" s="5" t="n">
        <v>0</v>
      </c>
      <c r="R24" s="5" t="n">
        <v>0</v>
      </c>
      <c r="S24" s="5" t="n">
        <v>0</v>
      </c>
      <c r="T24" s="5" t="n">
        <v>0</v>
      </c>
      <c r="U24" s="5" t="n">
        <v>0</v>
      </c>
      <c r="V24" s="5" t="n">
        <v>5</v>
      </c>
      <c r="W24" s="5" t="n">
        <v>0</v>
      </c>
      <c r="X24" s="5" t="n">
        <v>0</v>
      </c>
      <c r="Y24" s="5" t="n">
        <v>0</v>
      </c>
      <c r="Z24" s="5" t="n">
        <v>0</v>
      </c>
      <c r="AA24" s="5" t="n">
        <v>0</v>
      </c>
    </row>
    <row r="25" ht="30" customHeight="1" s="46">
      <c r="A25" s="5" t="n">
        <v>24</v>
      </c>
      <c r="B25" s="5" t="inlineStr">
        <is>
          <t>ENTEGA Plus GmbH</t>
        </is>
      </c>
      <c r="C25" s="5" t="inlineStr">
        <is>
          <t>profit_anchor</t>
        </is>
      </c>
      <c r="D25" s="5" t="n">
        <v>5</v>
      </c>
      <c r="E25" s="5" t="n">
        <v>0</v>
      </c>
      <c r="F25" s="5" t="n">
        <v>3</v>
      </c>
      <c r="G25" s="5" t="n">
        <v>0</v>
      </c>
      <c r="H25" s="5" t="n">
        <v>0</v>
      </c>
      <c r="I25" s="5" t="n">
        <v>0</v>
      </c>
      <c r="J25" s="5" t="n">
        <v>0</v>
      </c>
      <c r="K25" s="5" t="n">
        <v>0</v>
      </c>
      <c r="L25" s="5" t="n">
        <v>0</v>
      </c>
      <c r="M25" s="5" t="n">
        <v>0</v>
      </c>
      <c r="N25" s="5" t="n">
        <v>5</v>
      </c>
      <c r="O25" s="5" t="n">
        <v>0</v>
      </c>
      <c r="P25" s="5" t="n">
        <v>0</v>
      </c>
      <c r="Q25" s="5" t="n">
        <v>0</v>
      </c>
      <c r="R25" s="5" t="n">
        <v>0</v>
      </c>
      <c r="S25" s="5" t="n">
        <v>0</v>
      </c>
      <c r="T25" s="5" t="n">
        <v>0</v>
      </c>
      <c r="U25" s="5" t="n">
        <v>0</v>
      </c>
      <c r="V25" s="5" t="n">
        <v>0</v>
      </c>
      <c r="W25" s="5" t="n">
        <v>0</v>
      </c>
      <c r="X25" s="5" t="n">
        <v>0</v>
      </c>
      <c r="Y25" s="5" t="n">
        <v>0</v>
      </c>
      <c r="Z25" s="5" t="n">
        <v>0</v>
      </c>
      <c r="AA25" s="5" t="n">
        <v>0</v>
      </c>
    </row>
    <row r="26" ht="30" customHeight="1" s="46">
      <c r="A26" s="5" t="n">
        <v>25</v>
      </c>
      <c r="B26" s="5" t="inlineStr">
        <is>
          <t>Entwicklungsagentur Rheinland-Pfalz e.V.</t>
        </is>
      </c>
      <c r="C26" s="5" t="inlineStr">
        <is>
          <t>implementation_anchor</t>
        </is>
      </c>
      <c r="D26" s="5" t="n">
        <v>0</v>
      </c>
      <c r="E26" s="5" t="n">
        <v>0</v>
      </c>
      <c r="F26" s="5" t="n">
        <v>0</v>
      </c>
      <c r="G26" s="5" t="n">
        <v>5</v>
      </c>
      <c r="H26" s="5" t="n">
        <v>0</v>
      </c>
      <c r="I26" s="5" t="n">
        <v>0</v>
      </c>
      <c r="J26" s="5" t="n">
        <v>0</v>
      </c>
      <c r="K26" s="5" t="n">
        <v>0</v>
      </c>
      <c r="L26" s="5" t="n">
        <v>0</v>
      </c>
      <c r="M26" s="5" t="n">
        <v>0</v>
      </c>
      <c r="N26" s="5" t="n">
        <v>0</v>
      </c>
      <c r="O26" s="5" t="n">
        <v>3</v>
      </c>
      <c r="P26" s="5" t="n">
        <v>5</v>
      </c>
      <c r="Q26" s="5" t="n">
        <v>3</v>
      </c>
      <c r="R26" s="5" t="n">
        <v>0</v>
      </c>
      <c r="S26" s="5" t="n">
        <v>0</v>
      </c>
      <c r="T26" s="5" t="n">
        <v>0</v>
      </c>
      <c r="U26" s="5" t="n">
        <v>0</v>
      </c>
      <c r="V26" s="5" t="n">
        <v>0</v>
      </c>
      <c r="W26" s="5" t="n">
        <v>0</v>
      </c>
      <c r="X26" s="5" t="n">
        <v>0</v>
      </c>
      <c r="Y26" s="5" t="n">
        <v>0</v>
      </c>
      <c r="Z26" s="5" t="n">
        <v>3</v>
      </c>
      <c r="AA26" s="5" t="n">
        <v>0</v>
      </c>
    </row>
    <row r="27" ht="30" customHeight="1" s="46">
      <c r="A27" s="5" t="n">
        <v>26</v>
      </c>
      <c r="B27" s="5" t="inlineStr">
        <is>
          <t>Ernst &amp; Young GmbH</t>
        </is>
      </c>
      <c r="C27" s="5" t="inlineStr">
        <is>
          <t>profit_anchor</t>
        </is>
      </c>
      <c r="D27" s="5" t="n">
        <v>0</v>
      </c>
      <c r="E27" s="5" t="n">
        <v>0</v>
      </c>
      <c r="F27" s="5" t="n">
        <v>0</v>
      </c>
      <c r="G27" s="5" t="n">
        <v>0</v>
      </c>
      <c r="H27" s="5" t="n">
        <v>4</v>
      </c>
      <c r="I27" s="5" t="n">
        <v>0</v>
      </c>
      <c r="J27" s="5" t="n">
        <v>0</v>
      </c>
      <c r="K27" s="5" t="n">
        <v>4</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row>
    <row r="28" ht="30" customHeight="1" s="46">
      <c r="A28" s="5" t="n">
        <v>27</v>
      </c>
      <c r="B28" s="5" t="inlineStr">
        <is>
          <t>Erster FC Kaiserslautern GmbH &amp; Co. KGaA</t>
        </is>
      </c>
      <c r="C28" s="5" t="inlineStr">
        <is>
          <t>profit_anchor</t>
        </is>
      </c>
      <c r="D28" s="5" t="n">
        <v>0</v>
      </c>
      <c r="E28" s="5" t="n">
        <v>0</v>
      </c>
      <c r="F28" s="5" t="n">
        <v>0</v>
      </c>
      <c r="G28" s="5" t="n">
        <v>0</v>
      </c>
      <c r="H28" s="5" t="n">
        <v>0</v>
      </c>
      <c r="I28" s="5" t="n">
        <v>0</v>
      </c>
      <c r="J28" s="5" t="n">
        <v>0</v>
      </c>
      <c r="K28" s="5" t="n">
        <v>0</v>
      </c>
      <c r="L28" s="5" t="n">
        <v>0</v>
      </c>
      <c r="M28" s="5" t="n">
        <v>0</v>
      </c>
      <c r="N28" s="5" t="n">
        <v>0</v>
      </c>
      <c r="O28" s="5" t="n">
        <v>0</v>
      </c>
      <c r="P28" s="5" t="n">
        <v>4</v>
      </c>
      <c r="Q28" s="5" t="n">
        <v>3</v>
      </c>
      <c r="R28" s="5" t="n">
        <v>0</v>
      </c>
      <c r="S28" s="5" t="n">
        <v>0</v>
      </c>
      <c r="T28" s="5" t="n">
        <v>0</v>
      </c>
      <c r="U28" s="5" t="n">
        <v>0</v>
      </c>
      <c r="V28" s="5" t="n">
        <v>0</v>
      </c>
      <c r="W28" s="5" t="n">
        <v>0</v>
      </c>
      <c r="X28" s="5" t="n">
        <v>0</v>
      </c>
      <c r="Y28" s="5" t="n">
        <v>0</v>
      </c>
      <c r="Z28" s="5" t="n">
        <v>3</v>
      </c>
      <c r="AA28" s="5" t="n">
        <v>5</v>
      </c>
    </row>
    <row r="29" ht="30" customHeight="1" s="46">
      <c r="A29" s="5" t="n">
        <v>28</v>
      </c>
      <c r="B29" s="5" t="inlineStr">
        <is>
          <t>Evangelische Kirche der Pfalz</t>
        </is>
      </c>
      <c r="C29" s="5" t="inlineStr">
        <is>
          <t>context_actor</t>
        </is>
      </c>
      <c r="D29" s="5" t="n">
        <v>0</v>
      </c>
      <c r="E29" s="5" t="n">
        <v>0</v>
      </c>
      <c r="F29" s="5" t="n">
        <v>0</v>
      </c>
      <c r="G29" s="5" t="n">
        <v>0</v>
      </c>
      <c r="H29" s="5" t="n">
        <v>0</v>
      </c>
      <c r="I29" s="5" t="n">
        <v>0</v>
      </c>
      <c r="J29" s="5" t="n">
        <v>0</v>
      </c>
      <c r="K29" s="5" t="n">
        <v>0</v>
      </c>
      <c r="L29" s="5" t="n">
        <v>0</v>
      </c>
      <c r="M29" s="5" t="n">
        <v>0</v>
      </c>
      <c r="N29" s="5" t="n">
        <v>0</v>
      </c>
      <c r="O29" s="5" t="n">
        <v>0</v>
      </c>
      <c r="P29" s="5" t="n">
        <v>4</v>
      </c>
      <c r="Q29" s="5" t="n">
        <v>0</v>
      </c>
      <c r="R29" s="5" t="n">
        <v>3</v>
      </c>
      <c r="S29" s="5" t="n">
        <v>0</v>
      </c>
      <c r="T29" s="5" t="n">
        <v>0</v>
      </c>
      <c r="U29" s="5" t="n">
        <v>5</v>
      </c>
      <c r="V29" s="5" t="n">
        <v>0</v>
      </c>
      <c r="W29" s="5" t="n">
        <v>0</v>
      </c>
      <c r="X29" s="5" t="n">
        <v>0</v>
      </c>
      <c r="Y29" s="5" t="n">
        <v>4</v>
      </c>
      <c r="Z29" s="5" t="n">
        <v>5</v>
      </c>
      <c r="AA29" s="5" t="n">
        <v>0</v>
      </c>
    </row>
    <row r="30" ht="30" customHeight="1" s="46">
      <c r="A30" s="5" t="n">
        <v>29</v>
      </c>
      <c r="B30" s="5" t="inlineStr">
        <is>
          <t>Fachingen Heil- und Mineralbrunnen GmbH</t>
        </is>
      </c>
      <c r="C30" s="5" t="inlineStr">
        <is>
          <t>profit_anchor</t>
        </is>
      </c>
      <c r="D30" s="5" t="n">
        <v>0</v>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row>
    <row r="31" ht="30" customHeight="1" s="46">
      <c r="A31" s="5" t="n">
        <v>30</v>
      </c>
      <c r="B31" s="5" t="inlineStr">
        <is>
          <t>Gerolsteiner Brunnen GmbH &amp; Co. KG</t>
        </is>
      </c>
      <c r="C31" s="5" t="inlineStr">
        <is>
          <t>profit_anchor</t>
        </is>
      </c>
      <c r="D31" s="5" t="n">
        <v>0</v>
      </c>
      <c r="E31" s="5" t="n">
        <v>0</v>
      </c>
      <c r="F31" s="5" t="n">
        <v>0</v>
      </c>
      <c r="G31" s="5" t="n">
        <v>0</v>
      </c>
      <c r="H31" s="5" t="n">
        <v>0</v>
      </c>
      <c r="I31" s="5" t="n">
        <v>0</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row>
    <row r="32" ht="30" customHeight="1" s="46">
      <c r="A32" s="5" t="n">
        <v>31</v>
      </c>
      <c r="B32" s="5" t="inlineStr">
        <is>
          <t>GLOBUS Markthallen Holding GmbH &amp; Co. KG</t>
        </is>
      </c>
      <c r="C32" s="5" t="inlineStr">
        <is>
          <t>profit_anchor</t>
        </is>
      </c>
      <c r="D32" s="5" t="n">
        <v>0</v>
      </c>
      <c r="E32" s="5" t="n">
        <v>0</v>
      </c>
      <c r="F32" s="5" t="n">
        <v>0</v>
      </c>
      <c r="G32" s="5" t="n">
        <v>0</v>
      </c>
      <c r="H32" s="5" t="n">
        <v>4</v>
      </c>
      <c r="I32" s="5" t="n">
        <v>0</v>
      </c>
      <c r="J32" s="5" t="n">
        <v>3</v>
      </c>
      <c r="K32" s="5" t="n">
        <v>0</v>
      </c>
      <c r="L32" s="5" t="n">
        <v>0</v>
      </c>
      <c r="M32" s="5" t="n">
        <v>0</v>
      </c>
      <c r="N32" s="5" t="n">
        <v>0</v>
      </c>
      <c r="O32" s="5" t="n">
        <v>0</v>
      </c>
      <c r="P32" s="5" t="n">
        <v>0</v>
      </c>
      <c r="Q32" s="5" t="n">
        <v>0</v>
      </c>
      <c r="R32" s="5" t="n">
        <v>0</v>
      </c>
      <c r="S32" s="5" t="n">
        <v>0</v>
      </c>
      <c r="T32" s="5" t="n">
        <v>3</v>
      </c>
      <c r="U32" s="5" t="n">
        <v>0</v>
      </c>
      <c r="V32" s="5" t="n">
        <v>0</v>
      </c>
      <c r="W32" s="5" t="n">
        <v>0</v>
      </c>
      <c r="X32" s="5" t="n">
        <v>0</v>
      </c>
      <c r="Y32" s="5" t="n">
        <v>3</v>
      </c>
      <c r="Z32" s="5" t="n">
        <v>0</v>
      </c>
      <c r="AA32" s="5" t="n">
        <v>3</v>
      </c>
    </row>
    <row r="33" ht="30" customHeight="1" s="46">
      <c r="A33" s="5" t="n">
        <v>32</v>
      </c>
      <c r="B33" s="5" t="inlineStr">
        <is>
          <t>Handwerkskammern Rheinland-Pfalz</t>
        </is>
      </c>
      <c r="C33" s="5" t="inlineStr">
        <is>
          <t>implementation_anchor</t>
        </is>
      </c>
      <c r="D33" s="5" t="n">
        <v>0</v>
      </c>
      <c r="E33" s="5" t="n">
        <v>0</v>
      </c>
      <c r="F33" s="5" t="n">
        <v>0</v>
      </c>
      <c r="G33" s="5" t="n">
        <v>0</v>
      </c>
      <c r="H33" s="5" t="n">
        <v>0</v>
      </c>
      <c r="I33" s="5" t="n">
        <v>4</v>
      </c>
      <c r="J33" s="5" t="n">
        <v>5</v>
      </c>
      <c r="K33" s="5" t="n">
        <v>3</v>
      </c>
      <c r="L33" s="5" t="n">
        <v>0</v>
      </c>
      <c r="M33" s="5" t="n">
        <v>0</v>
      </c>
      <c r="N33" s="5" t="n">
        <v>0</v>
      </c>
      <c r="O33" s="5" t="n">
        <v>0</v>
      </c>
      <c r="P33" s="5" t="n">
        <v>0</v>
      </c>
      <c r="Q33" s="5" t="n">
        <v>0</v>
      </c>
      <c r="R33" s="5" t="n">
        <v>0</v>
      </c>
      <c r="S33" s="5" t="n">
        <v>4</v>
      </c>
      <c r="T33" s="5" t="n">
        <v>5</v>
      </c>
      <c r="U33" s="5" t="n">
        <v>0</v>
      </c>
      <c r="V33" s="5" t="n">
        <v>0</v>
      </c>
      <c r="W33" s="5" t="n">
        <v>0</v>
      </c>
      <c r="X33" s="5" t="n">
        <v>0</v>
      </c>
      <c r="Y33" s="5" t="n">
        <v>0</v>
      </c>
      <c r="Z33" s="5" t="n">
        <v>0</v>
      </c>
      <c r="AA33" s="5" t="n">
        <v>0</v>
      </c>
    </row>
    <row r="34" ht="30" customHeight="1" s="46">
      <c r="A34" s="5" t="n">
        <v>33</v>
      </c>
      <c r="B34" s="5" t="inlineStr">
        <is>
          <t>Heberger Gruppe</t>
        </is>
      </c>
      <c r="C34" s="5" t="inlineStr">
        <is>
          <t>context_actor</t>
        </is>
      </c>
      <c r="D34" s="5" t="n">
        <v>0</v>
      </c>
      <c r="E34" s="5" t="n">
        <v>4</v>
      </c>
      <c r="F34" s="5" t="n">
        <v>0</v>
      </c>
      <c r="G34" s="5" t="n">
        <v>0</v>
      </c>
      <c r="H34" s="5" t="n">
        <v>0</v>
      </c>
      <c r="I34" s="5" t="n">
        <v>0</v>
      </c>
      <c r="J34" s="5" t="n">
        <v>0</v>
      </c>
      <c r="K34" s="5" t="n">
        <v>0</v>
      </c>
      <c r="L34" s="5" t="n">
        <v>0</v>
      </c>
      <c r="M34" s="5" t="n">
        <v>0</v>
      </c>
      <c r="N34" s="5" t="n">
        <v>0</v>
      </c>
      <c r="O34" s="5" t="n">
        <v>3</v>
      </c>
      <c r="P34" s="5" t="n">
        <v>0</v>
      </c>
      <c r="Q34" s="5" t="n">
        <v>0</v>
      </c>
      <c r="R34" s="5" t="n">
        <v>0</v>
      </c>
      <c r="S34" s="5" t="n">
        <v>0</v>
      </c>
      <c r="T34" s="5" t="n">
        <v>0</v>
      </c>
      <c r="U34" s="5" t="n">
        <v>0</v>
      </c>
      <c r="V34" s="5" t="n">
        <v>0</v>
      </c>
      <c r="W34" s="5" t="n">
        <v>0</v>
      </c>
      <c r="X34" s="5" t="n">
        <v>0</v>
      </c>
      <c r="Y34" s="5" t="n">
        <v>0</v>
      </c>
      <c r="Z34" s="5" t="n">
        <v>0</v>
      </c>
      <c r="AA34" s="5" t="n">
        <v>0</v>
      </c>
    </row>
    <row r="35" ht="30" customHeight="1" s="46">
      <c r="A35" s="5" t="n">
        <v>34</v>
      </c>
      <c r="B35" s="5" t="inlineStr">
        <is>
          <t>Hochschule für Gesellschaftsgestaltung (HfGG)</t>
        </is>
      </c>
      <c r="C35" s="5" t="inlineStr">
        <is>
          <t>academic_support</t>
        </is>
      </c>
      <c r="D35" s="5" t="n">
        <v>0</v>
      </c>
      <c r="E35" s="5" t="n">
        <v>0</v>
      </c>
      <c r="F35" s="5" t="n">
        <v>0</v>
      </c>
      <c r="G35" s="5" t="n">
        <v>4</v>
      </c>
      <c r="H35" s="5" t="n">
        <v>0</v>
      </c>
      <c r="I35" s="5" t="n">
        <v>0</v>
      </c>
      <c r="J35" s="5" t="n">
        <v>0</v>
      </c>
      <c r="K35" s="5" t="n">
        <v>0</v>
      </c>
      <c r="L35" s="5" t="n">
        <v>0</v>
      </c>
      <c r="M35" s="5" t="n">
        <v>0</v>
      </c>
      <c r="N35" s="5" t="n">
        <v>0</v>
      </c>
      <c r="O35" s="5" t="n">
        <v>0</v>
      </c>
      <c r="P35" s="5" t="n">
        <v>0</v>
      </c>
      <c r="Q35" s="5" t="n">
        <v>0</v>
      </c>
      <c r="R35" s="5" t="n">
        <v>0</v>
      </c>
      <c r="S35" s="5" t="n">
        <v>3</v>
      </c>
      <c r="T35" s="5" t="n">
        <v>3</v>
      </c>
      <c r="U35" s="5" t="n">
        <v>5</v>
      </c>
      <c r="V35" s="5" t="n">
        <v>0</v>
      </c>
      <c r="W35" s="5" t="n">
        <v>0</v>
      </c>
      <c r="X35" s="5" t="n">
        <v>0</v>
      </c>
      <c r="Y35" s="5" t="n">
        <v>4</v>
      </c>
      <c r="Z35" s="5" t="n">
        <v>4</v>
      </c>
      <c r="AA35" s="5" t="n">
        <v>0</v>
      </c>
    </row>
    <row r="36" ht="30" customHeight="1" s="46">
      <c r="A36" s="5" t="n">
        <v>35</v>
      </c>
      <c r="B36" s="5" t="inlineStr">
        <is>
          <t>Hochschule für Musik Mainz</t>
        </is>
      </c>
      <c r="C36" s="5" t="inlineStr">
        <is>
          <t>academic_support</t>
        </is>
      </c>
      <c r="D36" s="5" t="n">
        <v>0</v>
      </c>
      <c r="E36" s="5" t="n">
        <v>0</v>
      </c>
      <c r="F36" s="5" t="n">
        <v>0</v>
      </c>
      <c r="G36" s="5" t="n">
        <v>0</v>
      </c>
      <c r="H36" s="5" t="n">
        <v>0</v>
      </c>
      <c r="I36" s="5" t="n">
        <v>0</v>
      </c>
      <c r="J36" s="5" t="n">
        <v>0</v>
      </c>
      <c r="K36" s="5" t="n">
        <v>0</v>
      </c>
      <c r="L36" s="5" t="n">
        <v>0</v>
      </c>
      <c r="M36" s="5" t="n">
        <v>0</v>
      </c>
      <c r="N36" s="5" t="n">
        <v>0</v>
      </c>
      <c r="O36" s="5" t="n">
        <v>0</v>
      </c>
      <c r="P36" s="5" t="n">
        <v>4</v>
      </c>
      <c r="Q36" s="5" t="n">
        <v>3</v>
      </c>
      <c r="R36" s="5" t="n">
        <v>5</v>
      </c>
      <c r="S36" s="5" t="n">
        <v>0</v>
      </c>
      <c r="T36" s="5" t="n">
        <v>3</v>
      </c>
      <c r="U36" s="5" t="n">
        <v>3</v>
      </c>
      <c r="V36" s="5" t="n">
        <v>0</v>
      </c>
      <c r="W36" s="5" t="n">
        <v>0</v>
      </c>
      <c r="X36" s="5" t="n">
        <v>0</v>
      </c>
      <c r="Y36" s="5" t="n">
        <v>0</v>
      </c>
      <c r="Z36" s="5" t="n">
        <v>0</v>
      </c>
      <c r="AA36" s="5" t="n">
        <v>0</v>
      </c>
    </row>
    <row r="37" ht="30" customHeight="1" s="46">
      <c r="A37" s="5" t="n">
        <v>36</v>
      </c>
      <c r="B37" s="5" t="inlineStr">
        <is>
          <t>Hochschule für Wirtschaft und Gesellschaft Ludwigshafen</t>
        </is>
      </c>
      <c r="C37" s="5" t="inlineStr">
        <is>
          <t>academic_support</t>
        </is>
      </c>
      <c r="D37" s="5" t="n">
        <v>0</v>
      </c>
      <c r="E37" s="5" t="n">
        <v>0</v>
      </c>
      <c r="F37" s="5" t="n">
        <v>0</v>
      </c>
      <c r="G37" s="5" t="n">
        <v>0</v>
      </c>
      <c r="H37" s="5" t="n">
        <v>0</v>
      </c>
      <c r="I37" s="5" t="n">
        <v>0</v>
      </c>
      <c r="J37" s="5" t="n">
        <v>4</v>
      </c>
      <c r="K37" s="5" t="n">
        <v>0</v>
      </c>
      <c r="L37" s="5" t="n">
        <v>0</v>
      </c>
      <c r="M37" s="5" t="n">
        <v>0</v>
      </c>
      <c r="N37" s="5" t="n">
        <v>0</v>
      </c>
      <c r="O37" s="5" t="n">
        <v>0</v>
      </c>
      <c r="P37" s="5" t="n">
        <v>0</v>
      </c>
      <c r="Q37" s="5" t="n">
        <v>0</v>
      </c>
      <c r="R37" s="5" t="n">
        <v>0</v>
      </c>
      <c r="S37" s="5" t="n">
        <v>4</v>
      </c>
      <c r="T37" s="5" t="n">
        <v>4</v>
      </c>
      <c r="U37" s="5" t="n">
        <v>0</v>
      </c>
      <c r="V37" s="5" t="n">
        <v>0</v>
      </c>
      <c r="W37" s="5" t="n">
        <v>3</v>
      </c>
      <c r="X37" s="5" t="n">
        <v>0</v>
      </c>
      <c r="Y37" s="5" t="n">
        <v>0</v>
      </c>
      <c r="Z37" s="5" t="n">
        <v>0</v>
      </c>
      <c r="AA37" s="5" t="n">
        <v>0</v>
      </c>
    </row>
    <row r="38" ht="30" customHeight="1" s="46">
      <c r="A38" s="5" t="n">
        <v>37</v>
      </c>
      <c r="B38" s="5" t="inlineStr">
        <is>
          <t>Hochschule Kaiserslautern</t>
        </is>
      </c>
      <c r="C38" s="5" t="inlineStr">
        <is>
          <t>academic_support</t>
        </is>
      </c>
      <c r="D38" s="5" t="n">
        <v>0</v>
      </c>
      <c r="E38" s="5" t="n">
        <v>0</v>
      </c>
      <c r="F38" s="5" t="n">
        <v>0</v>
      </c>
      <c r="G38" s="5" t="n">
        <v>0</v>
      </c>
      <c r="H38" s="5" t="n">
        <v>0</v>
      </c>
      <c r="I38" s="5" t="n">
        <v>4</v>
      </c>
      <c r="J38" s="5" t="n">
        <v>4</v>
      </c>
      <c r="K38" s="5" t="n">
        <v>0</v>
      </c>
      <c r="L38" s="5" t="n">
        <v>4</v>
      </c>
      <c r="M38" s="5" t="n">
        <v>4</v>
      </c>
      <c r="N38" s="5" t="n">
        <v>0</v>
      </c>
      <c r="O38" s="5" t="n">
        <v>0</v>
      </c>
      <c r="P38" s="5" t="n">
        <v>0</v>
      </c>
      <c r="Q38" s="5" t="n">
        <v>0</v>
      </c>
      <c r="R38" s="5" t="n">
        <v>0</v>
      </c>
      <c r="S38" s="5" t="n">
        <v>4</v>
      </c>
      <c r="T38" s="5" t="n">
        <v>0</v>
      </c>
      <c r="U38" s="5" t="n">
        <v>0</v>
      </c>
      <c r="V38" s="5" t="n">
        <v>0</v>
      </c>
      <c r="W38" s="5" t="n">
        <v>0</v>
      </c>
      <c r="X38" s="5" t="n">
        <v>0</v>
      </c>
      <c r="Y38" s="5" t="n">
        <v>0</v>
      </c>
      <c r="Z38" s="5" t="n">
        <v>0</v>
      </c>
      <c r="AA38" s="5" t="n">
        <v>0</v>
      </c>
    </row>
    <row r="39" ht="30" customHeight="1" s="46">
      <c r="A39" s="5" t="n">
        <v>38</v>
      </c>
      <c r="B39" s="5" t="inlineStr">
        <is>
          <t>Hochschule Koblenz</t>
        </is>
      </c>
      <c r="C39" s="5" t="inlineStr">
        <is>
          <t>academic_support</t>
        </is>
      </c>
      <c r="D39" s="5" t="n">
        <v>0</v>
      </c>
      <c r="E39" s="5" t="n">
        <v>0</v>
      </c>
      <c r="F39" s="5" t="n">
        <v>0</v>
      </c>
      <c r="G39" s="5" t="n">
        <v>0</v>
      </c>
      <c r="H39" s="5" t="n">
        <v>0</v>
      </c>
      <c r="I39" s="5" t="n">
        <v>3</v>
      </c>
      <c r="J39" s="5" t="n">
        <v>4</v>
      </c>
      <c r="K39" s="5" t="n">
        <v>0</v>
      </c>
      <c r="L39" s="5" t="n">
        <v>3</v>
      </c>
      <c r="M39" s="5" t="n">
        <v>0</v>
      </c>
      <c r="N39" s="5" t="n">
        <v>0</v>
      </c>
      <c r="O39" s="5" t="n">
        <v>0</v>
      </c>
      <c r="P39" s="5" t="n">
        <v>0</v>
      </c>
      <c r="Q39" s="5" t="n">
        <v>0</v>
      </c>
      <c r="R39" s="5" t="n">
        <v>0</v>
      </c>
      <c r="S39" s="5" t="n">
        <v>4</v>
      </c>
      <c r="T39" s="5" t="n">
        <v>4</v>
      </c>
      <c r="U39" s="5" t="n">
        <v>0</v>
      </c>
      <c r="V39" s="5" t="n">
        <v>0</v>
      </c>
      <c r="W39" s="5" t="n">
        <v>0</v>
      </c>
      <c r="X39" s="5" t="n">
        <v>0</v>
      </c>
      <c r="Y39" s="5" t="n">
        <v>0</v>
      </c>
      <c r="Z39" s="5" t="n">
        <v>0</v>
      </c>
      <c r="AA39" s="5" t="n">
        <v>0</v>
      </c>
    </row>
    <row r="40" ht="30" customHeight="1" s="46">
      <c r="A40" s="5" t="n">
        <v>39</v>
      </c>
      <c r="B40" s="5" t="inlineStr">
        <is>
          <t>Hochschule Mainz</t>
        </is>
      </c>
      <c r="C40" s="5" t="inlineStr">
        <is>
          <t>academic_support</t>
        </is>
      </c>
      <c r="D40" s="5" t="n">
        <v>0</v>
      </c>
      <c r="E40" s="5" t="n">
        <v>0</v>
      </c>
      <c r="F40" s="5" t="n">
        <v>0</v>
      </c>
      <c r="G40" s="5" t="n">
        <v>0</v>
      </c>
      <c r="H40" s="5" t="n">
        <v>0</v>
      </c>
      <c r="I40" s="5" t="n">
        <v>0</v>
      </c>
      <c r="J40" s="5" t="n">
        <v>4</v>
      </c>
      <c r="K40" s="5" t="n">
        <v>0</v>
      </c>
      <c r="L40" s="5" t="n">
        <v>4</v>
      </c>
      <c r="M40" s="5" t="n">
        <v>0</v>
      </c>
      <c r="N40" s="5" t="n">
        <v>0</v>
      </c>
      <c r="O40" s="5" t="n">
        <v>5</v>
      </c>
      <c r="P40" s="5" t="n">
        <v>0</v>
      </c>
      <c r="Q40" s="5" t="n">
        <v>5</v>
      </c>
      <c r="R40" s="5" t="n">
        <v>0</v>
      </c>
      <c r="S40" s="5" t="n">
        <v>4</v>
      </c>
      <c r="T40" s="5" t="n">
        <v>0</v>
      </c>
      <c r="U40" s="5" t="n">
        <v>0</v>
      </c>
      <c r="V40" s="5" t="n">
        <v>0</v>
      </c>
      <c r="W40" s="5" t="n">
        <v>0</v>
      </c>
      <c r="X40" s="5" t="n">
        <v>0</v>
      </c>
      <c r="Y40" s="5" t="n">
        <v>0</v>
      </c>
      <c r="Z40" s="5" t="n">
        <v>0</v>
      </c>
      <c r="AA40" s="5" t="n">
        <v>0</v>
      </c>
    </row>
    <row r="41" ht="30" customHeight="1" s="46">
      <c r="A41" s="5" t="n">
        <v>40</v>
      </c>
      <c r="B41" s="5" t="inlineStr">
        <is>
          <t>Hochschule Trier</t>
        </is>
      </c>
      <c r="C41" s="5" t="inlineStr">
        <is>
          <t>academic_support</t>
        </is>
      </c>
      <c r="D41" s="5" t="n">
        <v>0</v>
      </c>
      <c r="E41" s="5" t="n">
        <v>0</v>
      </c>
      <c r="F41" s="5" t="n">
        <v>4</v>
      </c>
      <c r="G41" s="5" t="n">
        <v>0</v>
      </c>
      <c r="H41" s="5" t="n">
        <v>0</v>
      </c>
      <c r="I41" s="5" t="n">
        <v>0</v>
      </c>
      <c r="J41" s="5" t="n">
        <v>4</v>
      </c>
      <c r="K41" s="5" t="n">
        <v>0</v>
      </c>
      <c r="L41" s="5" t="n">
        <v>0</v>
      </c>
      <c r="M41" s="5" t="n">
        <v>3</v>
      </c>
      <c r="N41" s="5" t="n">
        <v>0</v>
      </c>
      <c r="O41" s="5" t="n">
        <v>0</v>
      </c>
      <c r="P41" s="5" t="n">
        <v>0</v>
      </c>
      <c r="Q41" s="5" t="n">
        <v>0</v>
      </c>
      <c r="R41" s="5" t="n">
        <v>0</v>
      </c>
      <c r="S41" s="5" t="n">
        <v>4</v>
      </c>
      <c r="T41" s="5" t="n">
        <v>4</v>
      </c>
      <c r="U41" s="5" t="n">
        <v>0</v>
      </c>
      <c r="V41" s="5" t="n">
        <v>0</v>
      </c>
      <c r="W41" s="5" t="n">
        <v>0</v>
      </c>
      <c r="X41" s="5" t="n">
        <v>0</v>
      </c>
      <c r="Y41" s="5" t="n">
        <v>0</v>
      </c>
      <c r="Z41" s="5" t="n">
        <v>0</v>
      </c>
      <c r="AA41" s="5" t="n">
        <v>0</v>
      </c>
    </row>
    <row r="42" ht="30" customHeight="1" s="46">
      <c r="A42" s="5" t="n">
        <v>41</v>
      </c>
      <c r="B42" s="5" t="inlineStr">
        <is>
          <t>Hochschule Worms</t>
        </is>
      </c>
      <c r="C42" s="5" t="inlineStr">
        <is>
          <t>academic_support</t>
        </is>
      </c>
      <c r="D42" s="5" t="n">
        <v>0</v>
      </c>
      <c r="E42" s="5" t="n">
        <v>0</v>
      </c>
      <c r="F42" s="5" t="n">
        <v>0</v>
      </c>
      <c r="G42" s="5" t="n">
        <v>0</v>
      </c>
      <c r="H42" s="5" t="n">
        <v>0</v>
      </c>
      <c r="I42" s="5" t="n">
        <v>0</v>
      </c>
      <c r="J42" s="5" t="n">
        <v>4</v>
      </c>
      <c r="K42" s="5" t="n">
        <v>0</v>
      </c>
      <c r="L42" s="5" t="n">
        <v>0</v>
      </c>
      <c r="M42" s="5" t="n">
        <v>0</v>
      </c>
      <c r="N42" s="5" t="n">
        <v>0</v>
      </c>
      <c r="O42" s="5" t="n">
        <v>0</v>
      </c>
      <c r="P42" s="5" t="n">
        <v>0</v>
      </c>
      <c r="Q42" s="5" t="n">
        <v>0</v>
      </c>
      <c r="R42" s="5" t="n">
        <v>0</v>
      </c>
      <c r="S42" s="5" t="n">
        <v>4</v>
      </c>
      <c r="T42" s="5" t="n">
        <v>4</v>
      </c>
      <c r="U42" s="5" t="n">
        <v>0</v>
      </c>
      <c r="V42" s="5" t="n">
        <v>0</v>
      </c>
      <c r="W42" s="5" t="n">
        <v>0</v>
      </c>
      <c r="X42" s="5" t="n">
        <v>0</v>
      </c>
      <c r="Y42" s="5" t="n">
        <v>0</v>
      </c>
      <c r="Z42" s="5" t="n">
        <v>0</v>
      </c>
      <c r="AA42" s="5" t="n">
        <v>0</v>
      </c>
    </row>
    <row r="43" ht="30" customHeight="1" s="46">
      <c r="A43" s="5" t="n">
        <v>42</v>
      </c>
      <c r="B43" s="5" t="inlineStr">
        <is>
          <t>IKK Südwest</t>
        </is>
      </c>
      <c r="C43" s="5" t="inlineStr">
        <is>
          <t>context_actor</t>
        </is>
      </c>
      <c r="D43" s="5" t="n">
        <v>0</v>
      </c>
      <c r="E43" s="5" t="n">
        <v>0</v>
      </c>
      <c r="F43" s="5" t="n">
        <v>0</v>
      </c>
      <c r="G43" s="5" t="n">
        <v>0</v>
      </c>
      <c r="H43" s="5" t="n">
        <v>0</v>
      </c>
      <c r="I43" s="5" t="n">
        <v>0</v>
      </c>
      <c r="J43" s="5" t="n">
        <v>0</v>
      </c>
      <c r="K43" s="5" t="n">
        <v>0</v>
      </c>
      <c r="L43" s="5" t="n">
        <v>0</v>
      </c>
      <c r="M43" s="5" t="n">
        <v>0</v>
      </c>
      <c r="N43" s="5" t="n">
        <v>0</v>
      </c>
      <c r="O43" s="5" t="n">
        <v>0</v>
      </c>
      <c r="P43" s="5" t="n">
        <v>0</v>
      </c>
      <c r="Q43" s="5" t="n">
        <v>0</v>
      </c>
      <c r="R43" s="5" t="n">
        <v>0</v>
      </c>
      <c r="S43" s="5" t="n">
        <v>0</v>
      </c>
      <c r="T43" s="5" t="n">
        <v>0</v>
      </c>
      <c r="U43" s="5" t="n">
        <v>0</v>
      </c>
      <c r="V43" s="5" t="n">
        <v>0</v>
      </c>
      <c r="W43" s="5" t="n">
        <v>5</v>
      </c>
      <c r="X43" s="5" t="n">
        <v>4</v>
      </c>
      <c r="Y43" s="5" t="n">
        <v>0</v>
      </c>
      <c r="Z43" s="5" t="n">
        <v>0</v>
      </c>
      <c r="AA43" s="5" t="n">
        <v>4</v>
      </c>
    </row>
    <row r="44" ht="30" customHeight="1" s="46">
      <c r="A44" s="5" t="n">
        <v>43</v>
      </c>
      <c r="B44" s="5" t="inlineStr">
        <is>
          <t>in.betrieb gGmbH</t>
        </is>
      </c>
      <c r="C44" s="5" t="inlineStr">
        <is>
          <t>context_actor</t>
        </is>
      </c>
      <c r="D44" s="5" t="n">
        <v>0</v>
      </c>
      <c r="E44" s="5" t="n">
        <v>0</v>
      </c>
      <c r="F44" s="5" t="n">
        <v>0</v>
      </c>
      <c r="G44" s="5" t="n">
        <v>0</v>
      </c>
      <c r="H44" s="5" t="n">
        <v>0</v>
      </c>
      <c r="I44" s="5" t="n">
        <v>0</v>
      </c>
      <c r="J44" s="5" t="n">
        <v>4</v>
      </c>
      <c r="K44" s="5" t="n">
        <v>0</v>
      </c>
      <c r="L44" s="5" t="n">
        <v>0</v>
      </c>
      <c r="M44" s="5" t="n">
        <v>0</v>
      </c>
      <c r="N44" s="5" t="n">
        <v>0</v>
      </c>
      <c r="O44" s="5" t="n">
        <v>0</v>
      </c>
      <c r="P44" s="5" t="n">
        <v>0</v>
      </c>
      <c r="Q44" s="5" t="n">
        <v>0</v>
      </c>
      <c r="R44" s="5" t="n">
        <v>0</v>
      </c>
      <c r="S44" s="5" t="n">
        <v>0</v>
      </c>
      <c r="T44" s="5" t="n">
        <v>0</v>
      </c>
      <c r="U44" s="5" t="n">
        <v>0</v>
      </c>
      <c r="V44" s="5" t="n">
        <v>0</v>
      </c>
      <c r="W44" s="5" t="n">
        <v>0</v>
      </c>
      <c r="X44" s="5" t="n">
        <v>5</v>
      </c>
      <c r="Y44" s="5" t="n">
        <v>5</v>
      </c>
      <c r="Z44" s="5" t="n">
        <v>0</v>
      </c>
      <c r="AA44" s="5" t="n">
        <v>0</v>
      </c>
    </row>
    <row r="45" ht="30" customHeight="1" s="46">
      <c r="A45" s="5" t="n">
        <v>44</v>
      </c>
      <c r="B45" s="5" t="inlineStr">
        <is>
          <t>Ingenieurkammer Rheinland-Pfalz</t>
        </is>
      </c>
      <c r="C45" s="5" t="inlineStr">
        <is>
          <t>implementation_anchor</t>
        </is>
      </c>
      <c r="D45" s="5" t="n">
        <v>0</v>
      </c>
      <c r="E45" s="5" t="n">
        <v>4</v>
      </c>
      <c r="F45" s="5" t="n">
        <v>0</v>
      </c>
      <c r="G45" s="5" t="n">
        <v>4</v>
      </c>
      <c r="H45" s="5" t="n">
        <v>0</v>
      </c>
      <c r="I45" s="5" t="n">
        <v>0</v>
      </c>
      <c r="J45" s="5" t="n">
        <v>0</v>
      </c>
      <c r="K45" s="5" t="n">
        <v>0</v>
      </c>
      <c r="L45" s="5" t="n">
        <v>0</v>
      </c>
      <c r="M45" s="5" t="n">
        <v>0</v>
      </c>
      <c r="N45" s="5" t="n">
        <v>0</v>
      </c>
      <c r="O45" s="5" t="n">
        <v>5</v>
      </c>
      <c r="P45" s="5" t="n">
        <v>0</v>
      </c>
      <c r="Q45" s="5" t="n">
        <v>0</v>
      </c>
      <c r="R45" s="5" t="n">
        <v>0</v>
      </c>
      <c r="S45" s="5" t="n">
        <v>0</v>
      </c>
      <c r="T45" s="5" t="n">
        <v>0</v>
      </c>
      <c r="U45" s="5" t="n">
        <v>0</v>
      </c>
      <c r="V45" s="5" t="n">
        <v>0</v>
      </c>
      <c r="W45" s="5" t="n">
        <v>0</v>
      </c>
      <c r="X45" s="5" t="n">
        <v>0</v>
      </c>
      <c r="Y45" s="5" t="n">
        <v>0</v>
      </c>
      <c r="Z45" s="5" t="n">
        <v>0</v>
      </c>
      <c r="AA45" s="5" t="n">
        <v>0</v>
      </c>
    </row>
    <row r="46" ht="30" customHeight="1" s="46">
      <c r="A46" s="5" t="n">
        <v>45</v>
      </c>
      <c r="B46" s="5" t="inlineStr">
        <is>
          <t>Investitions- und Strukturbank Rheinland-Pfalz (ISB)</t>
        </is>
      </c>
      <c r="C46" s="5" t="inlineStr">
        <is>
          <t>context_actor</t>
        </is>
      </c>
      <c r="D46" s="5" t="n">
        <v>3</v>
      </c>
      <c r="E46" s="5" t="n">
        <v>3</v>
      </c>
      <c r="F46" s="5" t="n">
        <v>0</v>
      </c>
      <c r="G46" s="5" t="n">
        <v>0</v>
      </c>
      <c r="H46" s="5" t="n">
        <v>5</v>
      </c>
      <c r="I46" s="5" t="n">
        <v>0</v>
      </c>
      <c r="J46" s="5" t="n">
        <v>0</v>
      </c>
      <c r="K46" s="5" t="n">
        <v>5</v>
      </c>
      <c r="L46" s="5" t="n">
        <v>0</v>
      </c>
      <c r="M46" s="5" t="n">
        <v>0</v>
      </c>
      <c r="N46" s="5" t="n">
        <v>0</v>
      </c>
      <c r="O46" s="5" t="n">
        <v>0</v>
      </c>
      <c r="P46" s="5" t="n">
        <v>0</v>
      </c>
      <c r="Q46" s="5" t="n">
        <v>0</v>
      </c>
      <c r="R46" s="5" t="n">
        <v>0</v>
      </c>
      <c r="S46" s="5" t="n">
        <v>3</v>
      </c>
      <c r="T46" s="5" t="n">
        <v>0</v>
      </c>
      <c r="U46" s="5" t="n">
        <v>0</v>
      </c>
      <c r="V46" s="5" t="n">
        <v>0</v>
      </c>
      <c r="W46" s="5" t="n">
        <v>0</v>
      </c>
      <c r="X46" s="5" t="n">
        <v>0</v>
      </c>
      <c r="Y46" s="5" t="n">
        <v>0</v>
      </c>
      <c r="Z46" s="5" t="n">
        <v>0</v>
      </c>
      <c r="AA46" s="5" t="n">
        <v>0</v>
      </c>
    </row>
    <row r="47" ht="30" customHeight="1" s="46">
      <c r="A47" s="5" t="n">
        <v>46</v>
      </c>
      <c r="B47" s="5" t="inlineStr">
        <is>
          <t>IQIB - Institut für qualifizierende Innovationsforschung und -beratung GmbH</t>
        </is>
      </c>
      <c r="C47" s="5" t="inlineStr">
        <is>
          <t>profit_anchor</t>
        </is>
      </c>
      <c r="D47" s="5" t="n">
        <v>0</v>
      </c>
      <c r="E47" s="5" t="n">
        <v>0</v>
      </c>
      <c r="F47" s="5" t="n">
        <v>0</v>
      </c>
      <c r="G47" s="5" t="n">
        <v>0</v>
      </c>
      <c r="H47" s="5" t="n">
        <v>0</v>
      </c>
      <c r="I47" s="5" t="n">
        <v>4</v>
      </c>
      <c r="J47" s="5" t="n">
        <v>0</v>
      </c>
      <c r="K47" s="5" t="n">
        <v>0</v>
      </c>
      <c r="L47" s="5" t="n">
        <v>4</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row>
    <row r="48" ht="30" customHeight="1" s="46">
      <c r="A48" s="5" t="n">
        <v>47</v>
      </c>
      <c r="B48" s="5" t="inlineStr">
        <is>
          <t>ITK Engineering GmbH</t>
        </is>
      </c>
      <c r="C48" s="5" t="inlineStr">
        <is>
          <t>profit_anchor</t>
        </is>
      </c>
      <c r="D48" s="5" t="n">
        <v>0</v>
      </c>
      <c r="E48" s="5" t="n">
        <v>0</v>
      </c>
      <c r="F48" s="5" t="n">
        <v>0</v>
      </c>
      <c r="G48" s="5" t="n">
        <v>0</v>
      </c>
      <c r="H48" s="5" t="n">
        <v>0</v>
      </c>
      <c r="I48" s="5" t="n">
        <v>5</v>
      </c>
      <c r="J48" s="5" t="n">
        <v>0</v>
      </c>
      <c r="K48" s="5" t="n">
        <v>0</v>
      </c>
      <c r="L48" s="5" t="n">
        <v>4</v>
      </c>
      <c r="M48" s="5" t="n">
        <v>5</v>
      </c>
      <c r="N48" s="5" t="n">
        <v>0</v>
      </c>
      <c r="O48" s="5" t="n">
        <v>0</v>
      </c>
      <c r="P48" s="5" t="n">
        <v>0</v>
      </c>
      <c r="Q48" s="5" t="n">
        <v>0</v>
      </c>
      <c r="R48" s="5" t="n">
        <v>0</v>
      </c>
      <c r="S48" s="5" t="n">
        <v>4</v>
      </c>
      <c r="T48" s="5" t="n">
        <v>0</v>
      </c>
      <c r="U48" s="5" t="n">
        <v>0</v>
      </c>
      <c r="V48" s="5" t="n">
        <v>0</v>
      </c>
      <c r="W48" s="5" t="n">
        <v>0</v>
      </c>
      <c r="X48" s="5" t="n">
        <v>0</v>
      </c>
      <c r="Y48" s="5" t="n">
        <v>0</v>
      </c>
      <c r="Z48" s="5" t="n">
        <v>0</v>
      </c>
      <c r="AA48" s="5" t="n">
        <v>0</v>
      </c>
    </row>
    <row r="49" ht="30" customHeight="1" s="46">
      <c r="A49" s="5" t="n">
        <v>48</v>
      </c>
      <c r="B49" s="5" t="inlineStr">
        <is>
          <t>JOBS FOR MOMS UG</t>
        </is>
      </c>
      <c r="C49" s="5" t="inlineStr">
        <is>
          <t>context_actor</t>
        </is>
      </c>
      <c r="D49" s="5" t="n">
        <v>0</v>
      </c>
      <c r="E49" s="5" t="n">
        <v>0</v>
      </c>
      <c r="F49" s="5" t="n">
        <v>0</v>
      </c>
      <c r="G49" s="5" t="n">
        <v>0</v>
      </c>
      <c r="H49" s="5" t="n">
        <v>0</v>
      </c>
      <c r="I49" s="5" t="n">
        <v>0</v>
      </c>
      <c r="J49" s="5" t="n">
        <v>4</v>
      </c>
      <c r="K49" s="5" t="n">
        <v>0</v>
      </c>
      <c r="L49" s="5" t="n">
        <v>0</v>
      </c>
      <c r="M49" s="5" t="n">
        <v>0</v>
      </c>
      <c r="N49" s="5" t="n">
        <v>0</v>
      </c>
      <c r="O49" s="5" t="n">
        <v>0</v>
      </c>
      <c r="P49" s="5" t="n">
        <v>0</v>
      </c>
      <c r="Q49" s="5" t="n">
        <v>0</v>
      </c>
      <c r="R49" s="5" t="n">
        <v>0</v>
      </c>
      <c r="S49" s="5" t="n">
        <v>0</v>
      </c>
      <c r="T49" s="5" t="n">
        <v>4</v>
      </c>
      <c r="U49" s="5" t="n">
        <v>0</v>
      </c>
      <c r="V49" s="5" t="n">
        <v>0</v>
      </c>
      <c r="W49" s="5" t="n">
        <v>0</v>
      </c>
      <c r="X49" s="5" t="n">
        <v>3</v>
      </c>
      <c r="Y49" s="5" t="n">
        <v>5</v>
      </c>
      <c r="Z49" s="5" t="n">
        <v>0</v>
      </c>
      <c r="AA49" s="5" t="n">
        <v>0</v>
      </c>
    </row>
    <row r="50" ht="30" customHeight="1" s="46">
      <c r="A50" s="5" t="n">
        <v>49</v>
      </c>
      <c r="B50" s="5" t="inlineStr">
        <is>
          <t>Johannes Gutenberg-Universität Mainz</t>
        </is>
      </c>
      <c r="C50" s="5" t="inlineStr">
        <is>
          <t>academic_support</t>
        </is>
      </c>
      <c r="D50" s="5" t="n">
        <v>0</v>
      </c>
      <c r="E50" s="5" t="n">
        <v>0</v>
      </c>
      <c r="F50" s="5" t="n">
        <v>0</v>
      </c>
      <c r="G50" s="5" t="n">
        <v>0</v>
      </c>
      <c r="H50" s="5" t="n">
        <v>0</v>
      </c>
      <c r="I50" s="5" t="n">
        <v>0</v>
      </c>
      <c r="J50" s="5" t="n">
        <v>0</v>
      </c>
      <c r="K50" s="5" t="n">
        <v>0</v>
      </c>
      <c r="L50" s="5" t="n">
        <v>4</v>
      </c>
      <c r="M50" s="5" t="n">
        <v>0</v>
      </c>
      <c r="N50" s="5" t="n">
        <v>0</v>
      </c>
      <c r="O50" s="5" t="n">
        <v>0</v>
      </c>
      <c r="P50" s="5" t="n">
        <v>0</v>
      </c>
      <c r="Q50" s="5" t="n">
        <v>4</v>
      </c>
      <c r="R50" s="5" t="n">
        <v>0</v>
      </c>
      <c r="S50" s="5" t="n">
        <v>5</v>
      </c>
      <c r="T50" s="5" t="n">
        <v>0</v>
      </c>
      <c r="U50" s="5" t="n">
        <v>5</v>
      </c>
      <c r="V50" s="5" t="n">
        <v>0</v>
      </c>
      <c r="W50" s="5" t="n">
        <v>0</v>
      </c>
      <c r="X50" s="5" t="n">
        <v>0</v>
      </c>
      <c r="Y50" s="5" t="n">
        <v>0</v>
      </c>
      <c r="Z50" s="5" t="n">
        <v>4</v>
      </c>
      <c r="AA50" s="5" t="n">
        <v>0</v>
      </c>
    </row>
    <row r="51" ht="30" customHeight="1" s="46">
      <c r="A51" s="5" t="n">
        <v>50</v>
      </c>
      <c r="B51" s="5" t="inlineStr">
        <is>
          <t>Joseph Vögele AG</t>
        </is>
      </c>
      <c r="C51" s="5" t="inlineStr">
        <is>
          <t>profit_anchor</t>
        </is>
      </c>
      <c r="D51" s="5" t="n">
        <v>0</v>
      </c>
      <c r="E51" s="5" t="n">
        <v>0</v>
      </c>
      <c r="F51" s="5" t="n">
        <v>0</v>
      </c>
      <c r="G51" s="5" t="n">
        <v>0</v>
      </c>
      <c r="H51" s="5" t="n">
        <v>4</v>
      </c>
      <c r="I51" s="5" t="n">
        <v>4</v>
      </c>
      <c r="J51" s="5" t="n">
        <v>0</v>
      </c>
      <c r="K51" s="5" t="n">
        <v>0</v>
      </c>
      <c r="L51" s="5" t="n">
        <v>0</v>
      </c>
      <c r="M51" s="5" t="n">
        <v>5</v>
      </c>
      <c r="N51" s="5" t="n">
        <v>0</v>
      </c>
      <c r="O51" s="5" t="n">
        <v>0</v>
      </c>
      <c r="P51" s="5" t="n">
        <v>0</v>
      </c>
      <c r="Q51" s="5" t="n">
        <v>0</v>
      </c>
      <c r="R51" s="5" t="n">
        <v>0</v>
      </c>
      <c r="S51" s="5" t="n">
        <v>0</v>
      </c>
      <c r="T51" s="5" t="n">
        <v>0</v>
      </c>
      <c r="U51" s="5" t="n">
        <v>0</v>
      </c>
      <c r="V51" s="5" t="n">
        <v>0</v>
      </c>
      <c r="W51" s="5" t="n">
        <v>0</v>
      </c>
      <c r="X51" s="5" t="n">
        <v>0</v>
      </c>
      <c r="Y51" s="5" t="n">
        <v>0</v>
      </c>
      <c r="Z51" s="5" t="n">
        <v>0</v>
      </c>
      <c r="AA51" s="5" t="n">
        <v>0</v>
      </c>
    </row>
    <row r="52" ht="30" customHeight="1" s="46">
      <c r="A52" s="5" t="n">
        <v>51</v>
      </c>
      <c r="B52" s="5" t="inlineStr">
        <is>
          <t>JUWI GmbH</t>
        </is>
      </c>
      <c r="C52" s="5" t="inlineStr">
        <is>
          <t>profit_anchor</t>
        </is>
      </c>
      <c r="D52" s="5" t="n">
        <v>5</v>
      </c>
      <c r="E52" s="5" t="n">
        <v>0</v>
      </c>
      <c r="F52" s="5" t="n">
        <v>0</v>
      </c>
      <c r="G52" s="5" t="n">
        <v>3</v>
      </c>
      <c r="H52" s="5" t="n">
        <v>0</v>
      </c>
      <c r="I52" s="5" t="n">
        <v>0</v>
      </c>
      <c r="J52" s="5" t="n">
        <v>0</v>
      </c>
      <c r="K52" s="5" t="n">
        <v>3</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row>
    <row r="53" ht="30" customHeight="1" s="46">
      <c r="A53" s="5" t="n">
        <v>52</v>
      </c>
      <c r="B53" s="5" t="inlineStr">
        <is>
          <t>Karl Gemünden GmbH &amp; Co. KG</t>
        </is>
      </c>
      <c r="C53" s="5" t="inlineStr">
        <is>
          <t>profit_anchor</t>
        </is>
      </c>
      <c r="D53" s="5" t="n">
        <v>0</v>
      </c>
      <c r="E53" s="5" t="n">
        <v>4</v>
      </c>
      <c r="F53" s="5" t="n">
        <v>0</v>
      </c>
      <c r="G53" s="5" t="n">
        <v>0</v>
      </c>
      <c r="H53" s="5" t="n">
        <v>0</v>
      </c>
      <c r="I53" s="5" t="n">
        <v>0</v>
      </c>
      <c r="J53" s="5" t="n">
        <v>0</v>
      </c>
      <c r="K53" s="5" t="n">
        <v>0</v>
      </c>
      <c r="L53" s="5" t="n">
        <v>0</v>
      </c>
      <c r="M53" s="5" t="n">
        <v>0</v>
      </c>
      <c r="N53" s="5" t="n">
        <v>0</v>
      </c>
      <c r="O53" s="5" t="n">
        <v>3</v>
      </c>
      <c r="P53" s="5" t="n">
        <v>0</v>
      </c>
      <c r="Q53" s="5" t="n">
        <v>0</v>
      </c>
      <c r="R53" s="5" t="n">
        <v>0</v>
      </c>
      <c r="S53" s="5" t="n">
        <v>0</v>
      </c>
      <c r="T53" s="5" t="n">
        <v>0</v>
      </c>
      <c r="U53" s="5" t="n">
        <v>0</v>
      </c>
      <c r="V53" s="5" t="n">
        <v>0</v>
      </c>
      <c r="W53" s="5" t="n">
        <v>0</v>
      </c>
      <c r="X53" s="5" t="n">
        <v>0</v>
      </c>
      <c r="Y53" s="5" t="n">
        <v>0</v>
      </c>
      <c r="Z53" s="5" t="n">
        <v>0</v>
      </c>
      <c r="AA53" s="5" t="n">
        <v>0</v>
      </c>
    </row>
    <row r="54" ht="30" customHeight="1" s="46">
      <c r="A54" s="5" t="n">
        <v>53</v>
      </c>
      <c r="B54" s="5" t="inlineStr">
        <is>
          <t>Kassenzahnärztliche Vereinigung Rheinland-Pfalz</t>
        </is>
      </c>
      <c r="C54" s="5" t="inlineStr">
        <is>
          <t>context_actor</t>
        </is>
      </c>
      <c r="D54" s="5" t="n">
        <v>0</v>
      </c>
      <c r="E54" s="5" t="n">
        <v>0</v>
      </c>
      <c r="F54" s="5" t="n">
        <v>0</v>
      </c>
      <c r="G54" s="5" t="n">
        <v>0</v>
      </c>
      <c r="H54" s="5" t="n">
        <v>0</v>
      </c>
      <c r="I54" s="5" t="n">
        <v>0</v>
      </c>
      <c r="J54" s="5" t="n">
        <v>0</v>
      </c>
      <c r="K54" s="5" t="n">
        <v>0</v>
      </c>
      <c r="L54" s="5" t="n">
        <v>0</v>
      </c>
      <c r="M54" s="5" t="n">
        <v>0</v>
      </c>
      <c r="N54" s="5" t="n">
        <v>0</v>
      </c>
      <c r="O54" s="5" t="n">
        <v>0</v>
      </c>
      <c r="P54" s="5" t="n">
        <v>0</v>
      </c>
      <c r="Q54" s="5" t="n">
        <v>0</v>
      </c>
      <c r="R54" s="5" t="n">
        <v>0</v>
      </c>
      <c r="S54" s="5" t="n">
        <v>0</v>
      </c>
      <c r="T54" s="5" t="n">
        <v>0</v>
      </c>
      <c r="U54" s="5" t="n">
        <v>0</v>
      </c>
      <c r="V54" s="5" t="n">
        <v>0</v>
      </c>
      <c r="W54" s="5" t="n">
        <v>4</v>
      </c>
      <c r="X54" s="5" t="n">
        <v>0</v>
      </c>
      <c r="Y54" s="5" t="n">
        <v>0</v>
      </c>
      <c r="Z54" s="5" t="n">
        <v>0</v>
      </c>
      <c r="AA54" s="5" t="n">
        <v>0</v>
      </c>
    </row>
    <row r="55" ht="30" customHeight="1" s="46">
      <c r="A55" s="5" t="n">
        <v>54</v>
      </c>
      <c r="B55" s="5" t="inlineStr">
        <is>
          <t>Kassenärztliche Vereinigung Rheinland-Pfalz</t>
        </is>
      </c>
      <c r="C55" s="5" t="inlineStr">
        <is>
          <t>context_actor</t>
        </is>
      </c>
      <c r="D55" s="5" t="n">
        <v>0</v>
      </c>
      <c r="E55" s="5" t="n">
        <v>0</v>
      </c>
      <c r="F55" s="5" t="n">
        <v>0</v>
      </c>
      <c r="G55" s="5" t="n">
        <v>0</v>
      </c>
      <c r="H55" s="5" t="n">
        <v>0</v>
      </c>
      <c r="I55" s="5" t="n">
        <v>0</v>
      </c>
      <c r="J55" s="5" t="n">
        <v>0</v>
      </c>
      <c r="K55" s="5" t="n">
        <v>0</v>
      </c>
      <c r="L55" s="5" t="n">
        <v>0</v>
      </c>
      <c r="M55" s="5" t="n">
        <v>0</v>
      </c>
      <c r="N55" s="5" t="n">
        <v>0</v>
      </c>
      <c r="O55" s="5" t="n">
        <v>0</v>
      </c>
      <c r="P55" s="5" t="n">
        <v>0</v>
      </c>
      <c r="Q55" s="5" t="n">
        <v>0</v>
      </c>
      <c r="R55" s="5" t="n">
        <v>0</v>
      </c>
      <c r="S55" s="5" t="n">
        <v>0</v>
      </c>
      <c r="T55" s="5" t="n">
        <v>0</v>
      </c>
      <c r="U55" s="5" t="n">
        <v>0</v>
      </c>
      <c r="V55" s="5" t="n">
        <v>0</v>
      </c>
      <c r="W55" s="5" t="n">
        <v>5</v>
      </c>
      <c r="X55" s="5" t="n">
        <v>4</v>
      </c>
      <c r="Y55" s="5" t="n">
        <v>0</v>
      </c>
      <c r="Z55" s="5" t="n">
        <v>0</v>
      </c>
      <c r="AA55" s="5" t="n">
        <v>0</v>
      </c>
    </row>
    <row r="56" ht="30" customHeight="1" s="46">
      <c r="A56" s="5" t="n">
        <v>55</v>
      </c>
      <c r="B56" s="5" t="inlineStr">
        <is>
          <t>Katholische Hochschule Mainz</t>
        </is>
      </c>
      <c r="C56" s="5" t="inlineStr">
        <is>
          <t>academic_support</t>
        </is>
      </c>
      <c r="D56" s="5" t="n">
        <v>0</v>
      </c>
      <c r="E56" s="5" t="n">
        <v>0</v>
      </c>
      <c r="F56" s="5" t="n">
        <v>0</v>
      </c>
      <c r="G56" s="5" t="n">
        <v>0</v>
      </c>
      <c r="H56" s="5" t="n">
        <v>0</v>
      </c>
      <c r="I56" s="5" t="n">
        <v>0</v>
      </c>
      <c r="J56" s="5" t="n">
        <v>4</v>
      </c>
      <c r="K56" s="5" t="n">
        <v>0</v>
      </c>
      <c r="L56" s="5" t="n">
        <v>0</v>
      </c>
      <c r="M56" s="5" t="n">
        <v>0</v>
      </c>
      <c r="N56" s="5" t="n">
        <v>0</v>
      </c>
      <c r="O56" s="5" t="n">
        <v>0</v>
      </c>
      <c r="P56" s="5" t="n">
        <v>0</v>
      </c>
      <c r="Q56" s="5" t="n">
        <v>0</v>
      </c>
      <c r="R56" s="5" t="n">
        <v>0</v>
      </c>
      <c r="S56" s="5" t="n">
        <v>0</v>
      </c>
      <c r="T56" s="5" t="n">
        <v>4</v>
      </c>
      <c r="U56" s="5" t="n">
        <v>0</v>
      </c>
      <c r="V56" s="5" t="n">
        <v>0</v>
      </c>
      <c r="W56" s="5" t="n">
        <v>0</v>
      </c>
      <c r="X56" s="5" t="n">
        <v>5</v>
      </c>
      <c r="Y56" s="5" t="n">
        <v>4</v>
      </c>
      <c r="Z56" s="5" t="n">
        <v>4</v>
      </c>
      <c r="AA56" s="5" t="n">
        <v>0</v>
      </c>
    </row>
    <row r="57" ht="30" customHeight="1" s="46">
      <c r="A57" s="5" t="n">
        <v>56</v>
      </c>
      <c r="B57" s="5" t="inlineStr">
        <is>
          <t>KPMG AG Wirtschaftsprüfungsgesellschaft</t>
        </is>
      </c>
      <c r="C57" s="5" t="inlineStr">
        <is>
          <t>profit_anchor</t>
        </is>
      </c>
      <c r="D57" s="5" t="n">
        <v>0</v>
      </c>
      <c r="E57" s="5" t="n">
        <v>0</v>
      </c>
      <c r="F57" s="5" t="n">
        <v>0</v>
      </c>
      <c r="G57" s="5" t="n">
        <v>0</v>
      </c>
      <c r="H57" s="5" t="n">
        <v>4</v>
      </c>
      <c r="I57" s="5" t="n">
        <v>0</v>
      </c>
      <c r="J57" s="5" t="n">
        <v>0</v>
      </c>
      <c r="K57" s="5" t="n">
        <v>4</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row>
    <row r="58" ht="30" customHeight="1" s="46">
      <c r="A58" s="5" t="n">
        <v>57</v>
      </c>
      <c r="B58" s="5" t="inlineStr">
        <is>
          <t>KSB AG</t>
        </is>
      </c>
      <c r="C58" s="5" t="inlineStr">
        <is>
          <t>profit_anchor</t>
        </is>
      </c>
      <c r="D58" s="5" t="n">
        <v>0</v>
      </c>
      <c r="E58" s="5" t="n">
        <v>0</v>
      </c>
      <c r="F58" s="5" t="n">
        <v>5</v>
      </c>
      <c r="G58" s="5" t="n">
        <v>0</v>
      </c>
      <c r="H58" s="5" t="n">
        <v>4</v>
      </c>
      <c r="I58" s="5" t="n">
        <v>0</v>
      </c>
      <c r="J58" s="5" t="n">
        <v>0</v>
      </c>
      <c r="K58" s="5" t="n">
        <v>0</v>
      </c>
      <c r="L58" s="5" t="n">
        <v>0</v>
      </c>
      <c r="M58" s="5" t="n">
        <v>4</v>
      </c>
      <c r="N58" s="5" t="n">
        <v>4</v>
      </c>
      <c r="O58" s="5" t="n">
        <v>0</v>
      </c>
      <c r="P58" s="5" t="n">
        <v>0</v>
      </c>
      <c r="Q58" s="5" t="n">
        <v>0</v>
      </c>
      <c r="R58" s="5" t="n">
        <v>0</v>
      </c>
      <c r="S58" s="5" t="n">
        <v>0</v>
      </c>
      <c r="T58" s="5" t="n">
        <v>0</v>
      </c>
      <c r="U58" s="5" t="n">
        <v>0</v>
      </c>
      <c r="V58" s="5" t="n">
        <v>0</v>
      </c>
      <c r="W58" s="5" t="n">
        <v>0</v>
      </c>
      <c r="X58" s="5" t="n">
        <v>0</v>
      </c>
      <c r="Y58" s="5" t="n">
        <v>0</v>
      </c>
      <c r="Z58" s="5" t="n">
        <v>0</v>
      </c>
      <c r="AA58" s="5" t="n">
        <v>0</v>
      </c>
    </row>
    <row r="59" ht="30" customHeight="1" s="46">
      <c r="A59" s="5" t="n">
        <v>58</v>
      </c>
      <c r="B59" s="5" t="inlineStr">
        <is>
          <t>KÜBLER GmbH</t>
        </is>
      </c>
      <c r="C59" s="5" t="inlineStr">
        <is>
          <t>profit_anchor</t>
        </is>
      </c>
      <c r="D59" s="5" t="n">
        <v>4</v>
      </c>
      <c r="E59" s="5" t="n">
        <v>0</v>
      </c>
      <c r="F59" s="5" t="n">
        <v>0</v>
      </c>
      <c r="G59" s="5" t="n">
        <v>0</v>
      </c>
      <c r="H59" s="5" t="n">
        <v>0</v>
      </c>
      <c r="I59" s="5" t="n">
        <v>3</v>
      </c>
      <c r="J59" s="5" t="n">
        <v>0</v>
      </c>
      <c r="K59" s="5" t="n">
        <v>0</v>
      </c>
      <c r="L59" s="5" t="n">
        <v>0</v>
      </c>
      <c r="M59" s="5" t="n">
        <v>3</v>
      </c>
      <c r="N59" s="5" t="n">
        <v>0</v>
      </c>
      <c r="O59" s="5" t="n">
        <v>0</v>
      </c>
      <c r="P59" s="5" t="n">
        <v>0</v>
      </c>
      <c r="Q59" s="5" t="n">
        <v>0</v>
      </c>
      <c r="R59" s="5" t="n">
        <v>0</v>
      </c>
      <c r="S59" s="5" t="n">
        <v>0</v>
      </c>
      <c r="T59" s="5" t="n">
        <v>0</v>
      </c>
      <c r="U59" s="5" t="n">
        <v>0</v>
      </c>
      <c r="V59" s="5" t="n">
        <v>0</v>
      </c>
      <c r="W59" s="5" t="n">
        <v>0</v>
      </c>
      <c r="X59" s="5" t="n">
        <v>0</v>
      </c>
      <c r="Y59" s="5" t="n">
        <v>0</v>
      </c>
      <c r="Z59" s="5" t="n">
        <v>0</v>
      </c>
      <c r="AA59" s="5" t="n">
        <v>0</v>
      </c>
    </row>
    <row r="60" ht="30" customHeight="1" s="46">
      <c r="A60" s="5" t="n">
        <v>59</v>
      </c>
      <c r="B60" s="5" t="inlineStr">
        <is>
          <t>L Q M Marktforschung GmbH</t>
        </is>
      </c>
      <c r="C60" s="5" t="inlineStr">
        <is>
          <t>profit_anchor</t>
        </is>
      </c>
      <c r="D60" s="5" t="n">
        <v>0</v>
      </c>
      <c r="E60" s="5" t="n">
        <v>0</v>
      </c>
      <c r="F60" s="5" t="n">
        <v>0</v>
      </c>
      <c r="G60" s="5" t="n">
        <v>0</v>
      </c>
      <c r="H60" s="5" t="n">
        <v>0</v>
      </c>
      <c r="I60" s="5" t="n">
        <v>0</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row>
    <row r="61" ht="30" customHeight="1" s="46">
      <c r="A61" s="5" t="n">
        <v>60</v>
      </c>
      <c r="B61" s="5" t="inlineStr">
        <is>
          <t>Landesbank Baden-Württemberg (LBBW)</t>
        </is>
      </c>
      <c r="C61" s="5" t="inlineStr">
        <is>
          <t>profit_anchor</t>
        </is>
      </c>
      <c r="D61" s="5" t="n">
        <v>3</v>
      </c>
      <c r="E61" s="5" t="n">
        <v>0</v>
      </c>
      <c r="F61" s="5" t="n">
        <v>0</v>
      </c>
      <c r="G61" s="5" t="n">
        <v>0</v>
      </c>
      <c r="H61" s="5" t="n">
        <v>5</v>
      </c>
      <c r="I61" s="5" t="n">
        <v>0</v>
      </c>
      <c r="J61" s="5" t="n">
        <v>0</v>
      </c>
      <c r="K61" s="5" t="n">
        <v>5</v>
      </c>
      <c r="L61" s="5" t="n">
        <v>0</v>
      </c>
      <c r="M61" s="5" t="n">
        <v>0</v>
      </c>
      <c r="N61" s="5" t="n">
        <v>4</v>
      </c>
      <c r="O61" s="5" t="n">
        <v>0</v>
      </c>
      <c r="P61" s="5" t="n">
        <v>0</v>
      </c>
      <c r="Q61" s="5" t="n">
        <v>0</v>
      </c>
      <c r="R61" s="5" t="n">
        <v>0</v>
      </c>
      <c r="S61" s="5" t="n">
        <v>0</v>
      </c>
      <c r="T61" s="5" t="n">
        <v>0</v>
      </c>
      <c r="U61" s="5" t="n">
        <v>0</v>
      </c>
      <c r="V61" s="5" t="n">
        <v>0</v>
      </c>
      <c r="W61" s="5" t="n">
        <v>0</v>
      </c>
      <c r="X61" s="5" t="n">
        <v>0</v>
      </c>
      <c r="Y61" s="5" t="n">
        <v>0</v>
      </c>
      <c r="Z61" s="5" t="n">
        <v>0</v>
      </c>
      <c r="AA61" s="5" t="n">
        <v>0</v>
      </c>
    </row>
    <row r="62" ht="30" customHeight="1" s="46">
      <c r="A62" s="5" t="n">
        <v>61</v>
      </c>
      <c r="B62" s="5" t="inlineStr">
        <is>
          <t>LandesPsychotherapeutenKammer Rheinland-Pfalz</t>
        </is>
      </c>
      <c r="C62" s="5" t="inlineStr">
        <is>
          <t>implementation_anchor</t>
        </is>
      </c>
      <c r="D62" s="5" t="n">
        <v>0</v>
      </c>
      <c r="E62" s="5" t="n">
        <v>0</v>
      </c>
      <c r="F62" s="5" t="n">
        <v>0</v>
      </c>
      <c r="G62" s="5" t="n">
        <v>0</v>
      </c>
      <c r="H62" s="5" t="n">
        <v>0</v>
      </c>
      <c r="I62" s="5" t="n">
        <v>0</v>
      </c>
      <c r="J62" s="5" t="n">
        <v>0</v>
      </c>
      <c r="K62" s="5" t="n">
        <v>0</v>
      </c>
      <c r="L62" s="5" t="n">
        <v>0</v>
      </c>
      <c r="M62" s="5" t="n">
        <v>0</v>
      </c>
      <c r="N62" s="5" t="n">
        <v>0</v>
      </c>
      <c r="O62" s="5" t="n">
        <v>0</v>
      </c>
      <c r="P62" s="5" t="n">
        <v>0</v>
      </c>
      <c r="Q62" s="5" t="n">
        <v>0</v>
      </c>
      <c r="R62" s="5" t="n">
        <v>0</v>
      </c>
      <c r="S62" s="5" t="n">
        <v>0</v>
      </c>
      <c r="T62" s="5" t="n">
        <v>0</v>
      </c>
      <c r="U62" s="5" t="n">
        <v>0</v>
      </c>
      <c r="V62" s="5" t="n">
        <v>0</v>
      </c>
      <c r="W62" s="5" t="n">
        <v>4</v>
      </c>
      <c r="X62" s="5" t="n">
        <v>4</v>
      </c>
      <c r="Y62" s="5" t="n">
        <v>0</v>
      </c>
      <c r="Z62" s="5" t="n">
        <v>0</v>
      </c>
      <c r="AA62" s="5" t="n">
        <v>0</v>
      </c>
    </row>
    <row r="63" ht="30" customHeight="1" s="46">
      <c r="A63" s="5" t="n">
        <v>62</v>
      </c>
      <c r="B63" s="5" t="inlineStr">
        <is>
          <t>Landesärztekammer Rheinland-Pfalz</t>
        </is>
      </c>
      <c r="C63" s="5" t="inlineStr">
        <is>
          <t>implementation_anchor</t>
        </is>
      </c>
      <c r="D63" s="5" t="n">
        <v>0</v>
      </c>
      <c r="E63" s="5" t="n">
        <v>0</v>
      </c>
      <c r="F63" s="5" t="n">
        <v>0</v>
      </c>
      <c r="G63" s="5" t="n">
        <v>0</v>
      </c>
      <c r="H63" s="5" t="n">
        <v>0</v>
      </c>
      <c r="I63" s="5" t="n">
        <v>0</v>
      </c>
      <c r="J63" s="5" t="n">
        <v>0</v>
      </c>
      <c r="K63" s="5" t="n">
        <v>0</v>
      </c>
      <c r="L63" s="5" t="n">
        <v>0</v>
      </c>
      <c r="M63" s="5" t="n">
        <v>0</v>
      </c>
      <c r="N63" s="5" t="n">
        <v>0</v>
      </c>
      <c r="O63" s="5" t="n">
        <v>0</v>
      </c>
      <c r="P63" s="5" t="n">
        <v>0</v>
      </c>
      <c r="Q63" s="5" t="n">
        <v>0</v>
      </c>
      <c r="R63" s="5" t="n">
        <v>0</v>
      </c>
      <c r="S63" s="5" t="n">
        <v>0</v>
      </c>
      <c r="T63" s="5" t="n">
        <v>0</v>
      </c>
      <c r="U63" s="5" t="n">
        <v>0</v>
      </c>
      <c r="V63" s="5" t="n">
        <v>0</v>
      </c>
      <c r="W63" s="5" t="n">
        <v>5</v>
      </c>
      <c r="X63" s="5" t="n">
        <v>4</v>
      </c>
      <c r="Y63" s="5" t="n">
        <v>0</v>
      </c>
      <c r="Z63" s="5" t="n">
        <v>0</v>
      </c>
      <c r="AA63" s="5" t="n">
        <v>0</v>
      </c>
    </row>
    <row r="64" ht="30" customHeight="1" s="46">
      <c r="A64" s="5" t="n">
        <v>63</v>
      </c>
      <c r="B64" s="5" t="inlineStr">
        <is>
          <t>Landkreistag Rheinland-Pfalz</t>
        </is>
      </c>
      <c r="C64" s="5" t="inlineStr">
        <is>
          <t>context_actor</t>
        </is>
      </c>
      <c r="D64" s="5" t="n">
        <v>0</v>
      </c>
      <c r="E64" s="5" t="n">
        <v>5</v>
      </c>
      <c r="F64" s="5" t="n">
        <v>0</v>
      </c>
      <c r="G64" s="5" t="n">
        <v>5</v>
      </c>
      <c r="H64" s="5" t="n">
        <v>0</v>
      </c>
      <c r="I64" s="5" t="n">
        <v>0</v>
      </c>
      <c r="J64" s="5" t="n">
        <v>0</v>
      </c>
      <c r="K64" s="5" t="n">
        <v>0</v>
      </c>
      <c r="L64" s="5" t="n">
        <v>0</v>
      </c>
      <c r="M64" s="5" t="n">
        <v>0</v>
      </c>
      <c r="N64" s="5" t="n">
        <v>4</v>
      </c>
      <c r="O64" s="5" t="n">
        <v>5</v>
      </c>
      <c r="P64" s="5" t="n">
        <v>0</v>
      </c>
      <c r="Q64" s="5" t="n">
        <v>0</v>
      </c>
      <c r="R64" s="5" t="n">
        <v>0</v>
      </c>
      <c r="S64" s="5" t="n">
        <v>0</v>
      </c>
      <c r="T64" s="5" t="n">
        <v>0</v>
      </c>
      <c r="U64" s="5" t="n">
        <v>0</v>
      </c>
      <c r="V64" s="5" t="n">
        <v>5</v>
      </c>
      <c r="W64" s="5" t="n">
        <v>0</v>
      </c>
      <c r="X64" s="5" t="n">
        <v>0</v>
      </c>
      <c r="Y64" s="5" t="n">
        <v>0</v>
      </c>
      <c r="Z64" s="5" t="n">
        <v>0</v>
      </c>
      <c r="AA64" s="5" t="n">
        <v>0</v>
      </c>
    </row>
    <row r="65" ht="30" customHeight="1" s="46">
      <c r="A65" s="5" t="n">
        <v>64</v>
      </c>
      <c r="B65" s="5" t="inlineStr">
        <is>
          <t>Leonardo PersonalKonzept GmbH</t>
        </is>
      </c>
      <c r="C65" s="5" t="inlineStr">
        <is>
          <t>profit_anchor</t>
        </is>
      </c>
      <c r="D65" s="5" t="n">
        <v>0</v>
      </c>
      <c r="E65" s="5" t="n">
        <v>0</v>
      </c>
      <c r="F65" s="5" t="n">
        <v>0</v>
      </c>
      <c r="G65" s="5" t="n">
        <v>0</v>
      </c>
      <c r="H65" s="5" t="n">
        <v>0</v>
      </c>
      <c r="I65" s="5" t="n">
        <v>0</v>
      </c>
      <c r="J65" s="5" t="n">
        <v>4</v>
      </c>
      <c r="K65" s="5" t="n">
        <v>0</v>
      </c>
      <c r="L65" s="5" t="n">
        <v>0</v>
      </c>
      <c r="M65" s="5" t="n">
        <v>0</v>
      </c>
      <c r="N65" s="5" t="n">
        <v>0</v>
      </c>
      <c r="O65" s="5" t="n">
        <v>0</v>
      </c>
      <c r="P65" s="5" t="n">
        <v>0</v>
      </c>
      <c r="Q65" s="5" t="n">
        <v>0</v>
      </c>
      <c r="R65" s="5" t="n">
        <v>0</v>
      </c>
      <c r="S65" s="5" t="n">
        <v>0</v>
      </c>
      <c r="T65" s="5" t="n">
        <v>3</v>
      </c>
      <c r="U65" s="5" t="n">
        <v>0</v>
      </c>
      <c r="V65" s="5" t="n">
        <v>0</v>
      </c>
      <c r="W65" s="5" t="n">
        <v>0</v>
      </c>
      <c r="X65" s="5" t="n">
        <v>3</v>
      </c>
      <c r="Y65" s="5" t="n">
        <v>4</v>
      </c>
      <c r="Z65" s="5" t="n">
        <v>0</v>
      </c>
      <c r="AA65" s="5" t="n">
        <v>0</v>
      </c>
    </row>
    <row r="66" ht="30" customHeight="1" s="46">
      <c r="A66" s="5" t="n">
        <v>65</v>
      </c>
      <c r="B66" s="5" t="inlineStr">
        <is>
          <t>Licharz GmbH</t>
        </is>
      </c>
      <c r="C66" s="5" t="inlineStr">
        <is>
          <t>profit_anchor</t>
        </is>
      </c>
      <c r="D66" s="5" t="n">
        <v>0</v>
      </c>
      <c r="E66" s="5" t="n">
        <v>0</v>
      </c>
      <c r="F66" s="5" t="n">
        <v>0</v>
      </c>
      <c r="G66" s="5" t="n">
        <v>0</v>
      </c>
      <c r="H66" s="5" t="n">
        <v>0</v>
      </c>
      <c r="I66" s="5" t="n">
        <v>3</v>
      </c>
      <c r="J66" s="5" t="n">
        <v>0</v>
      </c>
      <c r="K66" s="5" t="n">
        <v>0</v>
      </c>
      <c r="L66" s="5" t="n">
        <v>0</v>
      </c>
      <c r="M66" s="5" t="n">
        <v>3</v>
      </c>
      <c r="N66" s="5" t="n">
        <v>0</v>
      </c>
      <c r="O66" s="5" t="n">
        <v>0</v>
      </c>
      <c r="P66" s="5" t="n">
        <v>0</v>
      </c>
      <c r="Q66" s="5" t="n">
        <v>0</v>
      </c>
      <c r="R66" s="5" t="n">
        <v>0</v>
      </c>
      <c r="S66" s="5" t="n">
        <v>0</v>
      </c>
      <c r="T66" s="5" t="n">
        <v>0</v>
      </c>
      <c r="U66" s="5" t="n">
        <v>0</v>
      </c>
      <c r="V66" s="5" t="n">
        <v>0</v>
      </c>
      <c r="W66" s="5" t="n">
        <v>0</v>
      </c>
      <c r="X66" s="5" t="n">
        <v>0</v>
      </c>
      <c r="Y66" s="5" t="n">
        <v>0</v>
      </c>
      <c r="Z66" s="5" t="n">
        <v>0</v>
      </c>
      <c r="AA66" s="5" t="n">
        <v>0</v>
      </c>
    </row>
    <row r="67" ht="30" customHeight="1" s="46">
      <c r="A67" s="5" t="n">
        <v>66</v>
      </c>
      <c r="B67" s="5" t="inlineStr">
        <is>
          <t>LOTTO Rheinland-Pfalz GmbH</t>
        </is>
      </c>
      <c r="C67" s="5" t="inlineStr">
        <is>
          <t>profit_anchor</t>
        </is>
      </c>
      <c r="D67" s="5" t="n">
        <v>0</v>
      </c>
      <c r="E67" s="5" t="n">
        <v>0</v>
      </c>
      <c r="F67" s="5" t="n">
        <v>0</v>
      </c>
      <c r="G67" s="5" t="n">
        <v>0</v>
      </c>
      <c r="H67" s="5" t="n">
        <v>0</v>
      </c>
      <c r="I67" s="5" t="n">
        <v>0</v>
      </c>
      <c r="J67" s="5" t="n">
        <v>0</v>
      </c>
      <c r="K67" s="5" t="n">
        <v>0</v>
      </c>
      <c r="L67" s="5" t="n">
        <v>0</v>
      </c>
      <c r="M67" s="5" t="n">
        <v>0</v>
      </c>
      <c r="N67" s="5" t="n">
        <v>0</v>
      </c>
      <c r="O67" s="5" t="n">
        <v>0</v>
      </c>
      <c r="P67" s="5" t="n">
        <v>3</v>
      </c>
      <c r="Q67" s="5" t="n">
        <v>0</v>
      </c>
      <c r="R67" s="5" t="n">
        <v>3</v>
      </c>
      <c r="S67" s="5" t="n">
        <v>0</v>
      </c>
      <c r="T67" s="5" t="n">
        <v>0</v>
      </c>
      <c r="U67" s="5" t="n">
        <v>0</v>
      </c>
      <c r="V67" s="5" t="n">
        <v>0</v>
      </c>
      <c r="W67" s="5" t="n">
        <v>0</v>
      </c>
      <c r="X67" s="5" t="n">
        <v>0</v>
      </c>
      <c r="Y67" s="5" t="n">
        <v>0</v>
      </c>
      <c r="Z67" s="5" t="n">
        <v>0</v>
      </c>
      <c r="AA67" s="5" t="n">
        <v>4</v>
      </c>
    </row>
    <row r="68" ht="30" customHeight="1" s="46">
      <c r="A68" s="5" t="n">
        <v>67</v>
      </c>
      <c r="B68" s="5" t="inlineStr">
        <is>
          <t>LÖWEN ENTERTAINMENT GmbH</t>
        </is>
      </c>
      <c r="C68" s="5" t="inlineStr">
        <is>
          <t>profit_anchor</t>
        </is>
      </c>
      <c r="D68" s="5" t="n">
        <v>0</v>
      </c>
      <c r="E68" s="5" t="n">
        <v>0</v>
      </c>
      <c r="F68" s="5" t="n">
        <v>0</v>
      </c>
      <c r="G68" s="5" t="n">
        <v>0</v>
      </c>
      <c r="H68" s="5" t="n">
        <v>0</v>
      </c>
      <c r="I68" s="5" t="n">
        <v>0</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row>
    <row r="69" ht="30" customHeight="1" s="46">
      <c r="A69" s="5" t="n">
        <v>68</v>
      </c>
      <c r="B69" s="5" t="inlineStr">
        <is>
          <t>Mainzer Stadtwerke AG</t>
        </is>
      </c>
      <c r="C69" s="5" t="inlineStr">
        <is>
          <t>profit_anchor</t>
        </is>
      </c>
      <c r="D69" s="5" t="n">
        <v>5</v>
      </c>
      <c r="E69" s="5" t="n">
        <v>0</v>
      </c>
      <c r="F69" s="5" t="n">
        <v>4</v>
      </c>
      <c r="G69" s="5" t="n">
        <v>4</v>
      </c>
      <c r="H69" s="5" t="n">
        <v>0</v>
      </c>
      <c r="I69" s="5" t="n">
        <v>0</v>
      </c>
      <c r="J69" s="5" t="n">
        <v>0</v>
      </c>
      <c r="K69" s="5" t="n">
        <v>0</v>
      </c>
      <c r="L69" s="5" t="n">
        <v>0</v>
      </c>
      <c r="M69" s="5" t="n">
        <v>0</v>
      </c>
      <c r="N69" s="5" t="n">
        <v>5</v>
      </c>
      <c r="O69" s="5" t="n">
        <v>0</v>
      </c>
      <c r="P69" s="5" t="n">
        <v>0</v>
      </c>
      <c r="Q69" s="5" t="n">
        <v>0</v>
      </c>
      <c r="R69" s="5" t="n">
        <v>0</v>
      </c>
      <c r="S69" s="5" t="n">
        <v>0</v>
      </c>
      <c r="T69" s="5" t="n">
        <v>0</v>
      </c>
      <c r="U69" s="5" t="n">
        <v>0</v>
      </c>
      <c r="V69" s="5" t="n">
        <v>0</v>
      </c>
      <c r="W69" s="5" t="n">
        <v>0</v>
      </c>
      <c r="X69" s="5" t="n">
        <v>0</v>
      </c>
      <c r="Y69" s="5" t="n">
        <v>0</v>
      </c>
      <c r="Z69" s="5" t="n">
        <v>0</v>
      </c>
      <c r="AA69" s="5" t="n">
        <v>0</v>
      </c>
    </row>
    <row r="70" ht="30" customHeight="1" s="46">
      <c r="A70" s="5" t="n">
        <v>69</v>
      </c>
      <c r="B70" s="5" t="inlineStr">
        <is>
          <t>Michelin Reifenwerke AG &amp; Co. KGaA</t>
        </is>
      </c>
      <c r="C70" s="5" t="inlineStr">
        <is>
          <t>profit_anchor</t>
        </is>
      </c>
      <c r="D70" s="5" t="n">
        <v>3</v>
      </c>
      <c r="E70" s="5" t="n">
        <v>0</v>
      </c>
      <c r="F70" s="5" t="n">
        <v>0</v>
      </c>
      <c r="G70" s="5" t="n">
        <v>0</v>
      </c>
      <c r="H70" s="5" t="n">
        <v>4</v>
      </c>
      <c r="I70" s="5" t="n">
        <v>0</v>
      </c>
      <c r="J70" s="5" t="n">
        <v>0</v>
      </c>
      <c r="K70" s="5" t="n">
        <v>0</v>
      </c>
      <c r="L70" s="5" t="n">
        <v>0</v>
      </c>
      <c r="M70" s="5" t="n">
        <v>4</v>
      </c>
      <c r="N70" s="5" t="n">
        <v>0</v>
      </c>
      <c r="O70" s="5" t="n">
        <v>0</v>
      </c>
      <c r="P70" s="5" t="n">
        <v>0</v>
      </c>
      <c r="Q70" s="5" t="n">
        <v>0</v>
      </c>
      <c r="R70" s="5" t="n">
        <v>0</v>
      </c>
      <c r="S70" s="5" t="n">
        <v>0</v>
      </c>
      <c r="T70" s="5" t="n">
        <v>0</v>
      </c>
      <c r="U70" s="5" t="n">
        <v>0</v>
      </c>
      <c r="V70" s="5" t="n">
        <v>0</v>
      </c>
      <c r="W70" s="5" t="n">
        <v>0</v>
      </c>
      <c r="X70" s="5" t="n">
        <v>0</v>
      </c>
      <c r="Y70" s="5" t="n">
        <v>0</v>
      </c>
      <c r="Z70" s="5" t="n">
        <v>0</v>
      </c>
      <c r="AA70" s="5" t="n">
        <v>0</v>
      </c>
    </row>
    <row r="71" ht="30" customHeight="1" s="46">
      <c r="A71" s="5" t="n">
        <v>70</v>
      </c>
      <c r="B71" s="5" t="inlineStr">
        <is>
          <t>Ministerium für Wirtschaft, Verkehr, Landwirtschaft und Weinbau</t>
        </is>
      </c>
      <c r="C71" s="5" t="inlineStr">
        <is>
          <t>profit_anchor</t>
        </is>
      </c>
      <c r="D71" s="5" t="n">
        <v>0</v>
      </c>
      <c r="E71" s="5" t="n">
        <v>0</v>
      </c>
      <c r="F71" s="5" t="n">
        <v>0</v>
      </c>
      <c r="G71" s="5" t="n">
        <v>0</v>
      </c>
      <c r="H71" s="5" t="n">
        <v>5</v>
      </c>
      <c r="I71" s="5" t="n">
        <v>0</v>
      </c>
      <c r="J71" s="5" t="n">
        <v>4</v>
      </c>
      <c r="K71" s="5" t="n">
        <v>5</v>
      </c>
      <c r="L71" s="5" t="n">
        <v>0</v>
      </c>
      <c r="M71" s="5" t="n">
        <v>0</v>
      </c>
      <c r="N71" s="5" t="n">
        <v>0</v>
      </c>
      <c r="O71" s="5" t="n">
        <v>4</v>
      </c>
      <c r="P71" s="5" t="n">
        <v>0</v>
      </c>
      <c r="Q71" s="5" t="n">
        <v>0</v>
      </c>
      <c r="R71" s="5" t="n">
        <v>0</v>
      </c>
      <c r="S71" s="5" t="n">
        <v>0</v>
      </c>
      <c r="T71" s="5" t="n">
        <v>0</v>
      </c>
      <c r="U71" s="5" t="n">
        <v>0</v>
      </c>
      <c r="V71" s="5" t="n">
        <v>5</v>
      </c>
      <c r="W71" s="5" t="n">
        <v>0</v>
      </c>
      <c r="X71" s="5" t="n">
        <v>0</v>
      </c>
      <c r="Y71" s="5" t="n">
        <v>0</v>
      </c>
      <c r="Z71" s="5" t="n">
        <v>0</v>
      </c>
      <c r="AA71" s="5" t="n">
        <v>0</v>
      </c>
    </row>
    <row r="72" ht="30" customHeight="1" s="46">
      <c r="A72" s="5" t="n">
        <v>71</v>
      </c>
      <c r="B72" s="5" t="inlineStr">
        <is>
          <t>PFAFF Industriesysteme und Maschinen GmbH</t>
        </is>
      </c>
      <c r="C72" s="5" t="inlineStr">
        <is>
          <t>profit_anchor</t>
        </is>
      </c>
      <c r="D72" s="5" t="n">
        <v>0</v>
      </c>
      <c r="E72" s="5" t="n">
        <v>0</v>
      </c>
      <c r="F72" s="5" t="n">
        <v>0</v>
      </c>
      <c r="G72" s="5" t="n">
        <v>0</v>
      </c>
      <c r="H72" s="5" t="n">
        <v>0</v>
      </c>
      <c r="I72" s="5" t="n">
        <v>4</v>
      </c>
      <c r="J72" s="5" t="n">
        <v>0</v>
      </c>
      <c r="K72" s="5" t="n">
        <v>0</v>
      </c>
      <c r="L72" s="5" t="n">
        <v>0</v>
      </c>
      <c r="M72" s="5" t="n">
        <v>5</v>
      </c>
      <c r="N72" s="5" t="n">
        <v>0</v>
      </c>
      <c r="O72" s="5" t="n">
        <v>0</v>
      </c>
      <c r="P72" s="5" t="n">
        <v>0</v>
      </c>
      <c r="Q72" s="5" t="n">
        <v>0</v>
      </c>
      <c r="R72" s="5" t="n">
        <v>0</v>
      </c>
      <c r="S72" s="5" t="n">
        <v>0</v>
      </c>
      <c r="T72" s="5" t="n">
        <v>0</v>
      </c>
      <c r="U72" s="5" t="n">
        <v>0</v>
      </c>
      <c r="V72" s="5" t="n">
        <v>0</v>
      </c>
      <c r="W72" s="5" t="n">
        <v>0</v>
      </c>
      <c r="X72" s="5" t="n">
        <v>0</v>
      </c>
      <c r="Y72" s="5" t="n">
        <v>0</v>
      </c>
      <c r="Z72" s="5" t="n">
        <v>0</v>
      </c>
      <c r="AA72" s="5" t="n">
        <v>0</v>
      </c>
    </row>
    <row r="73" ht="30" customHeight="1" s="46">
      <c r="A73" s="5" t="n">
        <v>72</v>
      </c>
      <c r="B73" s="5" t="inlineStr">
        <is>
          <t>Pfalzwerke AG</t>
        </is>
      </c>
      <c r="C73" s="5" t="inlineStr">
        <is>
          <t>profit_anchor</t>
        </is>
      </c>
      <c r="D73" s="5" t="n">
        <v>5</v>
      </c>
      <c r="E73" s="5" t="n">
        <v>0</v>
      </c>
      <c r="F73" s="5" t="n">
        <v>3</v>
      </c>
      <c r="G73" s="5" t="n">
        <v>3</v>
      </c>
      <c r="H73" s="5" t="n">
        <v>0</v>
      </c>
      <c r="I73" s="5" t="n">
        <v>0</v>
      </c>
      <c r="J73" s="5" t="n">
        <v>0</v>
      </c>
      <c r="K73" s="5" t="n">
        <v>3</v>
      </c>
      <c r="L73" s="5" t="n">
        <v>0</v>
      </c>
      <c r="M73" s="5" t="n">
        <v>0</v>
      </c>
      <c r="N73" s="5" t="n">
        <v>5</v>
      </c>
      <c r="O73" s="5" t="n">
        <v>0</v>
      </c>
      <c r="P73" s="5" t="n">
        <v>0</v>
      </c>
      <c r="Q73" s="5" t="n">
        <v>0</v>
      </c>
      <c r="R73" s="5" t="n">
        <v>0</v>
      </c>
      <c r="S73" s="5" t="n">
        <v>0</v>
      </c>
      <c r="T73" s="5" t="n">
        <v>0</v>
      </c>
      <c r="U73" s="5" t="n">
        <v>0</v>
      </c>
      <c r="V73" s="5" t="n">
        <v>0</v>
      </c>
      <c r="W73" s="5" t="n">
        <v>0</v>
      </c>
      <c r="X73" s="5" t="n">
        <v>0</v>
      </c>
      <c r="Y73" s="5" t="n">
        <v>0</v>
      </c>
      <c r="Z73" s="5" t="n">
        <v>0</v>
      </c>
      <c r="AA73" s="5" t="n">
        <v>0</v>
      </c>
    </row>
    <row r="74" ht="30" customHeight="1" s="46">
      <c r="A74" s="5" t="n">
        <v>73</v>
      </c>
      <c r="B74" s="5" t="inlineStr">
        <is>
          <t>Provinzial Versicherung AG</t>
        </is>
      </c>
      <c r="C74" s="5" t="inlineStr">
        <is>
          <t>profit_anchor</t>
        </is>
      </c>
      <c r="D74" s="5" t="n">
        <v>0</v>
      </c>
      <c r="E74" s="5" t="n">
        <v>0</v>
      </c>
      <c r="F74" s="5" t="n">
        <v>0</v>
      </c>
      <c r="G74" s="5" t="n">
        <v>0</v>
      </c>
      <c r="H74" s="5" t="n">
        <v>0</v>
      </c>
      <c r="I74" s="5" t="n">
        <v>0</v>
      </c>
      <c r="J74" s="5" t="n">
        <v>0</v>
      </c>
      <c r="K74" s="5" t="n">
        <v>4</v>
      </c>
      <c r="L74" s="5" t="n">
        <v>0</v>
      </c>
      <c r="M74" s="5" t="n">
        <v>0</v>
      </c>
      <c r="N74" s="5" t="n">
        <v>4</v>
      </c>
      <c r="O74" s="5" t="n">
        <v>0</v>
      </c>
      <c r="P74" s="5" t="n">
        <v>0</v>
      </c>
      <c r="Q74" s="5" t="n">
        <v>0</v>
      </c>
      <c r="R74" s="5" t="n">
        <v>0</v>
      </c>
      <c r="S74" s="5" t="n">
        <v>0</v>
      </c>
      <c r="T74" s="5" t="n">
        <v>0</v>
      </c>
      <c r="U74" s="5" t="n">
        <v>0</v>
      </c>
      <c r="V74" s="5" t="n">
        <v>0</v>
      </c>
      <c r="W74" s="5" t="n">
        <v>0</v>
      </c>
      <c r="X74" s="5" t="n">
        <v>0</v>
      </c>
      <c r="Y74" s="5" t="n">
        <v>0</v>
      </c>
      <c r="Z74" s="5" t="n">
        <v>0</v>
      </c>
      <c r="AA74" s="5" t="n">
        <v>0</v>
      </c>
    </row>
    <row r="75" ht="30" customHeight="1" s="46">
      <c r="A75" s="5" t="n">
        <v>74</v>
      </c>
      <c r="B75" s="5" t="inlineStr">
        <is>
          <t>Rheinland-Pfälzische Technische Universität Kaiserslautern-Landau (RPTU)</t>
        </is>
      </c>
      <c r="C75" s="5" t="inlineStr">
        <is>
          <t>academic_support</t>
        </is>
      </c>
      <c r="D75" s="5" t="n">
        <v>0</v>
      </c>
      <c r="E75" s="5" t="n">
        <v>0</v>
      </c>
      <c r="F75" s="5" t="n">
        <v>0</v>
      </c>
      <c r="G75" s="5" t="n">
        <v>0</v>
      </c>
      <c r="H75" s="5" t="n">
        <v>0</v>
      </c>
      <c r="I75" s="5" t="n">
        <v>5</v>
      </c>
      <c r="J75" s="5" t="n">
        <v>0</v>
      </c>
      <c r="K75" s="5" t="n">
        <v>0</v>
      </c>
      <c r="L75" s="5" t="n">
        <v>5</v>
      </c>
      <c r="M75" s="5" t="n">
        <v>5</v>
      </c>
      <c r="N75" s="5" t="n">
        <v>5</v>
      </c>
      <c r="O75" s="5" t="n">
        <v>0</v>
      </c>
      <c r="P75" s="5" t="n">
        <v>0</v>
      </c>
      <c r="Q75" s="5" t="n">
        <v>0</v>
      </c>
      <c r="R75" s="5" t="n">
        <v>0</v>
      </c>
      <c r="S75" s="5" t="n">
        <v>5</v>
      </c>
      <c r="T75" s="5" t="n">
        <v>0</v>
      </c>
      <c r="U75" s="5" t="n">
        <v>0</v>
      </c>
      <c r="V75" s="5" t="n">
        <v>0</v>
      </c>
      <c r="W75" s="5" t="n">
        <v>0</v>
      </c>
      <c r="X75" s="5" t="n">
        <v>0</v>
      </c>
      <c r="Y75" s="5" t="n">
        <v>0</v>
      </c>
      <c r="Z75" s="5" t="n">
        <v>0</v>
      </c>
      <c r="AA75" s="5" t="n">
        <v>0</v>
      </c>
    </row>
    <row r="76" ht="30" customHeight="1" s="46">
      <c r="A76" s="5" t="n">
        <v>75</v>
      </c>
      <c r="B76" s="5" t="inlineStr">
        <is>
          <t>robotspaceship</t>
        </is>
      </c>
      <c r="C76" s="5" t="inlineStr">
        <is>
          <t>context_actor</t>
        </is>
      </c>
      <c r="D76" s="5" t="n">
        <v>0</v>
      </c>
      <c r="E76" s="5" t="n">
        <v>0</v>
      </c>
      <c r="F76" s="5" t="n">
        <v>0</v>
      </c>
      <c r="G76" s="5" t="n">
        <v>0</v>
      </c>
      <c r="H76" s="5" t="n">
        <v>0</v>
      </c>
      <c r="I76" s="5" t="n">
        <v>5</v>
      </c>
      <c r="J76" s="5" t="n">
        <v>0</v>
      </c>
      <c r="K76" s="5" t="n">
        <v>0</v>
      </c>
      <c r="L76" s="5" t="n">
        <v>5</v>
      </c>
      <c r="M76" s="5" t="n">
        <v>0</v>
      </c>
      <c r="N76" s="5" t="n">
        <v>0</v>
      </c>
      <c r="O76" s="5" t="n">
        <v>0</v>
      </c>
      <c r="P76" s="5" t="n">
        <v>0</v>
      </c>
      <c r="Q76" s="5" t="n">
        <v>4</v>
      </c>
      <c r="R76" s="5" t="n">
        <v>0</v>
      </c>
      <c r="S76" s="5" t="n">
        <v>0</v>
      </c>
      <c r="T76" s="5" t="n">
        <v>0</v>
      </c>
      <c r="U76" s="5" t="n">
        <v>0</v>
      </c>
      <c r="V76" s="5" t="n">
        <v>0</v>
      </c>
      <c r="W76" s="5" t="n">
        <v>0</v>
      </c>
      <c r="X76" s="5" t="n">
        <v>0</v>
      </c>
      <c r="Y76" s="5" t="n">
        <v>0</v>
      </c>
      <c r="Z76" s="5" t="n">
        <v>0</v>
      </c>
      <c r="AA76" s="5" t="n">
        <v>0</v>
      </c>
    </row>
    <row r="77" ht="30" customHeight="1" s="46">
      <c r="A77" s="5" t="n">
        <v>76</v>
      </c>
      <c r="B77" s="5" t="inlineStr">
        <is>
          <t>RPR1.</t>
        </is>
      </c>
      <c r="C77" s="5" t="inlineStr">
        <is>
          <t>context_actor</t>
        </is>
      </c>
      <c r="D77" s="5" t="n">
        <v>0</v>
      </c>
      <c r="E77" s="5" t="n">
        <v>0</v>
      </c>
      <c r="F77" s="5" t="n">
        <v>0</v>
      </c>
      <c r="G77" s="5" t="n">
        <v>0</v>
      </c>
      <c r="H77" s="5" t="n">
        <v>0</v>
      </c>
      <c r="I77" s="5" t="n">
        <v>0</v>
      </c>
      <c r="J77" s="5" t="n">
        <v>0</v>
      </c>
      <c r="K77" s="5" t="n">
        <v>0</v>
      </c>
      <c r="L77" s="5" t="n">
        <v>0</v>
      </c>
      <c r="M77" s="5" t="n">
        <v>0</v>
      </c>
      <c r="N77" s="5" t="n">
        <v>0</v>
      </c>
      <c r="O77" s="5" t="n">
        <v>0</v>
      </c>
      <c r="P77" s="5" t="n">
        <v>4</v>
      </c>
      <c r="Q77" s="5" t="n">
        <v>5</v>
      </c>
      <c r="R77" s="5" t="n">
        <v>0</v>
      </c>
      <c r="S77" s="5" t="n">
        <v>0</v>
      </c>
      <c r="T77" s="5" t="n">
        <v>0</v>
      </c>
      <c r="U77" s="5" t="n">
        <v>4</v>
      </c>
      <c r="V77" s="5" t="n">
        <v>0</v>
      </c>
      <c r="W77" s="5" t="n">
        <v>0</v>
      </c>
      <c r="X77" s="5" t="n">
        <v>0</v>
      </c>
      <c r="Y77" s="5" t="n">
        <v>0</v>
      </c>
      <c r="Z77" s="5" t="n">
        <v>5</v>
      </c>
      <c r="AA77" s="5" t="n">
        <v>4</v>
      </c>
    </row>
    <row r="78" ht="30" customHeight="1" s="46">
      <c r="A78" s="5" t="n">
        <v>77</v>
      </c>
      <c r="B78" s="5" t="inlineStr">
        <is>
          <t>Schoenergie GmbH</t>
        </is>
      </c>
      <c r="C78" s="5" t="inlineStr">
        <is>
          <t>profit_anchor</t>
        </is>
      </c>
      <c r="D78" s="5" t="n">
        <v>4</v>
      </c>
      <c r="E78" s="5" t="n">
        <v>0</v>
      </c>
      <c r="F78" s="5" t="n">
        <v>0</v>
      </c>
      <c r="G78" s="5" t="n">
        <v>0</v>
      </c>
      <c r="H78" s="5" t="n">
        <v>0</v>
      </c>
      <c r="I78" s="5" t="n">
        <v>0</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row>
    <row r="79" ht="30" customHeight="1" s="46">
      <c r="A79" s="5" t="n">
        <v>78</v>
      </c>
      <c r="B79" s="5" t="inlineStr">
        <is>
          <t>SCHOTT AG</t>
        </is>
      </c>
      <c r="C79" s="5" t="inlineStr">
        <is>
          <t>profit_anchor</t>
        </is>
      </c>
      <c r="D79" s="5" t="n">
        <v>4</v>
      </c>
      <c r="E79" s="5" t="n">
        <v>0</v>
      </c>
      <c r="F79" s="5" t="n">
        <v>0</v>
      </c>
      <c r="G79" s="5" t="n">
        <v>0</v>
      </c>
      <c r="H79" s="5" t="n">
        <v>5</v>
      </c>
      <c r="I79" s="5" t="n">
        <v>0</v>
      </c>
      <c r="J79" s="5" t="n">
        <v>0</v>
      </c>
      <c r="K79" s="5" t="n">
        <v>3</v>
      </c>
      <c r="L79" s="5" t="n">
        <v>0</v>
      </c>
      <c r="M79" s="5" t="n">
        <v>4</v>
      </c>
      <c r="N79" s="5" t="n">
        <v>0</v>
      </c>
      <c r="O79" s="5" t="n">
        <v>0</v>
      </c>
      <c r="P79" s="5" t="n">
        <v>0</v>
      </c>
      <c r="Q79" s="5" t="n">
        <v>0</v>
      </c>
      <c r="R79" s="5" t="n">
        <v>0</v>
      </c>
      <c r="S79" s="5" t="n">
        <v>4</v>
      </c>
      <c r="T79" s="5" t="n">
        <v>0</v>
      </c>
      <c r="U79" s="5" t="n">
        <v>0</v>
      </c>
      <c r="V79" s="5" t="n">
        <v>0</v>
      </c>
      <c r="W79" s="5" t="n">
        <v>0</v>
      </c>
      <c r="X79" s="5" t="n">
        <v>0</v>
      </c>
      <c r="Y79" s="5" t="n">
        <v>0</v>
      </c>
      <c r="Z79" s="5" t="n">
        <v>0</v>
      </c>
      <c r="AA79" s="5" t="n">
        <v>0</v>
      </c>
    </row>
    <row r="80" ht="30" customHeight="1" s="46">
      <c r="A80" s="5" t="n">
        <v>79</v>
      </c>
      <c r="B80" s="5" t="inlineStr">
        <is>
          <t>Schuler Service GmbH &amp; Co. KG</t>
        </is>
      </c>
      <c r="C80" s="5" t="inlineStr">
        <is>
          <t>profit_anchor</t>
        </is>
      </c>
      <c r="D80" s="5" t="n">
        <v>0</v>
      </c>
      <c r="E80" s="5" t="n">
        <v>0</v>
      </c>
      <c r="F80" s="5" t="n">
        <v>0</v>
      </c>
      <c r="G80" s="5" t="n">
        <v>0</v>
      </c>
      <c r="H80" s="5" t="n">
        <v>0</v>
      </c>
      <c r="I80" s="5" t="n">
        <v>0</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row>
    <row r="81" ht="30" customHeight="1" s="46">
      <c r="A81" s="5" t="n">
        <v>80</v>
      </c>
      <c r="B81" s="5" t="inlineStr">
        <is>
          <t>SIMONA AG</t>
        </is>
      </c>
      <c r="C81" s="5" t="inlineStr">
        <is>
          <t>profit_anchor</t>
        </is>
      </c>
      <c r="D81" s="5" t="n">
        <v>3</v>
      </c>
      <c r="E81" s="5" t="n">
        <v>0</v>
      </c>
      <c r="F81" s="5" t="n">
        <v>0</v>
      </c>
      <c r="G81" s="5" t="n">
        <v>0</v>
      </c>
      <c r="H81" s="5" t="n">
        <v>4</v>
      </c>
      <c r="I81" s="5" t="n">
        <v>0</v>
      </c>
      <c r="J81" s="5" t="n">
        <v>0</v>
      </c>
      <c r="K81" s="5" t="n">
        <v>0</v>
      </c>
      <c r="L81" s="5" t="n">
        <v>0</v>
      </c>
      <c r="M81" s="5" t="n">
        <v>3</v>
      </c>
      <c r="N81" s="5" t="n">
        <v>0</v>
      </c>
      <c r="O81" s="5" t="n">
        <v>0</v>
      </c>
      <c r="P81" s="5" t="n">
        <v>0</v>
      </c>
      <c r="Q81" s="5" t="n">
        <v>0</v>
      </c>
      <c r="R81" s="5" t="n">
        <v>0</v>
      </c>
      <c r="S81" s="5" t="n">
        <v>0</v>
      </c>
      <c r="T81" s="5" t="n">
        <v>0</v>
      </c>
      <c r="U81" s="5" t="n">
        <v>0</v>
      </c>
      <c r="V81" s="5" t="n">
        <v>0</v>
      </c>
      <c r="W81" s="5" t="n">
        <v>0</v>
      </c>
      <c r="X81" s="5" t="n">
        <v>0</v>
      </c>
      <c r="Y81" s="5" t="n">
        <v>0</v>
      </c>
      <c r="Z81" s="5" t="n">
        <v>0</v>
      </c>
      <c r="AA81" s="5" t="n">
        <v>0</v>
      </c>
    </row>
    <row r="82" ht="30" customHeight="1" s="46">
      <c r="A82" s="5" t="n">
        <v>81</v>
      </c>
      <c r="B82" s="5" t="inlineStr">
        <is>
          <t>SmartFactory KL e.V.</t>
        </is>
      </c>
      <c r="C82" s="5" t="inlineStr">
        <is>
          <t>context_actor</t>
        </is>
      </c>
      <c r="D82" s="5" t="n">
        <v>0</v>
      </c>
      <c r="E82" s="5" t="n">
        <v>0</v>
      </c>
      <c r="F82" s="5" t="n">
        <v>0</v>
      </c>
      <c r="G82" s="5" t="n">
        <v>0</v>
      </c>
      <c r="H82" s="5" t="n">
        <v>0</v>
      </c>
      <c r="I82" s="5" t="n">
        <v>5</v>
      </c>
      <c r="J82" s="5" t="n">
        <v>0</v>
      </c>
      <c r="K82" s="5" t="n">
        <v>0</v>
      </c>
      <c r="L82" s="5" t="n">
        <v>4</v>
      </c>
      <c r="M82" s="5" t="n">
        <v>5</v>
      </c>
      <c r="N82" s="5" t="n">
        <v>0</v>
      </c>
      <c r="O82" s="5" t="n">
        <v>0</v>
      </c>
      <c r="P82" s="5" t="n">
        <v>0</v>
      </c>
      <c r="Q82" s="5" t="n">
        <v>0</v>
      </c>
      <c r="R82" s="5" t="n">
        <v>0</v>
      </c>
      <c r="S82" s="5" t="n">
        <v>5</v>
      </c>
      <c r="T82" s="5" t="n">
        <v>0</v>
      </c>
      <c r="U82" s="5" t="n">
        <v>0</v>
      </c>
      <c r="V82" s="5" t="n">
        <v>0</v>
      </c>
      <c r="W82" s="5" t="n">
        <v>0</v>
      </c>
      <c r="X82" s="5" t="n">
        <v>0</v>
      </c>
      <c r="Y82" s="5" t="n">
        <v>0</v>
      </c>
      <c r="Z82" s="5" t="n">
        <v>0</v>
      </c>
      <c r="AA82" s="5" t="n">
        <v>0</v>
      </c>
    </row>
    <row r="83" ht="30" customHeight="1" s="46">
      <c r="A83" s="5" t="n">
        <v>82</v>
      </c>
      <c r="B83" s="5" t="inlineStr">
        <is>
          <t>Sparkassenverband Rheinland-Pfalz</t>
        </is>
      </c>
      <c r="C83" s="5" t="inlineStr">
        <is>
          <t>profit_anchor</t>
        </is>
      </c>
      <c r="D83" s="5" t="n">
        <v>0</v>
      </c>
      <c r="E83" s="5" t="n">
        <v>0</v>
      </c>
      <c r="F83" s="5" t="n">
        <v>0</v>
      </c>
      <c r="G83" s="5" t="n">
        <v>0</v>
      </c>
      <c r="H83" s="5" t="n">
        <v>4</v>
      </c>
      <c r="I83" s="5" t="n">
        <v>3</v>
      </c>
      <c r="J83" s="5" t="n">
        <v>0</v>
      </c>
      <c r="K83" s="5" t="n">
        <v>5</v>
      </c>
      <c r="L83" s="5" t="n">
        <v>0</v>
      </c>
      <c r="M83" s="5" t="n">
        <v>0</v>
      </c>
      <c r="N83" s="5" t="n">
        <v>4</v>
      </c>
      <c r="O83" s="5" t="n">
        <v>0</v>
      </c>
      <c r="P83" s="5" t="n">
        <v>0</v>
      </c>
      <c r="Q83" s="5" t="n">
        <v>0</v>
      </c>
      <c r="R83" s="5" t="n">
        <v>0</v>
      </c>
      <c r="S83" s="5" t="n">
        <v>0</v>
      </c>
      <c r="T83" s="5" t="n">
        <v>0</v>
      </c>
      <c r="U83" s="5" t="n">
        <v>0</v>
      </c>
      <c r="V83" s="5" t="n">
        <v>3</v>
      </c>
      <c r="W83" s="5" t="n">
        <v>0</v>
      </c>
      <c r="X83" s="5" t="n">
        <v>0</v>
      </c>
      <c r="Y83" s="5" t="n">
        <v>0</v>
      </c>
      <c r="Z83" s="5" t="n">
        <v>0</v>
      </c>
      <c r="AA83" s="5" t="n">
        <v>0</v>
      </c>
    </row>
    <row r="84" ht="30" customHeight="1" s="46">
      <c r="A84" s="5" t="n">
        <v>83</v>
      </c>
      <c r="B84" s="5" t="inlineStr">
        <is>
          <t>Staatskanzlei des Landes Rheinland-Pfalz</t>
        </is>
      </c>
      <c r="C84" s="5" t="inlineStr">
        <is>
          <t>context_actor</t>
        </is>
      </c>
      <c r="D84" s="5" t="n">
        <v>0</v>
      </c>
      <c r="E84" s="5" t="n">
        <v>0</v>
      </c>
      <c r="F84" s="5" t="n">
        <v>0</v>
      </c>
      <c r="G84" s="5" t="n">
        <v>0</v>
      </c>
      <c r="H84" s="5" t="n">
        <v>0</v>
      </c>
      <c r="I84" s="5" t="n">
        <v>0</v>
      </c>
      <c r="J84" s="5" t="n">
        <v>0</v>
      </c>
      <c r="K84" s="5" t="n">
        <v>0</v>
      </c>
      <c r="L84" s="5" t="n">
        <v>0</v>
      </c>
      <c r="M84" s="5" t="n">
        <v>0</v>
      </c>
      <c r="N84" s="5" t="n">
        <v>5</v>
      </c>
      <c r="O84" s="5" t="n">
        <v>4</v>
      </c>
      <c r="P84" s="5" t="n">
        <v>0</v>
      </c>
      <c r="Q84" s="5" t="n">
        <v>0</v>
      </c>
      <c r="R84" s="5" t="n">
        <v>0</v>
      </c>
      <c r="S84" s="5" t="n">
        <v>0</v>
      </c>
      <c r="T84" s="5" t="n">
        <v>0</v>
      </c>
      <c r="U84" s="5" t="n">
        <v>5</v>
      </c>
      <c r="V84" s="5" t="n">
        <v>5</v>
      </c>
      <c r="W84" s="5" t="n">
        <v>0</v>
      </c>
      <c r="X84" s="5" t="n">
        <v>0</v>
      </c>
      <c r="Y84" s="5" t="n">
        <v>0</v>
      </c>
      <c r="Z84" s="5" t="n">
        <v>5</v>
      </c>
      <c r="AA84" s="5" t="n">
        <v>0</v>
      </c>
    </row>
    <row r="85" ht="30" customHeight="1" s="46">
      <c r="A85" s="5" t="n">
        <v>84</v>
      </c>
      <c r="B85" s="5" t="inlineStr">
        <is>
          <t>Steuerberaterkammer Rheinland-Pfalz</t>
        </is>
      </c>
      <c r="C85" s="5" t="inlineStr">
        <is>
          <t>implementation_anchor</t>
        </is>
      </c>
      <c r="D85" s="5" t="n">
        <v>0</v>
      </c>
      <c r="E85" s="5" t="n">
        <v>0</v>
      </c>
      <c r="F85" s="5" t="n">
        <v>0</v>
      </c>
      <c r="G85" s="5" t="n">
        <v>0</v>
      </c>
      <c r="H85" s="5" t="n">
        <v>0</v>
      </c>
      <c r="I85" s="5" t="n">
        <v>0</v>
      </c>
      <c r="J85" s="5" t="n">
        <v>0</v>
      </c>
      <c r="K85" s="5" t="n">
        <v>0</v>
      </c>
      <c r="L85" s="5" t="n">
        <v>0</v>
      </c>
      <c r="M85" s="5" t="n">
        <v>0</v>
      </c>
      <c r="N85" s="5" t="n">
        <v>0</v>
      </c>
      <c r="O85" s="5" t="n">
        <v>0</v>
      </c>
      <c r="P85" s="5" t="n">
        <v>0</v>
      </c>
      <c r="Q85" s="5" t="n">
        <v>0</v>
      </c>
      <c r="R85" s="5" t="n">
        <v>0</v>
      </c>
      <c r="S85" s="5" t="n">
        <v>0</v>
      </c>
      <c r="T85" s="5" t="n">
        <v>0</v>
      </c>
      <c r="U85" s="5" t="n">
        <v>0</v>
      </c>
      <c r="V85" s="5" t="n">
        <v>0</v>
      </c>
      <c r="W85" s="5" t="n">
        <v>0</v>
      </c>
      <c r="X85" s="5" t="n">
        <v>0</v>
      </c>
      <c r="Y85" s="5" t="n">
        <v>0</v>
      </c>
      <c r="Z85" s="5" t="n">
        <v>0</v>
      </c>
      <c r="AA85" s="5" t="n">
        <v>0</v>
      </c>
    </row>
    <row r="86" ht="30" customHeight="1" s="46">
      <c r="A86" s="5" t="n">
        <v>85</v>
      </c>
      <c r="B86" s="5" t="inlineStr">
        <is>
          <t>Städtetag Rheinland-Pfalz</t>
        </is>
      </c>
      <c r="C86" s="5" t="inlineStr">
        <is>
          <t>context_actor</t>
        </is>
      </c>
      <c r="D86" s="5" t="n">
        <v>0</v>
      </c>
      <c r="E86" s="5" t="n">
        <v>5</v>
      </c>
      <c r="F86" s="5" t="n">
        <v>0</v>
      </c>
      <c r="G86" s="5" t="n">
        <v>5</v>
      </c>
      <c r="H86" s="5" t="n">
        <v>0</v>
      </c>
      <c r="I86" s="5" t="n">
        <v>0</v>
      </c>
      <c r="J86" s="5" t="n">
        <v>0</v>
      </c>
      <c r="K86" s="5" t="n">
        <v>0</v>
      </c>
      <c r="L86" s="5" t="n">
        <v>0</v>
      </c>
      <c r="M86" s="5" t="n">
        <v>0</v>
      </c>
      <c r="N86" s="5" t="n">
        <v>0</v>
      </c>
      <c r="O86" s="5" t="n">
        <v>5</v>
      </c>
      <c r="P86" s="5" t="n">
        <v>5</v>
      </c>
      <c r="Q86" s="5" t="n">
        <v>0</v>
      </c>
      <c r="R86" s="5" t="n">
        <v>0</v>
      </c>
      <c r="S86" s="5" t="n">
        <v>0</v>
      </c>
      <c r="T86" s="5" t="n">
        <v>0</v>
      </c>
      <c r="U86" s="5" t="n">
        <v>0</v>
      </c>
      <c r="V86" s="5" t="n">
        <v>5</v>
      </c>
      <c r="W86" s="5" t="n">
        <v>0</v>
      </c>
      <c r="X86" s="5" t="n">
        <v>0</v>
      </c>
      <c r="Y86" s="5" t="n">
        <v>0</v>
      </c>
      <c r="Z86" s="5" t="n">
        <v>0</v>
      </c>
      <c r="AA86" s="5" t="n">
        <v>0</v>
      </c>
    </row>
    <row r="87" ht="30" customHeight="1" s="46">
      <c r="A87" s="5" t="n">
        <v>86</v>
      </c>
      <c r="B87" s="5" t="inlineStr">
        <is>
          <t>SWR – Südwestrundfunk</t>
        </is>
      </c>
      <c r="C87" s="5" t="inlineStr">
        <is>
          <t>context_actor</t>
        </is>
      </c>
      <c r="D87" s="5" t="n">
        <v>0</v>
      </c>
      <c r="E87" s="5" t="n">
        <v>0</v>
      </c>
      <c r="F87" s="5" t="n">
        <v>0</v>
      </c>
      <c r="G87" s="5" t="n">
        <v>0</v>
      </c>
      <c r="H87" s="5" t="n">
        <v>0</v>
      </c>
      <c r="I87" s="5" t="n">
        <v>0</v>
      </c>
      <c r="J87" s="5" t="n">
        <v>0</v>
      </c>
      <c r="K87" s="5" t="n">
        <v>0</v>
      </c>
      <c r="L87" s="5" t="n">
        <v>0</v>
      </c>
      <c r="M87" s="5" t="n">
        <v>0</v>
      </c>
      <c r="N87" s="5" t="n">
        <v>0</v>
      </c>
      <c r="O87" s="5" t="n">
        <v>0</v>
      </c>
      <c r="P87" s="5" t="n">
        <v>5</v>
      </c>
      <c r="Q87" s="5" t="n">
        <v>5</v>
      </c>
      <c r="R87" s="5" t="n">
        <v>4</v>
      </c>
      <c r="S87" s="5" t="n">
        <v>0</v>
      </c>
      <c r="T87" s="5" t="n">
        <v>0</v>
      </c>
      <c r="U87" s="5" t="n">
        <v>5</v>
      </c>
      <c r="V87" s="5" t="n">
        <v>0</v>
      </c>
      <c r="W87" s="5" t="n">
        <v>0</v>
      </c>
      <c r="X87" s="5" t="n">
        <v>0</v>
      </c>
      <c r="Y87" s="5" t="n">
        <v>0</v>
      </c>
      <c r="Z87" s="5" t="n">
        <v>5</v>
      </c>
      <c r="AA87" s="5" t="n">
        <v>0</v>
      </c>
    </row>
    <row r="88" ht="30" customHeight="1" s="46">
      <c r="A88" s="5" t="n">
        <v>87</v>
      </c>
      <c r="B88" s="5" t="inlineStr">
        <is>
          <t>Techniker Krankenkasse</t>
        </is>
      </c>
      <c r="C88" s="5" t="inlineStr">
        <is>
          <t>context_actor</t>
        </is>
      </c>
      <c r="D88" s="5" t="n">
        <v>0</v>
      </c>
      <c r="E88" s="5" t="n">
        <v>0</v>
      </c>
      <c r="F88" s="5" t="n">
        <v>0</v>
      </c>
      <c r="G88" s="5" t="n">
        <v>0</v>
      </c>
      <c r="H88" s="5" t="n">
        <v>0</v>
      </c>
      <c r="I88" s="5" t="n">
        <v>0</v>
      </c>
      <c r="J88" s="5" t="n">
        <v>0</v>
      </c>
      <c r="K88" s="5" t="n">
        <v>0</v>
      </c>
      <c r="L88" s="5" t="n">
        <v>0</v>
      </c>
      <c r="M88" s="5" t="n">
        <v>0</v>
      </c>
      <c r="N88" s="5" t="n">
        <v>0</v>
      </c>
      <c r="O88" s="5" t="n">
        <v>0</v>
      </c>
      <c r="P88" s="5" t="n">
        <v>0</v>
      </c>
      <c r="Q88" s="5" t="n">
        <v>0</v>
      </c>
      <c r="R88" s="5" t="n">
        <v>0</v>
      </c>
      <c r="S88" s="5" t="n">
        <v>0</v>
      </c>
      <c r="T88" s="5" t="n">
        <v>0</v>
      </c>
      <c r="U88" s="5" t="n">
        <v>0</v>
      </c>
      <c r="V88" s="5" t="n">
        <v>0</v>
      </c>
      <c r="W88" s="5" t="n">
        <v>5</v>
      </c>
      <c r="X88" s="5" t="n">
        <v>4</v>
      </c>
      <c r="Y88" s="5" t="n">
        <v>0</v>
      </c>
      <c r="Z88" s="5" t="n">
        <v>0</v>
      </c>
      <c r="AA88" s="5" t="n">
        <v>4</v>
      </c>
    </row>
    <row r="89" ht="30" customHeight="1" s="46">
      <c r="A89" s="5" t="n">
        <v>88</v>
      </c>
      <c r="B89" s="5" t="inlineStr">
        <is>
          <t>Technische Hochschule Bingen</t>
        </is>
      </c>
      <c r="C89" s="5" t="inlineStr">
        <is>
          <t>academic_support</t>
        </is>
      </c>
      <c r="D89" s="5" t="n">
        <v>0</v>
      </c>
      <c r="E89" s="5" t="n">
        <v>0</v>
      </c>
      <c r="F89" s="5" t="n">
        <v>0</v>
      </c>
      <c r="G89" s="5" t="n">
        <v>4</v>
      </c>
      <c r="H89" s="5" t="n">
        <v>0</v>
      </c>
      <c r="I89" s="5" t="n">
        <v>0</v>
      </c>
      <c r="J89" s="5" t="n">
        <v>4</v>
      </c>
      <c r="K89" s="5" t="n">
        <v>0</v>
      </c>
      <c r="L89" s="5" t="n">
        <v>0</v>
      </c>
      <c r="M89" s="5" t="n">
        <v>4</v>
      </c>
      <c r="N89" s="5" t="n">
        <v>0</v>
      </c>
      <c r="O89" s="5" t="n">
        <v>4</v>
      </c>
      <c r="P89" s="5" t="n">
        <v>0</v>
      </c>
      <c r="Q89" s="5" t="n">
        <v>0</v>
      </c>
      <c r="R89" s="5" t="n">
        <v>0</v>
      </c>
      <c r="S89" s="5" t="n">
        <v>4</v>
      </c>
      <c r="T89" s="5" t="n">
        <v>0</v>
      </c>
      <c r="U89" s="5" t="n">
        <v>0</v>
      </c>
      <c r="V89" s="5" t="n">
        <v>0</v>
      </c>
      <c r="W89" s="5" t="n">
        <v>0</v>
      </c>
      <c r="X89" s="5" t="n">
        <v>0</v>
      </c>
      <c r="Y89" s="5" t="n">
        <v>0</v>
      </c>
      <c r="Z89" s="5" t="n">
        <v>0</v>
      </c>
      <c r="AA89" s="5" t="n">
        <v>0</v>
      </c>
    </row>
    <row r="90" ht="30" customHeight="1" s="46">
      <c r="A90" s="5" t="n">
        <v>89</v>
      </c>
      <c r="B90" s="5" t="inlineStr">
        <is>
          <t>thyssenkrupp Rasselstein GmbH</t>
        </is>
      </c>
      <c r="C90" s="5" t="inlineStr">
        <is>
          <t>profit_anchor</t>
        </is>
      </c>
      <c r="D90" s="5" t="n">
        <v>4</v>
      </c>
      <c r="E90" s="5" t="n">
        <v>0</v>
      </c>
      <c r="F90" s="5" t="n">
        <v>0</v>
      </c>
      <c r="G90" s="5" t="n">
        <v>0</v>
      </c>
      <c r="H90" s="5" t="n">
        <v>5</v>
      </c>
      <c r="I90" s="5" t="n">
        <v>0</v>
      </c>
      <c r="J90" s="5" t="n">
        <v>0</v>
      </c>
      <c r="K90" s="5" t="n">
        <v>0</v>
      </c>
      <c r="L90" s="5" t="n">
        <v>0</v>
      </c>
      <c r="M90" s="5" t="n">
        <v>4</v>
      </c>
      <c r="N90" s="5" t="n">
        <v>0</v>
      </c>
      <c r="O90" s="5" t="n">
        <v>0</v>
      </c>
      <c r="P90" s="5" t="n">
        <v>0</v>
      </c>
      <c r="Q90" s="5" t="n">
        <v>0</v>
      </c>
      <c r="R90" s="5" t="n">
        <v>0</v>
      </c>
      <c r="S90" s="5" t="n">
        <v>0</v>
      </c>
      <c r="T90" s="5" t="n">
        <v>0</v>
      </c>
      <c r="U90" s="5" t="n">
        <v>0</v>
      </c>
      <c r="V90" s="5" t="n">
        <v>0</v>
      </c>
      <c r="W90" s="5" t="n">
        <v>0</v>
      </c>
      <c r="X90" s="5" t="n">
        <v>0</v>
      </c>
      <c r="Y90" s="5" t="n">
        <v>0</v>
      </c>
      <c r="Z90" s="5" t="n">
        <v>0</v>
      </c>
      <c r="AA90" s="5" t="n">
        <v>0</v>
      </c>
    </row>
    <row r="91" ht="30" customHeight="1" s="46">
      <c r="A91" s="5" t="n">
        <v>90</v>
      </c>
      <c r="B91" s="5" t="inlineStr">
        <is>
          <t>Transdev GmbH</t>
        </is>
      </c>
      <c r="C91" s="5" t="inlineStr">
        <is>
          <t>profit_anchor</t>
        </is>
      </c>
      <c r="D91" s="5" t="n">
        <v>0</v>
      </c>
      <c r="E91" s="5" t="n">
        <v>0</v>
      </c>
      <c r="F91" s="5" t="n">
        <v>0</v>
      </c>
      <c r="G91" s="5" t="n">
        <v>3</v>
      </c>
      <c r="H91" s="5" t="n">
        <v>0</v>
      </c>
      <c r="I91" s="5" t="n">
        <v>0</v>
      </c>
      <c r="J91" s="5" t="n">
        <v>0</v>
      </c>
      <c r="K91" s="5" t="n">
        <v>0</v>
      </c>
      <c r="L91" s="5" t="n">
        <v>0</v>
      </c>
      <c r="M91" s="5" t="n">
        <v>0</v>
      </c>
      <c r="N91" s="5" t="n">
        <v>0</v>
      </c>
      <c r="O91" s="5" t="n">
        <v>0</v>
      </c>
      <c r="P91" s="5" t="n">
        <v>0</v>
      </c>
      <c r="Q91" s="5" t="n">
        <v>0</v>
      </c>
      <c r="R91" s="5" t="n">
        <v>0</v>
      </c>
      <c r="S91" s="5" t="n">
        <v>0</v>
      </c>
      <c r="T91" s="5" t="n">
        <v>0</v>
      </c>
      <c r="U91" s="5" t="n">
        <v>0</v>
      </c>
      <c r="V91" s="5" t="n">
        <v>0</v>
      </c>
      <c r="W91" s="5" t="n">
        <v>0</v>
      </c>
      <c r="X91" s="5" t="n">
        <v>0</v>
      </c>
      <c r="Y91" s="5" t="n">
        <v>0</v>
      </c>
      <c r="Z91" s="5" t="n">
        <v>0</v>
      </c>
      <c r="AA91" s="5" t="n">
        <v>0</v>
      </c>
    </row>
    <row r="92" ht="30" customHeight="1" s="46">
      <c r="A92" s="5" t="n">
        <v>91</v>
      </c>
      <c r="B92" s="5" t="inlineStr">
        <is>
          <t>TÜV Rheinland Berlin Brandenburg Pfalz e.V.</t>
        </is>
      </c>
      <c r="C92" s="5" t="inlineStr">
        <is>
          <t>context_actor</t>
        </is>
      </c>
      <c r="D92" s="5" t="n">
        <v>0</v>
      </c>
      <c r="E92" s="5" t="n">
        <v>4</v>
      </c>
      <c r="F92" s="5" t="n">
        <v>0</v>
      </c>
      <c r="G92" s="5" t="n">
        <v>0</v>
      </c>
      <c r="H92" s="5" t="n">
        <v>0</v>
      </c>
      <c r="I92" s="5" t="n">
        <v>0</v>
      </c>
      <c r="J92" s="5" t="n">
        <v>0</v>
      </c>
      <c r="K92" s="5" t="n">
        <v>0</v>
      </c>
      <c r="L92" s="5" t="n">
        <v>4</v>
      </c>
      <c r="M92" s="5" t="n">
        <v>4</v>
      </c>
      <c r="N92" s="5" t="n">
        <v>5</v>
      </c>
      <c r="O92" s="5" t="n">
        <v>4</v>
      </c>
      <c r="P92" s="5" t="n">
        <v>0</v>
      </c>
      <c r="Q92" s="5" t="n">
        <v>0</v>
      </c>
      <c r="R92" s="5" t="n">
        <v>0</v>
      </c>
      <c r="S92" s="5" t="n">
        <v>0</v>
      </c>
      <c r="T92" s="5" t="n">
        <v>0</v>
      </c>
      <c r="U92" s="5" t="n">
        <v>0</v>
      </c>
      <c r="V92" s="5" t="n">
        <v>0</v>
      </c>
      <c r="W92" s="5" t="n">
        <v>0</v>
      </c>
      <c r="X92" s="5" t="n">
        <v>0</v>
      </c>
      <c r="Y92" s="5" t="n">
        <v>0</v>
      </c>
      <c r="Z92" s="5" t="n">
        <v>0</v>
      </c>
      <c r="AA92" s="5" t="n">
        <v>0</v>
      </c>
    </row>
    <row r="93" ht="30" customHeight="1" s="46">
      <c r="A93" s="5" t="n">
        <v>92</v>
      </c>
      <c r="B93" s="5" t="inlineStr">
        <is>
          <t>Universität Koblenz</t>
        </is>
      </c>
      <c r="C93" s="5" t="inlineStr">
        <is>
          <t>academic_support</t>
        </is>
      </c>
      <c r="D93" s="5" t="n">
        <v>0</v>
      </c>
      <c r="E93" s="5" t="n">
        <v>0</v>
      </c>
      <c r="F93" s="5" t="n">
        <v>0</v>
      </c>
      <c r="G93" s="5" t="n">
        <v>0</v>
      </c>
      <c r="H93" s="5" t="n">
        <v>0</v>
      </c>
      <c r="I93" s="5" t="n">
        <v>0</v>
      </c>
      <c r="J93" s="5" t="n">
        <v>0</v>
      </c>
      <c r="K93" s="5" t="n">
        <v>0</v>
      </c>
      <c r="L93" s="5" t="n">
        <v>4</v>
      </c>
      <c r="M93" s="5" t="n">
        <v>0</v>
      </c>
      <c r="N93" s="5" t="n">
        <v>0</v>
      </c>
      <c r="O93" s="5" t="n">
        <v>0</v>
      </c>
      <c r="P93" s="5" t="n">
        <v>0</v>
      </c>
      <c r="Q93" s="5" t="n">
        <v>0</v>
      </c>
      <c r="R93" s="5" t="n">
        <v>0</v>
      </c>
      <c r="S93" s="5" t="n">
        <v>4</v>
      </c>
      <c r="T93" s="5" t="n">
        <v>0</v>
      </c>
      <c r="U93" s="5" t="n">
        <v>4</v>
      </c>
      <c r="V93" s="5" t="n">
        <v>4</v>
      </c>
      <c r="W93" s="5" t="n">
        <v>0</v>
      </c>
      <c r="X93" s="5" t="n">
        <v>0</v>
      </c>
      <c r="Y93" s="5" t="n">
        <v>0</v>
      </c>
      <c r="Z93" s="5" t="n">
        <v>4</v>
      </c>
      <c r="AA93" s="5" t="n">
        <v>0</v>
      </c>
    </row>
    <row r="94" ht="30" customHeight="1" s="46">
      <c r="A94" s="5" t="n">
        <v>93</v>
      </c>
      <c r="B94" s="5" t="inlineStr">
        <is>
          <t>Universität Trier</t>
        </is>
      </c>
      <c r="C94" s="5" t="inlineStr">
        <is>
          <t>academic_support</t>
        </is>
      </c>
      <c r="D94" s="5" t="n">
        <v>0</v>
      </c>
      <c r="E94" s="5" t="n">
        <v>0</v>
      </c>
      <c r="F94" s="5" t="n">
        <v>0</v>
      </c>
      <c r="G94" s="5" t="n">
        <v>0</v>
      </c>
      <c r="H94" s="5" t="n">
        <v>0</v>
      </c>
      <c r="I94" s="5" t="n">
        <v>0</v>
      </c>
      <c r="J94" s="5" t="n">
        <v>0</v>
      </c>
      <c r="K94" s="5" t="n">
        <v>0</v>
      </c>
      <c r="L94" s="5" t="n">
        <v>4</v>
      </c>
      <c r="M94" s="5" t="n">
        <v>0</v>
      </c>
      <c r="N94" s="5" t="n">
        <v>4</v>
      </c>
      <c r="O94" s="5" t="n">
        <v>0</v>
      </c>
      <c r="P94" s="5" t="n">
        <v>0</v>
      </c>
      <c r="Q94" s="5" t="n">
        <v>0</v>
      </c>
      <c r="R94" s="5" t="n">
        <v>0</v>
      </c>
      <c r="S94" s="5" t="n">
        <v>4</v>
      </c>
      <c r="T94" s="5" t="n">
        <v>0</v>
      </c>
      <c r="U94" s="5" t="n">
        <v>5</v>
      </c>
      <c r="V94" s="5" t="n">
        <v>0</v>
      </c>
      <c r="W94" s="5" t="n">
        <v>0</v>
      </c>
      <c r="X94" s="5" t="n">
        <v>0</v>
      </c>
      <c r="Y94" s="5" t="n">
        <v>0</v>
      </c>
      <c r="Z94" s="5" t="n">
        <v>4</v>
      </c>
      <c r="AA94" s="5" t="n">
        <v>0</v>
      </c>
    </row>
    <row r="95" ht="30" customHeight="1" s="46">
      <c r="A95" s="5" t="n">
        <v>94</v>
      </c>
      <c r="B95" s="5" t="inlineStr">
        <is>
          <t>Vereinigte VR Bank Kur- und Rheinpfalz eG</t>
        </is>
      </c>
      <c r="C95" s="5" t="inlineStr">
        <is>
          <t>profit_anchor</t>
        </is>
      </c>
      <c r="D95" s="5" t="n">
        <v>0</v>
      </c>
      <c r="E95" s="5" t="n">
        <v>0</v>
      </c>
      <c r="F95" s="5" t="n">
        <v>0</v>
      </c>
      <c r="G95" s="5" t="n">
        <v>0</v>
      </c>
      <c r="H95" s="5" t="n">
        <v>3</v>
      </c>
      <c r="I95" s="5" t="n">
        <v>0</v>
      </c>
      <c r="J95" s="5" t="n">
        <v>0</v>
      </c>
      <c r="K95" s="5" t="n">
        <v>4</v>
      </c>
      <c r="L95" s="5" t="n">
        <v>0</v>
      </c>
      <c r="M95" s="5" t="n">
        <v>0</v>
      </c>
      <c r="N95" s="5" t="n">
        <v>0</v>
      </c>
      <c r="O95" s="5" t="n">
        <v>0</v>
      </c>
      <c r="P95" s="5" t="n">
        <v>0</v>
      </c>
      <c r="Q95" s="5" t="n">
        <v>0</v>
      </c>
      <c r="R95" s="5" t="n">
        <v>0</v>
      </c>
      <c r="S95" s="5" t="n">
        <v>0</v>
      </c>
      <c r="T95" s="5" t="n">
        <v>0</v>
      </c>
      <c r="U95" s="5" t="n">
        <v>0</v>
      </c>
      <c r="V95" s="5" t="n">
        <v>0</v>
      </c>
      <c r="W95" s="5" t="n">
        <v>0</v>
      </c>
      <c r="X95" s="5" t="n">
        <v>0</v>
      </c>
      <c r="Y95" s="5" t="n">
        <v>0</v>
      </c>
      <c r="Z95" s="5" t="n">
        <v>0</v>
      </c>
      <c r="AA95" s="5" t="n">
        <v>0</v>
      </c>
    </row>
    <row r="96" ht="30" customHeight="1" s="46">
      <c r="A96" s="5" t="n">
        <v>95</v>
      </c>
      <c r="B96" s="5" t="inlineStr">
        <is>
          <t>vero – Verband der Bau- und Rohstoffindustrie</t>
        </is>
      </c>
      <c r="C96" s="5" t="inlineStr">
        <is>
          <t>profit_anchor</t>
        </is>
      </c>
      <c r="D96" s="5" t="n">
        <v>0</v>
      </c>
      <c r="E96" s="5" t="n">
        <v>5</v>
      </c>
      <c r="F96" s="5" t="n">
        <v>0</v>
      </c>
      <c r="G96" s="5" t="n">
        <v>0</v>
      </c>
      <c r="H96" s="5" t="n">
        <v>0</v>
      </c>
      <c r="I96" s="5" t="n">
        <v>0</v>
      </c>
      <c r="J96" s="5" t="n">
        <v>0</v>
      </c>
      <c r="K96" s="5" t="n">
        <v>0</v>
      </c>
      <c r="L96" s="5" t="n">
        <v>0</v>
      </c>
      <c r="M96" s="5" t="n">
        <v>0</v>
      </c>
      <c r="N96" s="5" t="n">
        <v>0</v>
      </c>
      <c r="O96" s="5" t="n">
        <v>5</v>
      </c>
      <c r="P96" s="5" t="n">
        <v>0</v>
      </c>
      <c r="Q96" s="5" t="n">
        <v>0</v>
      </c>
      <c r="R96" s="5" t="n">
        <v>0</v>
      </c>
      <c r="S96" s="5" t="n">
        <v>0</v>
      </c>
      <c r="T96" s="5" t="n">
        <v>0</v>
      </c>
      <c r="U96" s="5" t="n">
        <v>0</v>
      </c>
      <c r="V96" s="5" t="n">
        <v>0</v>
      </c>
      <c r="W96" s="5" t="n">
        <v>0</v>
      </c>
      <c r="X96" s="5" t="n">
        <v>0</v>
      </c>
      <c r="Y96" s="5" t="n">
        <v>0</v>
      </c>
      <c r="Z96" s="5" t="n">
        <v>0</v>
      </c>
      <c r="AA96" s="5" t="n">
        <v>0</v>
      </c>
    </row>
    <row r="97" ht="30" customHeight="1" s="46">
      <c r="A97" s="5" t="n">
        <v>96</v>
      </c>
      <c r="B97" s="5" t="inlineStr">
        <is>
          <t>Villa Musica Rheinland-Pfalz</t>
        </is>
      </c>
      <c r="C97" s="5" t="inlineStr">
        <is>
          <t>context_actor</t>
        </is>
      </c>
      <c r="D97" s="5" t="n">
        <v>0</v>
      </c>
      <c r="E97" s="5" t="n">
        <v>0</v>
      </c>
      <c r="F97" s="5" t="n">
        <v>0</v>
      </c>
      <c r="G97" s="5" t="n">
        <v>0</v>
      </c>
      <c r="H97" s="5" t="n">
        <v>0</v>
      </c>
      <c r="I97" s="5" t="n">
        <v>0</v>
      </c>
      <c r="J97" s="5" t="n">
        <v>0</v>
      </c>
      <c r="K97" s="5" t="n">
        <v>0</v>
      </c>
      <c r="L97" s="5" t="n">
        <v>0</v>
      </c>
      <c r="M97" s="5" t="n">
        <v>0</v>
      </c>
      <c r="N97" s="5" t="n">
        <v>0</v>
      </c>
      <c r="O97" s="5" t="n">
        <v>0</v>
      </c>
      <c r="P97" s="5" t="n">
        <v>5</v>
      </c>
      <c r="Q97" s="5" t="n">
        <v>4</v>
      </c>
      <c r="R97" s="5" t="n">
        <v>5</v>
      </c>
      <c r="S97" s="5" t="n">
        <v>0</v>
      </c>
      <c r="T97" s="5" t="n">
        <v>0</v>
      </c>
      <c r="U97" s="5" t="n">
        <v>3</v>
      </c>
      <c r="V97" s="5" t="n">
        <v>0</v>
      </c>
      <c r="W97" s="5" t="n">
        <v>0</v>
      </c>
      <c r="X97" s="5" t="n">
        <v>0</v>
      </c>
      <c r="Y97" s="5" t="n">
        <v>0</v>
      </c>
      <c r="Z97" s="5" t="n">
        <v>3</v>
      </c>
      <c r="AA97" s="5" t="n">
        <v>0</v>
      </c>
    </row>
    <row r="98" ht="30" customHeight="1" s="46">
      <c r="A98" s="5" t="n">
        <v>97</v>
      </c>
      <c r="B98" s="5" t="inlineStr">
        <is>
          <t>Vinzenz Pallotti University gGmbH</t>
        </is>
      </c>
      <c r="C98" s="5" t="inlineStr">
        <is>
          <t>academic_support</t>
        </is>
      </c>
      <c r="D98" s="5" t="n">
        <v>0</v>
      </c>
      <c r="E98" s="5" t="n">
        <v>0</v>
      </c>
      <c r="F98" s="5" t="n">
        <v>0</v>
      </c>
      <c r="G98" s="5" t="n">
        <v>0</v>
      </c>
      <c r="H98" s="5" t="n">
        <v>0</v>
      </c>
      <c r="I98" s="5" t="n">
        <v>0</v>
      </c>
      <c r="J98" s="5" t="n">
        <v>3</v>
      </c>
      <c r="K98" s="5" t="n">
        <v>0</v>
      </c>
      <c r="L98" s="5" t="n">
        <v>0</v>
      </c>
      <c r="M98" s="5" t="n">
        <v>0</v>
      </c>
      <c r="N98" s="5" t="n">
        <v>0</v>
      </c>
      <c r="O98" s="5" t="n">
        <v>0</v>
      </c>
      <c r="P98" s="5" t="n">
        <v>0</v>
      </c>
      <c r="Q98" s="5" t="n">
        <v>0</v>
      </c>
      <c r="R98" s="5" t="n">
        <v>0</v>
      </c>
      <c r="S98" s="5" t="n">
        <v>0</v>
      </c>
      <c r="T98" s="5" t="n">
        <v>4</v>
      </c>
      <c r="U98" s="5" t="n">
        <v>4</v>
      </c>
      <c r="V98" s="5" t="n">
        <v>0</v>
      </c>
      <c r="W98" s="5" t="n">
        <v>0</v>
      </c>
      <c r="X98" s="5" t="n">
        <v>4</v>
      </c>
      <c r="Y98" s="5" t="n">
        <v>4</v>
      </c>
      <c r="Z98" s="5" t="n">
        <v>0</v>
      </c>
      <c r="AA98" s="5" t="n">
        <v>0</v>
      </c>
    </row>
    <row r="99" ht="30" customHeight="1" s="46">
      <c r="A99" s="5" t="n">
        <v>98</v>
      </c>
      <c r="B99" s="5" t="inlineStr">
        <is>
          <t>Westenergie AG</t>
        </is>
      </c>
      <c r="C99" s="5" t="inlineStr">
        <is>
          <t>profit_anchor</t>
        </is>
      </c>
      <c r="D99" s="5" t="n">
        <v>5</v>
      </c>
      <c r="E99" s="5" t="n">
        <v>0</v>
      </c>
      <c r="F99" s="5" t="n">
        <v>3</v>
      </c>
      <c r="G99" s="5" t="n">
        <v>3</v>
      </c>
      <c r="H99" s="5" t="n">
        <v>0</v>
      </c>
      <c r="I99" s="5" t="n">
        <v>0</v>
      </c>
      <c r="J99" s="5" t="n">
        <v>0</v>
      </c>
      <c r="K99" s="5" t="n">
        <v>3</v>
      </c>
      <c r="L99" s="5" t="n">
        <v>0</v>
      </c>
      <c r="M99" s="5" t="n">
        <v>0</v>
      </c>
      <c r="N99" s="5" t="n">
        <v>5</v>
      </c>
      <c r="O99" s="5" t="n">
        <v>0</v>
      </c>
      <c r="P99" s="5" t="n">
        <v>0</v>
      </c>
      <c r="Q99" s="5" t="n">
        <v>0</v>
      </c>
      <c r="R99" s="5" t="n">
        <v>0</v>
      </c>
      <c r="S99" s="5" t="n">
        <v>0</v>
      </c>
      <c r="T99" s="5" t="n">
        <v>0</v>
      </c>
      <c r="U99" s="5" t="n">
        <v>0</v>
      </c>
      <c r="V99" s="5" t="n">
        <v>0</v>
      </c>
      <c r="W99" s="5" t="n">
        <v>0</v>
      </c>
      <c r="X99" s="5" t="n">
        <v>0</v>
      </c>
      <c r="Y99" s="5" t="n">
        <v>0</v>
      </c>
      <c r="Z99" s="5" t="n">
        <v>0</v>
      </c>
      <c r="AA99" s="5" t="n">
        <v>0</v>
      </c>
    </row>
    <row r="100" ht="30" customHeight="1" s="46">
      <c r="A100" s="5" t="n">
        <v>99</v>
      </c>
      <c r="B100" s="5" t="inlineStr">
        <is>
          <t>WHU – Otto Beisheim School of Management</t>
        </is>
      </c>
      <c r="C100" s="5" t="inlineStr">
        <is>
          <t>academic_support</t>
        </is>
      </c>
      <c r="D100" s="5" t="n">
        <v>0</v>
      </c>
      <c r="E100" s="5" t="n">
        <v>0</v>
      </c>
      <c r="F100" s="5" t="n">
        <v>0</v>
      </c>
      <c r="G100" s="5" t="n">
        <v>0</v>
      </c>
      <c r="H100" s="5" t="n">
        <v>4</v>
      </c>
      <c r="I100" s="5" t="n">
        <v>4</v>
      </c>
      <c r="J100" s="5" t="n">
        <v>4</v>
      </c>
      <c r="K100" s="5" t="n">
        <v>4</v>
      </c>
      <c r="L100" s="5" t="n">
        <v>0</v>
      </c>
      <c r="M100" s="5" t="n">
        <v>0</v>
      </c>
      <c r="N100" s="5" t="n">
        <v>0</v>
      </c>
      <c r="O100" s="5" t="n">
        <v>0</v>
      </c>
      <c r="P100" s="5" t="n">
        <v>0</v>
      </c>
      <c r="Q100" s="5" t="n">
        <v>0</v>
      </c>
      <c r="R100" s="5" t="n">
        <v>0</v>
      </c>
      <c r="S100" s="5" t="n">
        <v>5</v>
      </c>
      <c r="T100" s="5" t="n">
        <v>0</v>
      </c>
      <c r="U100" s="5" t="n">
        <v>0</v>
      </c>
      <c r="V100" s="5" t="n">
        <v>0</v>
      </c>
      <c r="W100" s="5" t="n">
        <v>0</v>
      </c>
      <c r="X100" s="5" t="n">
        <v>0</v>
      </c>
      <c r="Y100" s="5" t="n">
        <v>0</v>
      </c>
      <c r="Z100" s="5" t="n">
        <v>0</v>
      </c>
      <c r="AA100" s="5" t="n">
        <v>0</v>
      </c>
    </row>
    <row r="101" ht="30" customHeight="1" s="46">
      <c r="A101" s="5" t="n">
        <v>100</v>
      </c>
      <c r="B101" s="5" t="inlineStr">
        <is>
          <t>Wilhelm Faber GmbH</t>
        </is>
      </c>
      <c r="C101" s="5" t="inlineStr">
        <is>
          <t>profit_anchor</t>
        </is>
      </c>
      <c r="D101" s="5" t="n">
        <v>0</v>
      </c>
      <c r="E101" s="5" t="n">
        <v>3</v>
      </c>
      <c r="F101" s="5" t="n">
        <v>0</v>
      </c>
      <c r="G101" s="5" t="n">
        <v>0</v>
      </c>
      <c r="H101" s="5" t="n">
        <v>0</v>
      </c>
      <c r="I101" s="5" t="n">
        <v>0</v>
      </c>
      <c r="J101" s="5" t="n">
        <v>0</v>
      </c>
      <c r="K101" s="5" t="n">
        <v>0</v>
      </c>
      <c r="L101" s="5" t="n">
        <v>0</v>
      </c>
      <c r="M101" s="5" t="n">
        <v>0</v>
      </c>
      <c r="N101" s="5" t="n">
        <v>0</v>
      </c>
      <c r="O101" s="5" t="n">
        <v>0</v>
      </c>
      <c r="P101" s="5" t="n">
        <v>0</v>
      </c>
      <c r="Q101" s="5" t="n">
        <v>0</v>
      </c>
      <c r="R101" s="5" t="n">
        <v>0</v>
      </c>
      <c r="S101" s="5" t="n">
        <v>0</v>
      </c>
      <c r="T101" s="5" t="n">
        <v>0</v>
      </c>
      <c r="U101" s="5" t="n">
        <v>0</v>
      </c>
      <c r="V101" s="5" t="n">
        <v>0</v>
      </c>
      <c r="W101" s="5" t="n">
        <v>0</v>
      </c>
      <c r="X101" s="5" t="n">
        <v>0</v>
      </c>
      <c r="Y101" s="5" t="n">
        <v>0</v>
      </c>
      <c r="Z101" s="5" t="n">
        <v>0</v>
      </c>
      <c r="AA101" s="5" t="n">
        <v>0</v>
      </c>
    </row>
    <row r="102" ht="30" customHeight="1" s="46">
      <c r="A102" s="5" t="n">
        <v>101</v>
      </c>
      <c r="B102" s="5" t="inlineStr">
        <is>
          <t>Zahnen Technik GmbH</t>
        </is>
      </c>
      <c r="C102" s="5" t="inlineStr">
        <is>
          <t>profit_anchor</t>
        </is>
      </c>
      <c r="D102" s="5" t="n">
        <v>0</v>
      </c>
      <c r="E102" s="5" t="n">
        <v>0</v>
      </c>
      <c r="F102" s="5" t="n">
        <v>5</v>
      </c>
      <c r="G102" s="5" t="n">
        <v>0</v>
      </c>
      <c r="H102" s="5" t="n">
        <v>0</v>
      </c>
      <c r="I102" s="5" t="n">
        <v>0</v>
      </c>
      <c r="J102" s="5" t="n">
        <v>0</v>
      </c>
      <c r="K102" s="5" t="n">
        <v>0</v>
      </c>
      <c r="L102" s="5" t="n">
        <v>0</v>
      </c>
      <c r="M102" s="5" t="n">
        <v>0</v>
      </c>
      <c r="N102" s="5" t="n">
        <v>4</v>
      </c>
      <c r="O102" s="5" t="n">
        <v>0</v>
      </c>
      <c r="P102" s="5" t="n">
        <v>0</v>
      </c>
      <c r="Q102" s="5" t="n">
        <v>0</v>
      </c>
      <c r="R102" s="5" t="n">
        <v>0</v>
      </c>
      <c r="S102" s="5" t="n">
        <v>0</v>
      </c>
      <c r="T102" s="5" t="n">
        <v>0</v>
      </c>
      <c r="U102" s="5" t="n">
        <v>0</v>
      </c>
      <c r="V102" s="5" t="n">
        <v>0</v>
      </c>
      <c r="W102" s="5" t="n">
        <v>0</v>
      </c>
      <c r="X102" s="5" t="n">
        <v>0</v>
      </c>
      <c r="Y102" s="5" t="n">
        <v>0</v>
      </c>
      <c r="Z102" s="5" t="n">
        <v>0</v>
      </c>
      <c r="AA102" s="5" t="n">
        <v>0</v>
      </c>
    </row>
    <row r="103" ht="30" customHeight="1" s="46">
      <c r="A103" s="5" t="n">
        <v>102</v>
      </c>
      <c r="B103" s="5" t="inlineStr">
        <is>
          <t>ZDF – Zweites Deutsches Fernsehen</t>
        </is>
      </c>
      <c r="C103" s="5" t="inlineStr">
        <is>
          <t>context_actor</t>
        </is>
      </c>
      <c r="D103" s="5" t="n">
        <v>0</v>
      </c>
      <c r="E103" s="5" t="n">
        <v>0</v>
      </c>
      <c r="F103" s="5" t="n">
        <v>0</v>
      </c>
      <c r="G103" s="5" t="n">
        <v>0</v>
      </c>
      <c r="H103" s="5" t="n">
        <v>0</v>
      </c>
      <c r="I103" s="5" t="n">
        <v>0</v>
      </c>
      <c r="J103" s="5" t="n">
        <v>0</v>
      </c>
      <c r="K103" s="5" t="n">
        <v>0</v>
      </c>
      <c r="L103" s="5" t="n">
        <v>0</v>
      </c>
      <c r="M103" s="5" t="n">
        <v>0</v>
      </c>
      <c r="N103" s="5" t="n">
        <v>0</v>
      </c>
      <c r="O103" s="5" t="n">
        <v>0</v>
      </c>
      <c r="P103" s="5" t="n">
        <v>5</v>
      </c>
      <c r="Q103" s="5" t="n">
        <v>5</v>
      </c>
      <c r="R103" s="5" t="n">
        <v>4</v>
      </c>
      <c r="S103" s="5" t="n">
        <v>0</v>
      </c>
      <c r="T103" s="5" t="n">
        <v>0</v>
      </c>
      <c r="U103" s="5" t="n">
        <v>5</v>
      </c>
      <c r="V103" s="5" t="n">
        <v>0</v>
      </c>
      <c r="W103" s="5" t="n">
        <v>0</v>
      </c>
      <c r="X103" s="5" t="n">
        <v>0</v>
      </c>
      <c r="Y103" s="5" t="n">
        <v>0</v>
      </c>
      <c r="Z103" s="5" t="n">
        <v>5</v>
      </c>
      <c r="AA103" s="5"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4"/>
  <sheetViews>
    <sheetView showGridLines="1" workbookViewId="0">
      <selection activeCell="A1" sqref="A1"/>
    </sheetView>
  </sheetViews>
  <sheetFormatPr baseColWidth="8" defaultRowHeight="15"/>
  <cols>
    <col width="31" customWidth="1" style="46" min="1" max="1"/>
    <col width="80" customWidth="1" style="46" min="2" max="2"/>
    <col width="80" customWidth="1" style="46" min="3" max="3"/>
    <col width="34" customWidth="1" style="46" min="4" max="4"/>
  </cols>
  <sheetData>
    <row r="1" ht="28" customHeight="1" s="46">
      <c r="A1" s="48" t="inlineStr">
        <is>
          <t>Component</t>
        </is>
      </c>
      <c r="B1" s="48" t="inlineStr">
        <is>
          <t>Meaning</t>
        </is>
      </c>
      <c r="C1" s="48" t="inlineStr">
        <is>
          <t>Default logic used here</t>
        </is>
      </c>
      <c r="D1" s="48" t="inlineStr">
        <is>
          <t>Constraint or objective?</t>
        </is>
      </c>
    </row>
    <row r="2" ht="45" customHeight="1" s="46">
      <c r="A2" s="5" t="inlineStr">
        <is>
          <t>candidate universe P</t>
        </is>
      </c>
      <c r="B2" s="5" t="inlineStr">
        <is>
          <t>Rows in Candidate_Patterns; generated from updated member table and 24 static clusters.</t>
        </is>
      </c>
      <c r="C2" s="5" t="inlineStr">
        <is>
          <t>For each cluster, include member pairs where both relevance scores are &gt;= 3; rank by score; keep top 30 per cluster.</t>
        </is>
      </c>
      <c r="D2" s="5" t="inlineStr">
        <is>
          <t>Candidate generation before SCIP</t>
        </is>
      </c>
    </row>
    <row r="3" ht="45" customHeight="1" s="46">
      <c r="A3" s="5" t="inlineStr">
        <is>
          <t>shared_concrete_clusters</t>
        </is>
      </c>
      <c r="B3" s="5" t="inlineStr">
        <is>
          <t>Both actors are relevant to the same concrete cluster.</t>
        </is>
      </c>
      <c r="C3" s="5" t="inlineStr">
        <is>
          <t>MIN(14, 4 + relevance_a + relevance_b).</t>
        </is>
      </c>
      <c r="D3" s="5" t="inlineStr">
        <is>
          <t>Objective coefficient</t>
        </is>
      </c>
    </row>
    <row r="4" ht="45" customHeight="1" s="46">
      <c r="A4" s="5" t="inlineStr">
        <is>
          <t>complementary_topic_pairs</t>
        </is>
      </c>
      <c r="B4" s="5" t="inlineStr">
        <is>
          <t>Useful bridge between actor types/themes.</t>
        </is>
      </c>
      <c r="C4" s="5" t="inlineStr">
        <is>
          <t>4 if roles differ; 1 if both academic_support; 2 if same non-academic role.</t>
        </is>
      </c>
      <c r="D4" s="5" t="inlineStr">
        <is>
          <t>Objective coefficient</t>
        </is>
      </c>
    </row>
    <row r="5" ht="45" customHeight="1" s="46">
      <c r="A5" s="5" t="inlineStr">
        <is>
          <t>momentum_from_event_count</t>
        </is>
      </c>
      <c r="B5" s="5" t="inlineStr">
        <is>
          <t>Optional live signal momentum from crawler.</t>
        </is>
      </c>
      <c r="C5" s="5" t="inlineStr">
        <is>
          <t>Static default 0; later enriched by crawler events.</t>
        </is>
      </c>
      <c r="D5" s="5" t="inlineStr">
        <is>
          <t>Objective coefficient</t>
        </is>
      </c>
    </row>
    <row r="6" ht="45" customHeight="1" s="46">
      <c r="A6" s="5" t="inlineStr">
        <is>
          <t>avg_decision_quality</t>
        </is>
      </c>
      <c r="B6" s="5" t="inlineStr">
        <is>
          <t>Optional live quality from crawler.</t>
        </is>
      </c>
      <c r="C6" s="5" t="inlineStr">
        <is>
          <t>Static default 0; later enriched by signal judge / evidence quality.</t>
        </is>
      </c>
      <c r="D6" s="5" t="inlineStr">
        <is>
          <t>Objective coefficient</t>
        </is>
      </c>
    </row>
    <row r="7" ht="45" customHeight="1" s="46">
      <c r="A7" s="5" t="inlineStr">
        <is>
          <t>section_diversity</t>
        </is>
      </c>
      <c r="B7" s="5" t="inlineStr">
        <is>
          <t>Different evidence/role logic in one card.</t>
        </is>
      </c>
      <c r="C7" s="5" t="inlineStr">
        <is>
          <t>2 if roles differ; else 1.</t>
        </is>
      </c>
      <c r="D7" s="5" t="inlineStr">
        <is>
          <t>Objective coefficient</t>
        </is>
      </c>
    </row>
    <row r="8" ht="45" customHeight="1" s="46">
      <c r="A8" s="5" t="inlineStr">
        <is>
          <t>role_complementarity</t>
        </is>
      </c>
      <c r="B8" s="5" t="inlineStr">
        <is>
          <t>Quality of actor bridge.</t>
        </is>
      </c>
      <c r="C8" s="5" t="inlineStr">
        <is>
          <t>profit+implementation=8; academic+implementation=7; academic+profit=6; context+profit/implementation=6; context+academic=5; academic+academic=2.</t>
        </is>
      </c>
      <c r="D8" s="5" t="inlineStr">
        <is>
          <t>Objective coefficient</t>
        </is>
      </c>
    </row>
    <row r="9" ht="45" customHeight="1" s="46">
      <c r="A9" s="5" t="inlineStr">
        <is>
          <t>application_capability_bridge</t>
        </is>
      </c>
      <c r="B9" s="5" t="inlineStr">
        <is>
          <t>Can this pair move from topic to action?</t>
        </is>
      </c>
      <c r="C9" s="5" t="inlineStr">
        <is>
          <t>Same role bridge logic: implementation/resource + knowledge/problem owner scores higher.</t>
        </is>
      </c>
      <c r="D9" s="5" t="inlineStr">
        <is>
          <t>Objective coefficient</t>
        </is>
      </c>
    </row>
    <row r="10" ht="45" customHeight="1" s="46">
      <c r="A10" s="5" t="inlineStr">
        <is>
          <t>broad_media_penalty</t>
        </is>
      </c>
      <c r="B10" s="5" t="inlineStr">
        <is>
          <t>Prevents media over-selection outside public-role lanes.</t>
        </is>
      </c>
      <c r="C10" s="5" t="inlineStr">
        <is>
          <t>0 in this static file; reserved for later media-role refinements.</t>
        </is>
      </c>
      <c r="D10" s="5" t="inlineStr">
        <is>
          <t>Objective penalty</t>
        </is>
      </c>
    </row>
    <row r="11" ht="45" customHeight="1" s="46">
      <c r="A11" s="5" t="inlineStr">
        <is>
          <t>weak_profile_penalty</t>
        </is>
      </c>
      <c r="B11" s="5" t="inlineStr">
        <is>
          <t>Penalizes weak cluster relevance.</t>
        </is>
      </c>
      <c r="C11" s="5" t="inlineStr">
        <is>
          <t>4 if either actor has relevance &lt; 3; normally 0 because candidates require &gt;= 3.</t>
        </is>
      </c>
      <c r="D11" s="5" t="inlineStr">
        <is>
          <t>Objective penalty</t>
        </is>
      </c>
    </row>
    <row r="12" ht="45" customHeight="1" s="46">
      <c r="A12" s="5" t="inlineStr">
        <is>
          <t>academic_only_penalty</t>
        </is>
      </c>
      <c r="B12" s="5" t="inlineStr">
        <is>
          <t>Penalizes all-academic cards.</t>
        </is>
      </c>
      <c r="C12" s="5" t="inlineStr">
        <is>
          <t>12 if both actors are academic_support. This keeps universities as support unless the pair is very strong.</t>
        </is>
      </c>
      <c r="D12" s="5" t="inlineStr">
        <is>
          <t>Objective penalty</t>
        </is>
      </c>
    </row>
    <row r="13" ht="45" customHeight="1" s="46">
      <c r="A13" s="5" t="inlineStr">
        <is>
          <t>abstract_overlap_penalty</t>
        </is>
      </c>
      <c r="B13" s="5" t="inlineStr">
        <is>
          <t>Penalizes low-action overlaps.</t>
        </is>
      </c>
      <c r="C13" s="5" t="inlineStr">
        <is>
          <t>4 for context+context; 4 for academic+academic when both are not max relevance.</t>
        </is>
      </c>
      <c r="D13" s="5" t="inlineStr">
        <is>
          <t>Objective penalty</t>
        </is>
      </c>
    </row>
    <row r="14" ht="45" customHeight="1" s="46">
      <c r="A14" s="5" t="inlineStr">
        <is>
          <t>final_support_score</t>
        </is>
      </c>
      <c r="B14" s="5" t="inlineStr">
        <is>
          <t>Support score attached to x_p.</t>
        </is>
      </c>
      <c r="C14" s="5" t="inlineStr">
        <is>
          <t>SUM positive components O:U minus penalties V:Y.</t>
        </is>
      </c>
      <c r="D14" s="5" t="inlineStr">
        <is>
          <t>Objective coefficient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36" customWidth="1" style="46" min="1" max="1"/>
    <col width="80" customWidth="1" style="46" min="2" max="2"/>
  </cols>
  <sheetData>
    <row r="1" ht="28" customHeight="1" s="46">
      <c r="A1" s="48" t="inlineStr">
        <is>
          <t>Topic</t>
        </is>
      </c>
      <c r="B1" s="48" t="inlineStr">
        <is>
          <t>Explanation</t>
        </is>
      </c>
    </row>
    <row r="2" ht="45" customHeight="1" s="46">
      <c r="A2" s="5" t="inlineStr">
        <is>
          <t>Update performed</t>
        </is>
      </c>
      <c r="B2" s="5" t="inlineStr">
        <is>
          <t>Removed Alexianer GmbH from the member universe and all candidate/constraint/matrix sheets. Added Hochschule für Musik Mainz and Hochschule für Gesellschaftsgestaltung (HfGG) with static cluster profiles.</t>
        </is>
      </c>
    </row>
    <row r="3" ht="45" customHeight="1" s="46">
      <c r="A3" s="5" t="inlineStr">
        <is>
          <t>Hochschule für Musik Mainz mapping</t>
        </is>
      </c>
      <c r="B3" s="5" t="inlineStr">
        <is>
          <t>academic_support; culture/knowledge profile. Main cluster: Talentförderung, Musik und Nachwuchs (5), plus Kultur/Standortidentität, Kreativwirtschaft, Wissenschaft/Demokratie, Weiterbildung.</t>
        </is>
      </c>
    </row>
    <row r="4" ht="45" customHeight="1" s="46">
      <c r="A4" s="5" t="inlineStr">
        <is>
          <t>HfGG mapping</t>
        </is>
      </c>
      <c r="B4" s="5" t="inlineStr">
        <is>
          <t>academic_support; society/sustainability/knowledge profile. Main cluster: Wissenschaft, Demokratie und gesellschaftlicher Zusammenhalt (5), plus Demokratie/Medien/Zusammenhalt, Teilhabe/Inklusion, Klimaanpassung, Hochschule-Wirtschaft-Transfer, Weiterbildung.</t>
        </is>
      </c>
    </row>
    <row r="5" ht="45" customHeight="1" s="46">
      <c r="A5" s="5" t="inlineStr">
        <is>
          <t>Plausible candidate patterns</t>
        </is>
      </c>
      <c r="B5" s="5" t="inlineStr">
        <is>
          <t>For every concrete cluster, members with relevance &gt;=3 are eligible. The script creates all pair combinations inside that cluster, scores them, ranks them, and keeps the top 30 cards per cluster. This yields an auditable static candidate universe P.</t>
        </is>
      </c>
    </row>
    <row r="6" ht="45" customHeight="1" s="46">
      <c r="A6" s="5" t="inlineStr">
        <is>
          <t>Scoring decisions</t>
        </is>
      </c>
      <c r="B6" s="5" t="inlineStr">
        <is>
          <t>Positive components: shared cluster relevance, role difference/complementarity, section diversity, action bridge, future live signal fields. Negative components: weak profile, academic-only, abstract overlap, media penalty placeholder.</t>
        </is>
      </c>
    </row>
    <row r="7" ht="45" customHeight="1" s="46">
      <c r="A7" s="5" t="inlineStr">
        <is>
          <t>SCIP formulation</t>
        </is>
      </c>
      <c r="B7" s="5" t="inlineStr">
        <is>
          <t>Binary weighted set-packing: choose x_p in {0,1} to maximize SUM(final_support_score_p*x_p), subject to max selected cards, member limits, cluster limits, and opportunity duplicate limits.</t>
        </is>
      </c>
    </row>
    <row r="8" ht="45" customHeight="1" s="46">
      <c r="A8" s="5" t="inlineStr">
        <is>
          <t>Dynamic update note</t>
        </is>
      </c>
      <c r="B8" s="5" t="inlineStr">
        <is>
          <t>Crawler and feedback should later enrich scores, not rewrite the static member universe or constraints automatically.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104"/>
  <sheetViews>
    <sheetView workbookViewId="0">
      <pane ySplit="1" topLeftCell="A2" activePane="bottomLeft" state="frozen"/>
      <selection pane="bottomLeft" activeCell="A1" sqref="A1"/>
    </sheetView>
  </sheetViews>
  <sheetFormatPr baseColWidth="8" defaultRowHeight="15"/>
  <cols>
    <col width="12" customWidth="1" style="46" min="1" max="1"/>
    <col width="70" customWidth="1" style="46" min="2" max="2"/>
    <col width="44" customWidth="1" style="46" min="3" max="3"/>
    <col width="23" customWidth="1" style="46" min="4" max="4"/>
    <col width="33" customWidth="1" style="46" min="5" max="5"/>
    <col width="70" customWidth="1" style="46" min="6" max="6"/>
    <col width="70" customWidth="1" style="46" min="7" max="7"/>
    <col width="70" customWidth="1" style="46" min="8" max="8"/>
    <col width="19" customWidth="1" style="46" min="9" max="9"/>
    <col width="66" customWidth="1" style="46" min="10" max="10"/>
    <col width="70" customWidth="1" style="46" min="11" max="11"/>
    <col width="70" customWidth="1" style="46" min="12" max="12"/>
    <col width="42" customWidth="1" style="46" min="13" max="13"/>
    <col width="70" customWidth="1" style="46" min="14" max="14"/>
  </cols>
  <sheetData>
    <row r="1" ht="28" customHeight="1" s="46">
      <c r="A1" s="61" t="inlineStr">
        <is>
          <t>member_id</t>
        </is>
      </c>
      <c r="B1" s="61" t="inlineStr">
        <is>
          <t>member_name</t>
        </is>
      </c>
      <c r="C1" s="61" t="inlineStr">
        <is>
          <t>homepage</t>
        </is>
      </c>
      <c r="D1" s="61" t="inlineStr">
        <is>
          <t>actor_role</t>
        </is>
      </c>
      <c r="E1" s="61" t="inlineStr">
        <is>
          <t>actor_subrole</t>
        </is>
      </c>
      <c r="F1" s="61" t="inlineStr">
        <is>
          <t>searchable_profile_text</t>
        </is>
      </c>
      <c r="G1" s="61" t="inlineStr">
        <is>
          <t>keyword_families_hit</t>
        </is>
      </c>
      <c r="H1" s="61" t="inlineStr">
        <is>
          <t>keywords_hit</t>
        </is>
      </c>
      <c r="I1" s="61" t="inlineStr">
        <is>
          <t>keyword_hit_count</t>
        </is>
      </c>
      <c r="J1" s="61" t="inlineStr">
        <is>
          <t>strongest_static_signal</t>
        </is>
      </c>
      <c r="K1" s="61" t="inlineStr">
        <is>
          <t>SOR_interpretation</t>
        </is>
      </c>
      <c r="L1" s="61" t="inlineStr">
        <is>
          <t>suggested_use</t>
        </is>
      </c>
      <c r="M1" s="61" t="inlineStr">
        <is>
          <t>source_url</t>
        </is>
      </c>
      <c r="N1" s="61" t="inlineStr">
        <is>
          <t>extraction_note</t>
        </is>
      </c>
    </row>
    <row r="2">
      <c r="A2" s="19" t="n">
        <v>1</v>
      </c>
      <c r="B2" s="19" t="inlineStr">
        <is>
          <t>1. FSV Mainz 05 e.V.</t>
        </is>
      </c>
      <c r="C2" s="19" t="inlineStr">
        <is>
          <t>https://www.mainz05.de</t>
        </is>
      </c>
      <c r="D2" s="19" t="inlineStr">
        <is>
          <t>context_actor</t>
        </is>
      </c>
      <c r="E2" t="inlineStr">
        <is>
          <t>sports_regional_identity_anchor</t>
        </is>
      </c>
      <c r="F2" s="19" t="inlineStr">
        <is>
          <t>1. FSV Mainz 05 e.V. | context_actor | gesellschaft, kultur | Sport, Region und gesellschaftliche Identifikation (5); Kultur, Standortidentität und regionale Attraktivität (4); Demokratie, Medien und gesellschaftlicher Zusammenhalt (3); Kreativwirtschaft, Medien und digitale Öffentlichkeit (3)</t>
        </is>
      </c>
      <c r="G2" s="19" t="inlineStr">
        <is>
          <t>KI / Digital; Wirtschaft / Mittelstand / Standort; Dialog / Netzwerk / Verantwortung; Kultur / Medien / Öffentlichkeit</t>
        </is>
      </c>
      <c r="H2" s="19" t="inlineStr">
        <is>
          <t>digital; IT; Wirtschaft; Standort; gesellschaftlich; Zusammenhalt; Kultur; Medien; Öffentlichkeit; Kreativwirtschaft; Standortidentität; Region; gesellschaftliche Identifikation; Demokratie</t>
        </is>
      </c>
      <c r="I2" s="19" t="n">
        <v>14</v>
      </c>
      <c r="J2" s="19" t="inlineStr">
        <is>
          <t>Sport, Region und gesellschaftliche Identifikation (5)</t>
        </is>
      </c>
      <c r="K2" s="19" t="inlineStr">
        <is>
          <t>Static profile activates 4 keyword family/families: KI / Digital, Wirtschaft / Mittelstand / Standort, Dialog / Netzwerk / Verantwortung, Kultur / Medien / Öffentlichkeit.</t>
        </is>
      </c>
      <c r="L2" s="19" t="inlineStr">
        <is>
          <t>Use as convening/context partner for digitalization / data / technology opportunity anchor.</t>
        </is>
      </c>
      <c r="M2" s="19" t="inlineStr">
        <is>
          <t>https://www.zirp.de/die-zirp/mitglieder/</t>
        </is>
      </c>
      <c r="N2" s="19" t="inlineStr">
        <is>
          <t>Keyword search over existing static ZIRP member fields in this workbook, designed to mirror/search official ZIRP profile info boxes.</t>
        </is>
      </c>
    </row>
    <row r="3">
      <c r="A3" s="19" t="n">
        <v>2</v>
      </c>
      <c r="B3" s="19" t="inlineStr">
        <is>
          <t>AOK Rheinland-Pfalz/Saarland</t>
        </is>
      </c>
      <c r="C3" s="19" t="inlineStr">
        <is>
          <t>https://www.aok.de/rheinland-pfalz</t>
        </is>
      </c>
      <c r="D3" s="19" t="inlineStr">
        <is>
          <t>context_actor</t>
        </is>
      </c>
      <c r="E3" t="inlineStr">
        <is>
          <t>health_social_anchor</t>
        </is>
      </c>
      <c r="F3" s="19" t="inlineStr">
        <is>
          <t>AOK Rheinland-Pfalz/Saarland | context_actor | gesellschaft | Gesundheitsversorgung und Prävention (5); Pflege, Fachkräfte und Sozialwirtschaft (4); Sport, Region und gesellschaftliche Identifikation (4)</t>
        </is>
      </c>
      <c r="G3" s="19" t="inlineStr">
        <is>
          <t>KI / Digital; Nachhaltigkeit / Klima / Energie; Gesundheit / Pflege / Sozialwirtschaft; Fachkräfte / Arbeit / Qualifizierung; Wirtschaft / Mittelstand / Standort; Dialog / Netzwerk / Verantwortung; Kultur / Medien / Öffentlichkeit</t>
        </is>
      </c>
      <c r="H3" s="19" t="inlineStr">
        <is>
          <t>IT; Land; Gesundheit; Gesundheitsversorgung; Pflege; Sozialwirtschaft; Prävention; Versorgung; Fachkräfte; Wirtschaft; gesellschaftlich; Region; gesellschaftliche Identifikation</t>
        </is>
      </c>
      <c r="I3" s="19" t="n">
        <v>13</v>
      </c>
      <c r="J3" s="19" t="inlineStr">
        <is>
          <t>Gesundheitsversorgung und Prävention (5)</t>
        </is>
      </c>
      <c r="K3" s="19" t="inlineStr">
        <is>
          <t>Static profile activates 7 keyword family/families: KI / Digital, Nachhaltigkeit / Klima / Energie, Gesundheit / Pflege / Sozialwirtschaft, Fachkräfte / Arbeit / Qualifizierung, Wirtschaft / Mittelstand / Standort, Dialog / Netzwerk / Verantwortung, Kultur / Medien / Öffentlichkeit.</t>
        </is>
      </c>
      <c r="L3" s="19" t="inlineStr">
        <is>
          <t>Use as convening/context partner for health/social-sector opportunity anchor.</t>
        </is>
      </c>
      <c r="M3" s="19" t="inlineStr">
        <is>
          <t>https://www.zirp.de/die-zirp/mitglieder/</t>
        </is>
      </c>
      <c r="N3" s="19" t="inlineStr">
        <is>
          <t>Keyword search over existing static ZIRP member fields in this workbook, designed to mirror/search official ZIRP profile info boxes.</t>
        </is>
      </c>
    </row>
    <row r="4">
      <c r="A4" s="19" t="n">
        <v>3</v>
      </c>
      <c r="B4" s="19" t="inlineStr">
        <is>
          <t>Architektenkammer Rheinland-Pfalz</t>
        </is>
      </c>
      <c r="C4" s="19" t="inlineStr">
        <is>
          <t>https://www.diearchitekten.org</t>
        </is>
      </c>
      <c r="D4" s="19" t="inlineStr">
        <is>
          <t>implementation_anchor</t>
        </is>
      </c>
      <c r="E4" t="inlineStr">
        <is>
          <t>construction_planning_anchor</t>
        </is>
      </c>
      <c r="F4" s="19" t="inlineStr">
        <is>
          <t>Architektenkammer Rheinland-Pfalz | implementation_anchor | nachhaltigkeit, technologie | Digitale Bau-, Planungs- und Genehmigungsprozesse (5); Klimaanpassung in Stadt und Land (4); Kreislaufwirtschaft, Bau und Ersatzbaustoffverordnung (4)</t>
        </is>
      </c>
      <c r="G4" s="19" t="inlineStr">
        <is>
          <t>KI / Digital; Nachhaltigkeit / Klima / Energie; Bau / Raum / Infrastruktur; Wirtschaft / Mittelstand / Standort</t>
        </is>
      </c>
      <c r="H4" s="19" t="inlineStr">
        <is>
          <t>digital; IT; Technologie; Nachhaltigkeit; nachhaltig; Klima; Klimaanpassung; Kreislauf; Ersatzbaustoff; Land; Stadt; Bau; Planung; Genehmigung; Wirtschaft</t>
        </is>
      </c>
      <c r="I4" s="19" t="n">
        <v>15</v>
      </c>
      <c r="J4" s="19" t="inlineStr">
        <is>
          <t>Digitale Bau-, Planungs- und Genehmigungsprozesse (5)</t>
        </is>
      </c>
      <c r="K4" s="19" t="inlineStr">
        <is>
          <t>Static profile activates 4 keyword family/families: KI / Digital, Nachhaltigkeit / Klima / Energie, Bau / Raum / Infrastruktur, Wirtschaft / Mittelstand / Standort.</t>
        </is>
      </c>
      <c r="L4" s="19" t="inlineStr">
        <is>
          <t>Use as institutional implementation partner for digitalization / data / technology opportunity anchor.</t>
        </is>
      </c>
      <c r="M4" s="19" t="inlineStr">
        <is>
          <t>https://www.zirp.de/die-zirp/mitglieder/</t>
        </is>
      </c>
      <c r="N4" s="19" t="inlineStr">
        <is>
          <t>Keyword search over existing static ZIRP member fields in this workbook, designed to mirror/search official ZIRP profile info boxes.</t>
        </is>
      </c>
    </row>
    <row r="5">
      <c r="A5" s="19" t="n">
        <v>4</v>
      </c>
      <c r="B5" s="19" t="inlineStr">
        <is>
          <t>Aturas GmbH</t>
        </is>
      </c>
      <c r="C5" s="19" t="inlineStr">
        <is>
          <t>https://aturas.com</t>
        </is>
      </c>
      <c r="D5" s="19" t="inlineStr">
        <is>
          <t>profit_anchor</t>
        </is>
      </c>
      <c r="E5" t="inlineStr">
        <is>
          <t>technology_digital_anchor</t>
        </is>
      </c>
      <c r="F5" s="19" t="inlineStr">
        <is>
          <t>Aturas GmbH | profit_anchor | technologie, wirtschaft, wissen | Digitale Bau-, Planungs- und Genehmigungsprozesse (4); KI, Daten und Verwaltungs-/Wirtschaftsanwendungen (4); Mittelstand, Digitalisierung und Produktivität (4); Verwaltungswissen und digitale Umsetzung (4)</t>
        </is>
      </c>
      <c r="G5" s="19" t="inlineStr">
        <is>
          <t>KI / Digital; Innovation / Transfer; Fachkräfte / Arbeit / Qualifizierung; Bau / Raum / Infrastruktur; Wirtschaft / Mittelstand / Standort; Wissenschaft / Bildung / Hochschule</t>
        </is>
      </c>
      <c r="H5" s="19" t="inlineStr">
        <is>
          <t>KI; Digitalisierung; digital; Daten; IT; Technologie; Verwaltung; Wissen; Produktivität; Bau; Planung; Genehmigung; Wirtschaft; Mittelstand</t>
        </is>
      </c>
      <c r="I5" s="19" t="n">
        <v>14</v>
      </c>
      <c r="J5" s="19" t="inlineStr">
        <is>
          <t>Digitale Bau-, Planungs- und Genehmigungsprozesse (4)</t>
        </is>
      </c>
      <c r="K5" s="19" t="inlineStr">
        <is>
          <t>Static profile activates 6 keyword family/families: KI / Digital, Innovation / Transfer, Fachkräfte / Arbeit / Qualifizierung, Bau / Raum / Infrastruktur, Wirtschaft / Mittelstand / Standort, Wissenschaft / Bildung / Hochschule.</t>
        </is>
      </c>
      <c r="L5" s="19" t="inlineStr">
        <is>
          <t>Use as implementation/commercial partner for digitalization / data / technology opportunity anchor.</t>
        </is>
      </c>
      <c r="M5" s="19" t="inlineStr">
        <is>
          <t>https://www.zirp.de/die-zirp/mitglieder/</t>
        </is>
      </c>
      <c r="N5" s="19" t="inlineStr">
        <is>
          <t>Keyword search over existing static ZIRP member fields in this workbook, designed to mirror/search official ZIRP profile info boxes.</t>
        </is>
      </c>
    </row>
    <row r="6">
      <c r="A6" s="19" t="n">
        <v>5</v>
      </c>
      <c r="B6" s="19" t="inlineStr">
        <is>
          <t>Barmherzige Brüder Trier gGmbH</t>
        </is>
      </c>
      <c r="C6" s="19" t="inlineStr">
        <is>
          <t>https://www.bbtgruppe.de</t>
        </is>
      </c>
      <c r="D6" s="19" t="inlineStr">
        <is>
          <t>context_actor</t>
        </is>
      </c>
      <c r="E6" t="inlineStr">
        <is>
          <t>health_social_anchor</t>
        </is>
      </c>
      <c r="F6" s="19" t="inlineStr">
        <is>
          <t>Barmherzige Brüder Trier gGmbH | context_actor | gesellschaft, wirtschaft, wissen | Pflege, Fachkräfte und Sozialwirtschaft (5); Arbeitsmarkt, Fachkräfte und Qualifizierung (4); Gesundheitsversorgung und Prävention (4); Teilhabe, Inklusion und Arbeitsmarkt (4); Weiterbildung und lebenslanges Lernen (4)</t>
        </is>
      </c>
      <c r="G6" s="19" t="inlineStr">
        <is>
          <t>KI / Digital; Innovation / Transfer; Gesundheit / Pflege / Sozialwirtschaft; Fachkräfte / Arbeit / Qualifizierung; Wirtschaft / Mittelstand / Standort; Wissenschaft / Bildung / Hochschule</t>
        </is>
      </c>
      <c r="H6" s="19" t="inlineStr">
        <is>
          <t>IT; Wissen; Gesundheit; Gesundheitsversorgung; Pflege; Sozialwirtschaft; Prävention; Versorgung; Teilhabe; Fachkräfte; Qualifizierung; Weiterbildung; Arbeitsmarkt; lebenslanges Lernen; Wirtschaft; Bildung</t>
        </is>
      </c>
      <c r="I6" s="19" t="n">
        <v>16</v>
      </c>
      <c r="J6" s="19" t="inlineStr">
        <is>
          <t>Pflege, Fachkräfte und Sozialwirtschaft (5)</t>
        </is>
      </c>
      <c r="K6" s="19" t="inlineStr">
        <is>
          <t>Static profile activates 6 keyword family/families: KI / Digital, Innovation / Transfer, Gesundheit / Pflege / Sozialwirtschaft, Fachkräfte / Arbeit / Qualifizierung, Wirtschaft / Mittelstand / Standort, Wissenschaft / Bildung / Hochschule.</t>
        </is>
      </c>
      <c r="L6" s="19" t="inlineStr">
        <is>
          <t>Use as convening/context partner for health/social-sector opportunity anchor.</t>
        </is>
      </c>
      <c r="M6" s="19" t="inlineStr">
        <is>
          <t>https://www.zirp.de/die-zirp/mitglieder/</t>
        </is>
      </c>
      <c r="N6" s="19" t="inlineStr">
        <is>
          <t>Keyword search over existing static ZIRP member fields in this workbook, designed to mirror/search official ZIRP profile info boxes.</t>
        </is>
      </c>
    </row>
    <row r="7">
      <c r="A7" s="19" t="n">
        <v>6</v>
      </c>
      <c r="B7" s="19" t="inlineStr">
        <is>
          <t>BASF SE</t>
        </is>
      </c>
      <c r="C7" s="19" t="inlineStr">
        <is>
          <t>https://www.basf.com</t>
        </is>
      </c>
      <c r="D7" s="19" t="inlineStr">
        <is>
          <t>profit_anchor</t>
        </is>
      </c>
      <c r="E7" t="inlineStr">
        <is>
          <t>industry_anchor</t>
        </is>
      </c>
      <c r="F7" s="19" t="inlineStr">
        <is>
          <t>BASF SE | profit_anchor | nachhaltigkeit, technologie, wirtschaft, wissen | Standort, Investition und industrielle Transformation (5); Energie, Netze und Versorgungssicherheit (4); Hochschule-Wirtschaft-Transfer (4); Industrie 4.0, Automatisierung und Produktion (4); Arbeitsmarkt, Fachkräfte und Qualifizierung (3)</t>
        </is>
      </c>
      <c r="G7" s="19" t="inlineStr">
        <is>
          <t>KI / Digital; Innovation / Transfer; Nachhaltigkeit / Klima / Energie; Gesundheit / Pflege / Sozialwirtschaft; Fachkräfte / Arbeit / Qualifizierung; Wirtschaft / Mittelstand / Standort; Wissenschaft / Bildung / Hochschule</t>
        </is>
      </c>
      <c r="H7" s="19" t="inlineStr">
        <is>
          <t>IT; Technologie; Automatisierung; Industrie 4.0; Transfer; Wissen; Nachhaltigkeit; nachhaltig; Energie; Netze; Versorgungssicherheit; Versorgung; Fachkräfte; Qualifizierung; Arbeitsmarkt; Wirtschaft; Standort; Industrie; Investition; Transformation; Hochschule</t>
        </is>
      </c>
      <c r="I7" s="19" t="n">
        <v>21</v>
      </c>
      <c r="J7" s="19" t="inlineStr">
        <is>
          <t>Standort, Investition und industrielle Transformation (5)</t>
        </is>
      </c>
      <c r="K7" s="19" t="inlineStr">
        <is>
          <t>Static profile activates 7 keyword family/families: KI / Digital, Innovation / Transfer, Nachhaltigkeit / Klima / Energie, Gesundheit / Pflege / Sozialwirtschaft, Fachkräfte / Arbeit / Qualifizierung, Wirtschaft / Mittelstand / Standort, Wissenschaft / Bildung / Hochschule.</t>
        </is>
      </c>
      <c r="L7" s="19" t="inlineStr">
        <is>
          <t>Use as implementation/commercial partner for health/social-sector opportunity anchor.</t>
        </is>
      </c>
      <c r="M7" s="19" t="inlineStr">
        <is>
          <t>https://www.zirp.de/die-zirp/mitglieder/</t>
        </is>
      </c>
      <c r="N7" s="19" t="inlineStr">
        <is>
          <t>Keyword search over existing static ZIRP member fields in this workbook, designed to mirror/search official ZIRP profile info boxes.</t>
        </is>
      </c>
    </row>
    <row r="8">
      <c r="A8" s="19" t="n">
        <v>7</v>
      </c>
      <c r="B8" s="19" t="inlineStr">
        <is>
          <t>Bauern- und Winzerverband Rheinland-Pfalz Süd e.V.</t>
        </is>
      </c>
      <c r="C8" s="19" t="inlineStr">
        <is>
          <t>https://www.bwv-rlp.de</t>
        </is>
      </c>
      <c r="D8" s="19" t="inlineStr">
        <is>
          <t>implementation_anchor</t>
        </is>
      </c>
      <c r="E8" t="inlineStr">
        <is>
          <t>agriculture_wine_anchor</t>
        </is>
      </c>
      <c r="F8" s="19" t="inlineStr">
        <is>
          <t>Bauern- und Winzerverband Rheinland-Pfalz Süd e.V. | implementation_anchor | nachhaltigkeit | Klimaanpassung in Stadt und Land (5)</t>
        </is>
      </c>
      <c r="G8" s="19" t="inlineStr">
        <is>
          <t>KI / Digital; Nachhaltigkeit / Klima / Energie; Bau / Raum / Infrastruktur</t>
        </is>
      </c>
      <c r="H8" s="19" t="inlineStr">
        <is>
          <t>IT; Nachhaltigkeit; nachhaltig; Klima; Klimaanpassung; Land; Stadt; Bau</t>
        </is>
      </c>
      <c r="I8" s="19" t="n">
        <v>8</v>
      </c>
      <c r="J8" s="19" t="inlineStr">
        <is>
          <t>Klimaanpassung in Stadt und Land (5)</t>
        </is>
      </c>
      <c r="K8" s="19" t="inlineStr">
        <is>
          <t>Static profile activates 3 keyword family/families: KI / Digital, Nachhaltigkeit / Klima / Energie, Bau / Raum / Infrastruktur.</t>
        </is>
      </c>
      <c r="L8" s="19" t="inlineStr">
        <is>
          <t>Use as institutional implementation partner for digitalization / data / technology opportunity anchor.</t>
        </is>
      </c>
      <c r="M8" s="19" t="inlineStr">
        <is>
          <t>https://www.zirp.de/die-zirp/mitglieder/</t>
        </is>
      </c>
      <c r="N8" s="19" t="inlineStr">
        <is>
          <t>Keyword search over existing static ZIRP member fields in this workbook, designed to mirror/search official ZIRP profile info boxes.</t>
        </is>
      </c>
    </row>
    <row r="9">
      <c r="A9" s="19" t="n">
        <v>8</v>
      </c>
      <c r="B9" s="19" t="inlineStr">
        <is>
          <t>Bauwirtschaft Rheinland-Pfalz e.V.</t>
        </is>
      </c>
      <c r="C9" s="19" t="inlineStr">
        <is>
          <t>https://www.bauwirtschaft-rlp.de</t>
        </is>
      </c>
      <c r="D9" s="19" t="inlineStr">
        <is>
          <t>context_actor</t>
        </is>
      </c>
      <c r="E9" t="inlineStr">
        <is>
          <t>construction_planning_anchor</t>
        </is>
      </c>
      <c r="F9" s="19" t="inlineStr">
        <is>
          <t>Bauwirtschaft Rheinland-Pfalz e.V. | context_actor | nachhaltigkeit, technologie | Digitale Bau-, Planungs- und Genehmigungsprozesse (5); Kreislaufwirtschaft, Bau und Ersatzbaustoffverordnung (5); Klimaanpassung in Stadt und Land (4)</t>
        </is>
      </c>
      <c r="G9" s="19" t="inlineStr">
        <is>
          <t>KI / Digital; Nachhaltigkeit / Klima / Energie; Bau / Raum / Infrastruktur; Wirtschaft / Mittelstand / Standort</t>
        </is>
      </c>
      <c r="H9" s="19" t="inlineStr">
        <is>
          <t>digital; IT; Technologie; Nachhaltigkeit; nachhaltig; Klima; Klimaanpassung; Kreislauf; Ersatzbaustoff; Land; Stadt; Bau; Planung; Genehmigung; Wirtschaft</t>
        </is>
      </c>
      <c r="I9" s="19" t="n">
        <v>15</v>
      </c>
      <c r="J9" s="19" t="inlineStr">
        <is>
          <t>Digitale Bau-, Planungs- und Genehmigungsprozesse (5)</t>
        </is>
      </c>
      <c r="K9" s="19" t="inlineStr">
        <is>
          <t>Static profile activates 4 keyword family/families: KI / Digital, Nachhaltigkeit / Klima / Energie, Bau / Raum / Infrastruktur, Wirtschaft / Mittelstand / Standort.</t>
        </is>
      </c>
      <c r="L9" s="19" t="inlineStr">
        <is>
          <t>Use as convening/context partner for digitalization / data / technology opportunity anchor.</t>
        </is>
      </c>
      <c r="M9" s="19" t="inlineStr">
        <is>
          <t>https://www.zirp.de/die-zirp/mitglieder/</t>
        </is>
      </c>
      <c r="N9" s="19" t="inlineStr">
        <is>
          <t>Keyword search over existing static ZIRP member fields in this workbook, designed to mirror/search official ZIRP profile info boxes.</t>
        </is>
      </c>
    </row>
    <row r="10">
      <c r="A10" s="19" t="n">
        <v>9</v>
      </c>
      <c r="B10" s="19" t="inlineStr">
        <is>
          <t>Bernd Hummel Holding GmbH</t>
        </is>
      </c>
      <c r="C10" s="19" t="inlineStr">
        <is>
          <t>https://www.bernd-hummel.de</t>
        </is>
      </c>
      <c r="D10" s="19" t="inlineStr">
        <is>
          <t>profit_anchor</t>
        </is>
      </c>
      <c r="E10" t="inlineStr">
        <is>
          <t>industry_anchor</t>
        </is>
      </c>
      <c r="F10" s="19" t="inlineStr">
        <is>
          <t xml:space="preserve">Bernd Hummel Holding GmbH | profit_anchor |  | </t>
        </is>
      </c>
      <c r="G10" s="19" t="inlineStr">
        <is>
          <t>KI / Digital</t>
        </is>
      </c>
      <c r="H10" s="19" t="inlineStr">
        <is>
          <t>IT</t>
        </is>
      </c>
      <c r="I10" s="19" t="n">
        <v>1</v>
      </c>
      <c r="J10" s="19" t="str"/>
      <c r="K10" s="19" t="inlineStr">
        <is>
          <t>Static profile activates 1 keyword family/families: KI / Digital.</t>
        </is>
      </c>
      <c r="L10" s="19" t="inlineStr">
        <is>
          <t>Use as implementation/commercial partner for digitalization / data / technology opportunity anchor.</t>
        </is>
      </c>
      <c r="M10" s="19" t="inlineStr">
        <is>
          <t>https://www.zirp.de/die-zirp/mitglieder/</t>
        </is>
      </c>
      <c r="N10" s="19" t="inlineStr">
        <is>
          <t>Keyword search over existing static ZIRP member fields in this workbook, designed to mirror/search official ZIRP profile info boxes.</t>
        </is>
      </c>
    </row>
    <row r="11">
      <c r="A11" s="19" t="n">
        <v>10</v>
      </c>
      <c r="B11" s="19" t="inlineStr">
        <is>
          <t>Bitburger Braugruppe GmbH</t>
        </is>
      </c>
      <c r="C11" s="19" t="inlineStr">
        <is>
          <t>https://www.bitburger-braugruppe.de</t>
        </is>
      </c>
      <c r="D11" s="19" t="inlineStr">
        <is>
          <t>profit_anchor</t>
        </is>
      </c>
      <c r="E11" t="inlineStr">
        <is>
          <t>food_beverage_consumer_anchor</t>
        </is>
      </c>
      <c r="F11" s="19" t="inlineStr">
        <is>
          <t>Bitburger Braugruppe GmbH | profit_anchor | wirtschaft | Standort, Investition und industrielle Transformation (4)</t>
        </is>
      </c>
      <c r="G11" s="19" t="inlineStr">
        <is>
          <t>KI / Digital; Wirtschaft / Mittelstand / Standort</t>
        </is>
      </c>
      <c r="H11" s="19" t="inlineStr">
        <is>
          <t>IT; Wirtschaft; Standort; Industrie; Investition; Transformation</t>
        </is>
      </c>
      <c r="I11" s="19" t="n">
        <v>6</v>
      </c>
      <c r="J11" s="19" t="inlineStr">
        <is>
          <t>Standort, Investition und industrielle Transformation (4)</t>
        </is>
      </c>
      <c r="K11" s="19" t="inlineStr">
        <is>
          <t>Static profile activates 2 keyword family/families: KI / Digital, Wirtschaft / Mittelstand / Standort.</t>
        </is>
      </c>
      <c r="L11" s="19" t="inlineStr">
        <is>
          <t>Use as implementation/commercial partner for digitalization / data / technology opportunity anchor.</t>
        </is>
      </c>
      <c r="M11" s="19" t="inlineStr">
        <is>
          <t>https://www.zirp.de/die-zirp/mitglieder/</t>
        </is>
      </c>
      <c r="N11" s="19" t="inlineStr">
        <is>
          <t>Keyword search over existing static ZIRP member fields in this workbook, designed to mirror/search official ZIRP profile info boxes.</t>
        </is>
      </c>
    </row>
    <row r="12">
      <c r="A12" s="19" t="n">
        <v>11</v>
      </c>
      <c r="B12" s="19" t="inlineStr">
        <is>
          <t>Boehringer Ingelheim Pharma GmbH &amp; Co. KG</t>
        </is>
      </c>
      <c r="C12" s="19" t="inlineStr">
        <is>
          <t>https://www.boehringer-ingelheim.com/de</t>
        </is>
      </c>
      <c r="D12" s="19" t="inlineStr">
        <is>
          <t>profit_anchor</t>
        </is>
      </c>
      <c r="E12" t="inlineStr">
        <is>
          <t>health_social_anchor</t>
        </is>
      </c>
      <c r="F12" s="19" t="inlineStr">
        <is>
          <t>Boehringer Ingelheim Pharma GmbH &amp; Co. KG | profit_anchor | gesellschaft, wirtschaft, wissen | Standort, Investition und industrielle Transformation (5); Gesundheitsversorgung und Prävention (4); Hochschule-Wirtschaft-Transfer (4); Arbeitsmarkt, Fachkräfte und Qualifizierung (3); Finanzierung und Förderung von Transformation (3)</t>
        </is>
      </c>
      <c r="G12" s="19" t="inlineStr">
        <is>
          <t>KI / Digital; Innovation / Transfer; Gesundheit / Pflege / Sozialwirtschaft; Fachkräfte / Arbeit / Qualifizierung; Wirtschaft / Mittelstand / Standort; Wissenschaft / Bildung / Hochschule</t>
        </is>
      </c>
      <c r="H12" s="19" t="inlineStr">
        <is>
          <t>IT; Transfer; Wissen; Gesundheit; Gesundheitsversorgung; Prävention; Versorgung; Fachkräfte; Qualifizierung; Arbeitsmarkt; Wirtschaft; Standort; Industrie; Investition; Transformation; Förderung; Finanzierung; Hochschule</t>
        </is>
      </c>
      <c r="I12" s="19" t="n">
        <v>18</v>
      </c>
      <c r="J12" s="19" t="inlineStr">
        <is>
          <t>Standort, Investition und industrielle Transformation (5)</t>
        </is>
      </c>
      <c r="K12" s="19" t="inlineStr">
        <is>
          <t>Static profile activates 6 keyword family/families: KI / Digital, Innovation / Transfer, Gesundheit / Pflege / Sozialwirtschaft, Fachkräfte / Arbeit / Qualifizierung, Wirtschaft / Mittelstand / Standort, Wissenschaft / Bildung / Hochschule.</t>
        </is>
      </c>
      <c r="L12" s="19" t="inlineStr">
        <is>
          <t>Use as implementation/commercial partner for health/social-sector opportunity anchor.</t>
        </is>
      </c>
      <c r="M12" s="19" t="inlineStr">
        <is>
          <t>https://www.zirp.de/die-zirp/mitglieder/</t>
        </is>
      </c>
      <c r="N12" s="19" t="inlineStr">
        <is>
          <t>Keyword search over existing static ZIRP member fields in this workbook, designed to mirror/search official ZIRP profile info boxes.</t>
        </is>
      </c>
    </row>
    <row r="13">
      <c r="A13" s="19" t="n">
        <v>12</v>
      </c>
      <c r="B13" s="19" t="inlineStr">
        <is>
          <t>BRICKMAKERS AG</t>
        </is>
      </c>
      <c r="C13" s="19" t="inlineStr">
        <is>
          <t>http://www.brickmakers.de</t>
        </is>
      </c>
      <c r="D13" s="19" t="inlineStr">
        <is>
          <t>profit_anchor</t>
        </is>
      </c>
      <c r="E13" t="inlineStr">
        <is>
          <t>technology_digital_anchor</t>
        </is>
      </c>
      <c r="F13" s="19" t="inlineStr">
        <is>
          <t>BRICKMAKERS AG | profit_anchor | technologie, wirtschaft, wissen | KI, Daten und Verwaltungs-/Wirtschaftsanwendungen (5); Mittelstand, Digitalisierung und Produktivität (5); Cyberresilienz und kritische Infrastruktur (4); Digitale Bau-, Planungs- und Genehmigungsprozesse (4); Hochschule-Wirtschaft-Transfer (4)</t>
        </is>
      </c>
      <c r="G13" s="19" t="inlineStr">
        <is>
          <t>KI / Digital; Innovation / Transfer; Fachkräfte / Arbeit / Qualifizierung; Bau / Raum / Infrastruktur; Wirtschaft / Mittelstand / Standort; Wissenschaft / Bildung / Hochschule</t>
        </is>
      </c>
      <c r="H13" s="19" t="inlineStr">
        <is>
          <t>KI; Digitalisierung; digital; Daten; IT; Technologie; Cyber; Verwaltung; Transfer; Wissen; Produktivität; Bau; Infrastruktur; Planung; Genehmigung; Wirtschaft; Mittelstand; Hochschule</t>
        </is>
      </c>
      <c r="I13" s="19" t="n">
        <v>18</v>
      </c>
      <c r="J13" s="19" t="inlineStr">
        <is>
          <t>KI, Daten und Verwaltungs-/Wirtschaftsanwendungen (5)</t>
        </is>
      </c>
      <c r="K13" s="19" t="inlineStr">
        <is>
          <t>Static profile activates 6 keyword family/families: KI / Digital, Innovation / Transfer, Fachkräfte / Arbeit / Qualifizierung, Bau / Raum / Infrastruktur, Wirtschaft / Mittelstand / Standort, Wissenschaft / Bildung / Hochschule.</t>
        </is>
      </c>
      <c r="L13" s="19" t="inlineStr">
        <is>
          <t>Use as implementation/commercial partner for digitalization / data / technology opportunity anchor.</t>
        </is>
      </c>
      <c r="M13" s="19" t="inlineStr">
        <is>
          <t>https://www.zirp.de/die-zirp/mitglieder/</t>
        </is>
      </c>
      <c r="N13" s="19" t="inlineStr">
        <is>
          <t>Keyword search over existing static ZIRP member fields in this workbook, designed to mirror/search official ZIRP profile info boxes.</t>
        </is>
      </c>
    </row>
    <row r="14">
      <c r="A14" s="19" t="n">
        <v>13</v>
      </c>
      <c r="B14" s="19" t="inlineStr">
        <is>
          <t>Bundesagentur für Arbeit, Regionaldirektion Rheinland-Pfalz-Saarland</t>
        </is>
      </c>
      <c r="C14" s="19" t="inlineStr">
        <is>
          <t>https://www.arbeitsagentur.de</t>
        </is>
      </c>
      <c r="D14" s="19" t="inlineStr">
        <is>
          <t>implementation_anchor</t>
        </is>
      </c>
      <c r="E14" t="inlineStr">
        <is>
          <t>public_policy_anchor</t>
        </is>
      </c>
      <c r="F14" s="19" t="inlineStr">
        <is>
          <t>Bundesagentur für Arbeit, Regionaldirektion Rheinland-Pfalz-Saarland | implementation_anchor | gesellschaft, wirtschaft, wissen | Arbeitsmarkt, Fachkräfte und Qualifizierung (5); Pflege, Fachkräfte und Sozialwirtschaft (5); Teilhabe, Inklusion und Arbeitsmarkt (5); Weiterbildung und lebenslanges Lernen (5)</t>
        </is>
      </c>
      <c r="G14" s="19" t="inlineStr">
        <is>
          <t>KI / Digital; Innovation / Transfer; Nachhaltigkeit / Klima / Energie; Gesundheit / Pflege / Sozialwirtschaft; Fachkräfte / Arbeit / Qualifizierung; Wirtschaft / Mittelstand / Standort; Wissenschaft / Bildung / Hochschule; Kultur / Medien / Öffentlichkeit</t>
        </is>
      </c>
      <c r="H14" s="19" t="inlineStr">
        <is>
          <t>IT; Wissen; Land; Pflege; Sozialwirtschaft; Teilhabe; Fachkräfte; Qualifizierung; Weiterbildung; Arbeitsmarkt; lebenslanges Lernen; Wirtschaft; Bildung; Region</t>
        </is>
      </c>
      <c r="I14" s="19" t="n">
        <v>14</v>
      </c>
      <c r="J14" s="19" t="inlineStr">
        <is>
          <t>Arbeitsmarkt, Fachkräfte und Qualifizierung (5)</t>
        </is>
      </c>
      <c r="K14" s="19" t="inlineStr">
        <is>
          <t>Static profile activates 8 keyword family/families: KI / Digital, Innovation / Transfer, Nachhaltigkeit / Klima / Energie, Gesundheit / Pflege / Sozialwirtschaft, Fachkräfte / Arbeit / Qualifizierung, Wirtschaft / Mittelstand / Standort, Wissenschaft / Bildung / Hochschule, Kultur / Medien / Öffentlichkeit.</t>
        </is>
      </c>
      <c r="L14" s="19" t="inlineStr">
        <is>
          <t>Use as institutional implementation partner for health/social-sector opportunity anchor.</t>
        </is>
      </c>
      <c r="M14" s="19" t="inlineStr">
        <is>
          <t>https://www.zirp.de/die-zirp/mitglieder/</t>
        </is>
      </c>
      <c r="N14" s="19" t="inlineStr">
        <is>
          <t>Keyword search over existing static ZIRP member fields in this workbook, designed to mirror/search official ZIRP profile info boxes.</t>
        </is>
      </c>
    </row>
    <row r="15">
      <c r="A15" s="19" t="n">
        <v>14</v>
      </c>
      <c r="B15" s="19" t="inlineStr">
        <is>
          <t>Caritasverband für die Diözese Speyer e.V.</t>
        </is>
      </c>
      <c r="C15" s="19" t="inlineStr">
        <is>
          <t>https://www.caritas-speyer.de</t>
        </is>
      </c>
      <c r="D15" s="19" t="inlineStr">
        <is>
          <t>implementation_anchor</t>
        </is>
      </c>
      <c r="E15" t="inlineStr">
        <is>
          <t>health_social_anchor</t>
        </is>
      </c>
      <c r="F15" s="19" t="inlineStr">
        <is>
          <t>Caritasverband für die Diözese Speyer e.V. | implementation_anchor | gesellschaft, wirtschaft | Pflege, Fachkräfte und Sozialwirtschaft (5); Teilhabe, Inklusion und Arbeitsmarkt (5); Arbeitsmarkt, Fachkräfte und Qualifizierung (4); Demokratie, Medien und gesellschaftlicher Zusammenhalt (4); Gesundheitsversorgung und Prävention (4)</t>
        </is>
      </c>
      <c r="G15" s="19" t="inlineStr">
        <is>
          <t>KI / Digital; Gesundheit / Pflege / Sozialwirtschaft; Fachkräfte / Arbeit / Qualifizierung; Wirtschaft / Mittelstand / Standort; Wissenschaft / Bildung / Hochschule; Dialog / Netzwerk / Verantwortung; Kultur / Medien / Öffentlichkeit</t>
        </is>
      </c>
      <c r="H15" s="19" t="inlineStr">
        <is>
          <t>IT; Gesundheit; Gesundheitsversorgung; Pflege; Sozialwirtschaft; Prävention; Versorgung; Teilhabe; Fachkräfte; Qualifizierung; Arbeitsmarkt; Wirtschaft; gesellschaftlich; Zusammenhalt; Medien; Demokratie</t>
        </is>
      </c>
      <c r="I15" s="19" t="n">
        <v>16</v>
      </c>
      <c r="J15" s="19" t="inlineStr">
        <is>
          <t>Pflege, Fachkräfte und Sozialwirtschaft (5)</t>
        </is>
      </c>
      <c r="K15" s="19" t="inlineStr">
        <is>
          <t>Static profile activates 7 keyword family/families: KI / Digital, Gesundheit / Pflege / Sozialwirtschaft, Fachkräfte / Arbeit / Qualifizierung, Wirtschaft / Mittelstand / Standort, Wissenschaft / Bildung / Hochschule, Dialog / Netzwerk / Verantwortung, Kultur / Medien / Öffentlichkeit.</t>
        </is>
      </c>
      <c r="L15" s="19" t="inlineStr">
        <is>
          <t>Use as institutional implementation partner for health/social-sector opportunity anchor.</t>
        </is>
      </c>
      <c r="M15" s="19" t="inlineStr">
        <is>
          <t>https://www.zirp.de/die-zirp/mitglieder/</t>
        </is>
      </c>
      <c r="N15" s="19" t="inlineStr">
        <is>
          <t>Keyword search over existing static ZIRP member fields in this workbook, designed to mirror/search official ZIRP profile info boxes.</t>
        </is>
      </c>
    </row>
    <row r="16">
      <c r="A16" s="19" t="n">
        <v>15</v>
      </c>
      <c r="B16" s="19" t="inlineStr">
        <is>
          <t>Continental Automotive Technologies GmbH, Safety and Motion (SAM), Standort Rheinböllen</t>
        </is>
      </c>
      <c r="C16" s="19" t="inlineStr">
        <is>
          <t>https://www.continental-corporation.de</t>
        </is>
      </c>
      <c r="D16" s="19" t="inlineStr">
        <is>
          <t>profit_anchor</t>
        </is>
      </c>
      <c r="E16" t="inlineStr">
        <is>
          <t>industry_anchor</t>
        </is>
      </c>
      <c r="F16" s="19" t="inlineStr">
        <is>
          <t>Continental Automotive Technologies GmbH, Safety and Motion (SAM), Standort Rheinböllen | profit_anchor | technologie, wirtschaft | Industrie 4.0, Automatisierung und Produktion (5); Standort, Investition und industrielle Transformation (4)</t>
        </is>
      </c>
      <c r="G16" s="19" t="inlineStr">
        <is>
          <t>KI / Digital; Wirtschaft / Mittelstand / Standort</t>
        </is>
      </c>
      <c r="H16" s="19" t="inlineStr">
        <is>
          <t>IT; Technologie; Automatisierung; Industrie 4.0; Wirtschaft; Standort; Industrie; Investition; Transformation</t>
        </is>
      </c>
      <c r="I16" s="19" t="n">
        <v>9</v>
      </c>
      <c r="J16" s="19" t="inlineStr">
        <is>
          <t>Industrie 4.0, Automatisierung und Produktion (5)</t>
        </is>
      </c>
      <c r="K16" s="19" t="inlineStr">
        <is>
          <t>Static profile activates 2 keyword family/families: KI / Digital, Wirtschaft / Mittelstand / Standort.</t>
        </is>
      </c>
      <c r="L16" s="19" t="inlineStr">
        <is>
          <t>Use as implementation/commercial partner for digitalization / data / technology opportunity anchor.</t>
        </is>
      </c>
      <c r="M16" s="19" t="inlineStr">
        <is>
          <t>https://www.zirp.de/die-zirp/mitglieder/</t>
        </is>
      </c>
      <c r="N16" s="19" t="inlineStr">
        <is>
          <t>Keyword search over existing static ZIRP member fields in this workbook, designed to mirror/search official ZIRP profile info boxes.</t>
        </is>
      </c>
    </row>
    <row r="17">
      <c r="A17" s="19" t="n">
        <v>16</v>
      </c>
      <c r="B17" s="19" t="inlineStr">
        <is>
          <t>Debeka Versicherungsgruppe</t>
        </is>
      </c>
      <c r="C17" s="19" t="inlineStr">
        <is>
          <t>https://www.debeka.de</t>
        </is>
      </c>
      <c r="D17" s="19" t="inlineStr">
        <is>
          <t>profit_anchor</t>
        </is>
      </c>
      <c r="E17" t="inlineStr">
        <is>
          <t>bank_finance_anchor</t>
        </is>
      </c>
      <c r="F17" s="19" t="inlineStr">
        <is>
          <t>Debeka Versicherungsgruppe | profit_anchor | technologie, wirtschaft | Cyberresilienz und kritische Infrastruktur (4); Finanzierung und Förderung von Transformation (4); Standort, Investition und industrielle Transformation (4)</t>
        </is>
      </c>
      <c r="G17" s="19" t="inlineStr">
        <is>
          <t>KI / Digital; Bau / Raum / Infrastruktur; Wirtschaft / Mittelstand / Standort</t>
        </is>
      </c>
      <c r="H17" s="19" t="inlineStr">
        <is>
          <t>IT; Technologie; Cyber; Infrastruktur; Wirtschaft; Standort; Industrie; Investition; Transformation; Förderung; Finanzierung</t>
        </is>
      </c>
      <c r="I17" s="19" t="n">
        <v>11</v>
      </c>
      <c r="J17" s="19" t="inlineStr">
        <is>
          <t>Cyberresilienz und kritische Infrastruktur (4)</t>
        </is>
      </c>
      <c r="K17" s="19" t="inlineStr">
        <is>
          <t>Static profile activates 3 keyword family/families: KI / Digital, Bau / Raum / Infrastruktur, Wirtschaft / Mittelstand / Standort.</t>
        </is>
      </c>
      <c r="L17" s="19" t="inlineStr">
        <is>
          <t>Use as implementation/commercial partner for digitalization / data / technology opportunity anchor.</t>
        </is>
      </c>
      <c r="M17" s="19" t="inlineStr">
        <is>
          <t>https://www.zirp.de/die-zirp/mitglieder/</t>
        </is>
      </c>
      <c r="N17" s="19" t="inlineStr">
        <is>
          <t>Keyword search over existing static ZIRP member fields in this workbook, designed to mirror/search official ZIRP profile info boxes.</t>
        </is>
      </c>
    </row>
    <row r="18">
      <c r="A18" s="19" t="n">
        <v>17</v>
      </c>
      <c r="B18" s="19" t="inlineStr">
        <is>
          <t>Deutsche Bundesbank, Hauptverwaltung in Rheinland-Pfalz und dem Saarland</t>
        </is>
      </c>
      <c r="C18" s="19" t="inlineStr">
        <is>
          <t>https://www.bundesbank.de</t>
        </is>
      </c>
      <c r="D18" s="19" t="inlineStr">
        <is>
          <t>context_actor</t>
        </is>
      </c>
      <c r="E18" t="inlineStr">
        <is>
          <t>bank_finance_anchor</t>
        </is>
      </c>
      <c r="F18" s="19" t="inlineStr">
        <is>
          <t>Deutsche Bundesbank, Hauptverwaltung in Rheinland-Pfalz und dem Saarland | context_actor | technologie | Cyberresilienz und kritische Infrastruktur (4)</t>
        </is>
      </c>
      <c r="G18" s="19" t="inlineStr">
        <is>
          <t>KI / Digital; Nachhaltigkeit / Klima / Energie; Bau / Raum / Infrastruktur</t>
        </is>
      </c>
      <c r="H18" s="19" t="inlineStr">
        <is>
          <t>IT; Technologie; Cyber; Verwaltung; Land; Infrastruktur</t>
        </is>
      </c>
      <c r="I18" s="19" t="n">
        <v>6</v>
      </c>
      <c r="J18" s="19" t="inlineStr">
        <is>
          <t>Cyberresilienz und kritische Infrastruktur (4)</t>
        </is>
      </c>
      <c r="K18" s="19" t="inlineStr">
        <is>
          <t>Static profile activates 3 keyword family/families: KI / Digital, Nachhaltigkeit / Klima / Energie, Bau / Raum / Infrastruktur.</t>
        </is>
      </c>
      <c r="L18" s="19" t="inlineStr">
        <is>
          <t>Use as convening/context partner for digitalization / data / technology opportunity anchor.</t>
        </is>
      </c>
      <c r="M18" s="19" t="inlineStr">
        <is>
          <t>https://www.zirp.de/die-zirp/mitglieder/</t>
        </is>
      </c>
      <c r="N18" s="19" t="inlineStr">
        <is>
          <t>Keyword search over existing static ZIRP member fields in this workbook, designed to mirror/search official ZIRP profile info boxes.</t>
        </is>
      </c>
    </row>
    <row r="19">
      <c r="A19" s="19" t="n">
        <v>18</v>
      </c>
      <c r="B19" s="19" t="inlineStr">
        <is>
          <t>Deutsche Telekom AG</t>
        </is>
      </c>
      <c r="C19" s="19" t="inlineStr">
        <is>
          <t>https://www.telekom.de</t>
        </is>
      </c>
      <c r="D19" s="19" t="inlineStr">
        <is>
          <t>profit_anchor</t>
        </is>
      </c>
      <c r="E19" t="inlineStr">
        <is>
          <t>technology_digital_anchor</t>
        </is>
      </c>
      <c r="F19" s="19" t="inlineStr">
        <is>
          <t>Deutsche Telekom AG | profit_anchor | kultur, technologie, wirtschaft | Cyberresilienz und kritische Infrastruktur (5); KI, Daten und Verwaltungs-/Wirtschaftsanwendungen (5); Mittelstand, Digitalisierung und Produktivität (5); Industrie 4.0, Automatisierung und Produktion (4); Kreativwirtschaft, Medien und digitale Öffentlichkeit (4)</t>
        </is>
      </c>
      <c r="G19" s="19" t="inlineStr">
        <is>
          <t>KI / Digital; Fachkräfte / Arbeit / Qualifizierung; Bau / Raum / Infrastruktur; Wirtschaft / Mittelstand / Standort; Kultur / Medien / Öffentlichkeit</t>
        </is>
      </c>
      <c r="H19" s="19" t="inlineStr">
        <is>
          <t>KI; Digitalisierung; digital; Daten; IT; Technologie; Cyber; Automatisierung; Industrie 4.0; Verwaltung; Produktivität; Infrastruktur; Wirtschaft; Mittelstand; Industrie; Kultur; Medien; Öffentlichkeit; Kreativwirtschaft</t>
        </is>
      </c>
      <c r="I19" s="19" t="n">
        <v>19</v>
      </c>
      <c r="J19" s="19" t="inlineStr">
        <is>
          <t>Cyberresilienz und kritische Infrastruktur (5)</t>
        </is>
      </c>
      <c r="K19" s="19" t="inlineStr">
        <is>
          <t>Static profile activates 5 keyword family/families: KI / Digital, Fachkräfte / Arbeit / Qualifizierung, Bau / Raum / Infrastruktur, Wirtschaft / Mittelstand / Standort, Kultur / Medien / Öffentlichkeit.</t>
        </is>
      </c>
      <c r="L19" s="19" t="inlineStr">
        <is>
          <t>Use as implementation/commercial partner for digitalization / data / technology opportunity anchor.</t>
        </is>
      </c>
      <c r="M19" s="19" t="inlineStr">
        <is>
          <t>https://www.zirp.de/die-zirp/mitglieder/</t>
        </is>
      </c>
      <c r="N19" s="19" t="inlineStr">
        <is>
          <t>Keyword search over existing static ZIRP member fields in this workbook, designed to mirror/search official ZIRP profile info boxes.</t>
        </is>
      </c>
    </row>
    <row r="20">
      <c r="A20" s="19" t="n">
        <v>19</v>
      </c>
      <c r="B20" s="19" t="inlineStr">
        <is>
          <t>Deutsche Universität für Verwaltungswissenschaften Speyer</t>
        </is>
      </c>
      <c r="C20" s="19" t="inlineStr">
        <is>
          <t>https://www.uni-speyer.de</t>
        </is>
      </c>
      <c r="D20" s="19" t="inlineStr">
        <is>
          <t>academic_support</t>
        </is>
      </c>
      <c r="E20" t="inlineStr">
        <is>
          <t>university_research</t>
        </is>
      </c>
      <c r="F20" s="19" t="inlineStr">
        <is>
          <t>Deutsche Universität für Verwaltungswissenschaften Speyer | academic_support | gesellschaft, technologie, wissen | Demokratie, Medien und gesellschaftlicher Zusammenhalt (5); KI, Daten und Verwaltungs-/Wirtschaftsanwendungen (5); Verwaltungswissen und digitale Umsetzung (5); Wissenschaft, Demokratie und gesellschaftlicher Zusammenhalt (5); Digitale Bau-, Planungs- und Genehmigungsprozesse (4)</t>
        </is>
      </c>
      <c r="G20" s="19" t="inlineStr">
        <is>
          <t>KI / Digital; Innovation / Transfer; Bau / Raum / Infrastruktur; Wirtschaft / Mittelstand / Standort; Wissenschaft / Bildung / Hochschule; Dialog / Netzwerk / Verantwortung; Kultur / Medien / Öffentlichkeit</t>
        </is>
      </c>
      <c r="H20" s="19" t="inlineStr">
        <is>
          <t>KI; digital; Daten; IT; Technologie; Verwaltung; Wissen; Bau; Planung; Genehmigung; Wirtschaft; Wissenschaft; Universität; gesellschaftlich; Zusammenhalt; Medien; Demokratie</t>
        </is>
      </c>
      <c r="I20" s="19" t="n">
        <v>17</v>
      </c>
      <c r="J20" s="19" t="inlineStr">
        <is>
          <t>Demokratie, Medien und gesellschaftlicher Zusammenhalt (5)</t>
        </is>
      </c>
      <c r="K20" s="19" t="inlineStr">
        <is>
          <t>Static profile activates 7 keyword family/families: KI / Digital, Innovation / Transfer, Bau / Raum / Infrastruktur, Wirtschaft / Mittelstand / Standort, Wissenschaft / Bildung / Hochschule, Dialog / Netzwerk / Verantwortung, Kultur / Medien / Öffentlichkeit.</t>
        </is>
      </c>
      <c r="L20" s="19" t="inlineStr">
        <is>
          <t>Use as evidence, research or transfer partner for digitalization / data / technology opportunity anchor.</t>
        </is>
      </c>
      <c r="M20" s="19" t="inlineStr">
        <is>
          <t>https://www.zirp.de/die-zirp/mitglieder/</t>
        </is>
      </c>
      <c r="N20" s="19" t="inlineStr">
        <is>
          <t>Keyword search over existing static ZIRP member fields in this workbook, designed to mirror/search official ZIRP profile info boxes.</t>
        </is>
      </c>
    </row>
    <row r="21">
      <c r="A21" s="19" t="n">
        <v>20</v>
      </c>
      <c r="B21" s="19" t="inlineStr">
        <is>
          <t>Deutscher Gewerkschaftsbund (DGB) Rheinland-Pfalz/Saarland</t>
        </is>
      </c>
      <c r="C21" s="19" t="inlineStr">
        <is>
          <t>https://rlp-saarland.dgb.de</t>
        </is>
      </c>
      <c r="D21" s="19" t="inlineStr">
        <is>
          <t>context_actor</t>
        </is>
      </c>
      <c r="E21" t="inlineStr">
        <is>
          <t>chamber_association_anchor</t>
        </is>
      </c>
      <c r="F21" s="19" t="inlineStr">
        <is>
          <t>Deutscher Gewerkschaftsbund (DGB) Rheinland-Pfalz/Saarland | context_actor | gesellschaft, wirtschaft, wissen | Arbeitsmarkt, Fachkräfte und Qualifizierung (5); Pflege, Fachkräfte und Sozialwirtschaft (4); Teilhabe, Inklusion und Arbeitsmarkt (4); Weiterbildung und lebenslanges Lernen (4)</t>
        </is>
      </c>
      <c r="G21" s="19" t="inlineStr">
        <is>
          <t>KI / Digital; Innovation / Transfer; Nachhaltigkeit / Klima / Energie; Gesundheit / Pflege / Sozialwirtschaft; Fachkräfte / Arbeit / Qualifizierung; Wirtschaft / Mittelstand / Standort; Wissenschaft / Bildung / Hochschule</t>
        </is>
      </c>
      <c r="H21" s="19" t="inlineStr">
        <is>
          <t>IT; Wissen; Land; Pflege; Sozialwirtschaft; Teilhabe; Fachkräfte; Qualifizierung; Weiterbildung; Arbeitsmarkt; lebenslanges Lernen; Wirtschaft; Bildung</t>
        </is>
      </c>
      <c r="I21" s="19" t="n">
        <v>13</v>
      </c>
      <c r="J21" s="19" t="inlineStr">
        <is>
          <t>Arbeitsmarkt, Fachkräfte und Qualifizierung (5)</t>
        </is>
      </c>
      <c r="K21" s="19" t="inlineStr">
        <is>
          <t>Static profile activates 7 keyword family/families: KI / Digital, Innovation / Transfer, Nachhaltigkeit / Klima / Energie, Gesundheit / Pflege / Sozialwirtschaft, Fachkräfte / Arbeit / Qualifizierung, Wirtschaft / Mittelstand / Standort, Wissenschaft / Bildung / Hochschule.</t>
        </is>
      </c>
      <c r="L21" s="19" t="inlineStr">
        <is>
          <t>Use as convening/context partner for health/social-sector opportunity anchor.</t>
        </is>
      </c>
      <c r="M21" s="19" t="inlineStr">
        <is>
          <t>https://www.zirp.de/die-zirp/mitglieder/</t>
        </is>
      </c>
      <c r="N21" s="19" t="inlineStr">
        <is>
          <t>Keyword search over existing static ZIRP member fields in this workbook, designed to mirror/search official ZIRP profile info boxes.</t>
        </is>
      </c>
    </row>
    <row r="22">
      <c r="A22" s="19" t="n">
        <v>21</v>
      </c>
      <c r="B22" s="19" t="inlineStr">
        <is>
          <t>Duale Hochschule Rheinland-Pfalz</t>
        </is>
      </c>
      <c r="C22" s="19" t="inlineStr">
        <is>
          <t>https://www.dh-rlp.de</t>
        </is>
      </c>
      <c r="D22" s="19" t="inlineStr">
        <is>
          <t>academic_support</t>
        </is>
      </c>
      <c r="E22" t="inlineStr">
        <is>
          <t>university_applied_sciences</t>
        </is>
      </c>
      <c r="F22" s="19" t="inlineStr">
        <is>
          <t>Duale Hochschule Rheinland-Pfalz | academic_support | gesellschaft, wirtschaft, wissen | Arbeitsmarkt, Fachkräfte und Qualifizierung (5); Weiterbildung und lebenslanges Lernen (5); Hochschule-Wirtschaft-Transfer (4); Pflege, Fachkräfte und Sozialwirtschaft (4)</t>
        </is>
      </c>
      <c r="G22" s="19" t="inlineStr">
        <is>
          <t>KI / Digital; Innovation / Transfer; Nachhaltigkeit / Klima / Energie; Gesundheit / Pflege / Sozialwirtschaft; Fachkräfte / Arbeit / Qualifizierung; Wirtschaft / Mittelstand / Standort; Wissenschaft / Bildung / Hochschule</t>
        </is>
      </c>
      <c r="H22" s="19" t="inlineStr">
        <is>
          <t>IT; Transfer; Wissen; Land; Pflege; Sozialwirtschaft; Fachkräfte; Qualifizierung; Weiterbildung; Arbeitsmarkt; lebenslanges Lernen; Wirtschaft; Hochschule; Bildung</t>
        </is>
      </c>
      <c r="I22" s="19" t="n">
        <v>14</v>
      </c>
      <c r="J22" s="19" t="inlineStr">
        <is>
          <t>Arbeitsmarkt, Fachkräfte und Qualifizierung (5)</t>
        </is>
      </c>
      <c r="K22" s="19" t="inlineStr">
        <is>
          <t>Static profile activates 7 keyword family/families: KI / Digital, Innovation / Transfer, Nachhaltigkeit / Klima / Energie, Gesundheit / Pflege / Sozialwirtschaft, Fachkräfte / Arbeit / Qualifizierung, Wirtschaft / Mittelstand / Standort, Wissenschaft / Bildung / Hochschule.</t>
        </is>
      </c>
      <c r="L22" s="19" t="inlineStr">
        <is>
          <t>Use as evidence, research or transfer partner for health/social-sector opportunity anchor.</t>
        </is>
      </c>
      <c r="M22" s="19" t="inlineStr">
        <is>
          <t>https://www.zirp.de/die-zirp/mitglieder/</t>
        </is>
      </c>
      <c r="N22" s="19" t="inlineStr">
        <is>
          <t>Keyword search over existing static ZIRP member fields in this workbook, designed to mirror/search official ZIRP profile info boxes.</t>
        </is>
      </c>
    </row>
    <row r="23">
      <c r="A23" s="19" t="n">
        <v>22</v>
      </c>
      <c r="B23" s="19" t="inlineStr">
        <is>
          <t>Eckes-Granini Deutschland GmbH</t>
        </is>
      </c>
      <c r="C23" s="19" t="inlineStr">
        <is>
          <t>https://www.eckes-granini.de</t>
        </is>
      </c>
      <c r="D23" s="19" t="inlineStr">
        <is>
          <t>profit_anchor</t>
        </is>
      </c>
      <c r="E23" t="inlineStr">
        <is>
          <t>food_beverage_consumer_anchor</t>
        </is>
      </c>
      <c r="F23" s="19" t="inlineStr">
        <is>
          <t>Eckes-Granini Deutschland GmbH | profit_anchor | wirtschaft | Standort, Investition und industrielle Transformation (4)</t>
        </is>
      </c>
      <c r="G23" s="19" t="inlineStr">
        <is>
          <t>KI / Digital; Nachhaltigkeit / Klima / Energie; Wirtschaft / Mittelstand / Standort</t>
        </is>
      </c>
      <c r="H23" s="19" t="inlineStr">
        <is>
          <t>IT; Land; Wirtschaft; Standort; Industrie; Investition; Transformation</t>
        </is>
      </c>
      <c r="I23" s="19" t="n">
        <v>7</v>
      </c>
      <c r="J23" s="19" t="inlineStr">
        <is>
          <t>Standort, Investition und industrielle Transformation (4)</t>
        </is>
      </c>
      <c r="K23" s="19" t="inlineStr">
        <is>
          <t>Static profile activates 3 keyword family/families: KI / Digital, Nachhaltigkeit / Klima / Energie, Wirtschaft / Mittelstand / Standort.</t>
        </is>
      </c>
      <c r="L23" s="19" t="inlineStr">
        <is>
          <t>Use as implementation/commercial partner for digitalization / data / technology opportunity anchor.</t>
        </is>
      </c>
      <c r="M23" s="19" t="inlineStr">
        <is>
          <t>https://www.zirp.de/die-zirp/mitglieder/</t>
        </is>
      </c>
      <c r="N23" s="19" t="inlineStr">
        <is>
          <t>Keyword search over existing static ZIRP member fields in this workbook, designed to mirror/search official ZIRP profile info boxes.</t>
        </is>
      </c>
    </row>
    <row r="24">
      <c r="A24" s="19" t="n">
        <v>23</v>
      </c>
      <c r="B24" s="19" t="inlineStr">
        <is>
          <t>Empolis Information Management GmbH</t>
        </is>
      </c>
      <c r="C24" s="19" t="inlineStr">
        <is>
          <t>https://www.empolis.com</t>
        </is>
      </c>
      <c r="D24" s="19" t="inlineStr">
        <is>
          <t>profit_anchor</t>
        </is>
      </c>
      <c r="E24" t="inlineStr">
        <is>
          <t>technology_digital_anchor</t>
        </is>
      </c>
      <c r="F24" s="19" t="inlineStr">
        <is>
          <t>Empolis Information Management GmbH | profit_anchor | technologie, wirtschaft, wissen | KI, Daten und Verwaltungs-/Wirtschaftsanwendungen (5); Mittelstand, Digitalisierung und Produktivität (5); Verwaltungswissen und digitale Umsetzung (5); Cyberresilienz und kritische Infrastruktur (4); Digitale Bau-, Planungs- und Genehmigungsprozesse (4)</t>
        </is>
      </c>
      <c r="G24" s="19" t="inlineStr">
        <is>
          <t>KI / Digital; Innovation / Transfer; Fachkräfte / Arbeit / Qualifizierung; Bau / Raum / Infrastruktur; Wirtschaft / Mittelstand / Standort; Wissenschaft / Bildung / Hochschule</t>
        </is>
      </c>
      <c r="H24" s="19" t="inlineStr">
        <is>
          <t>KI; Digitalisierung; digital; Daten; IT; Technologie; Cyber; Verwaltung; Wissen; Produktivität; Bau; Infrastruktur; Planung; Genehmigung; Wirtschaft; Mittelstand</t>
        </is>
      </c>
      <c r="I24" s="19" t="n">
        <v>16</v>
      </c>
      <c r="J24" s="19" t="inlineStr">
        <is>
          <t>KI, Daten und Verwaltungs-/Wirtschaftsanwendungen (5)</t>
        </is>
      </c>
      <c r="K24" s="19" t="inlineStr">
        <is>
          <t>Static profile activates 6 keyword family/families: KI / Digital, Innovation / Transfer, Fachkräfte / Arbeit / Qualifizierung, Bau / Raum / Infrastruktur, Wirtschaft / Mittelstand / Standort, Wissenschaft / Bildung / Hochschule.</t>
        </is>
      </c>
      <c r="L24" s="19" t="inlineStr">
        <is>
          <t>Use as implementation/commercial partner for digitalization / data / technology opportunity anchor.</t>
        </is>
      </c>
      <c r="M24" s="19" t="inlineStr">
        <is>
          <t>https://www.zirp.de/die-zirp/mitglieder/</t>
        </is>
      </c>
      <c r="N24" s="19" t="inlineStr">
        <is>
          <t>Keyword search over existing static ZIRP member fields in this workbook, designed to mirror/search official ZIRP profile info boxes.</t>
        </is>
      </c>
    </row>
    <row r="25">
      <c r="A25" s="19" t="n">
        <v>24</v>
      </c>
      <c r="B25" s="19" t="inlineStr">
        <is>
          <t>ENTEGA Plus GmbH</t>
        </is>
      </c>
      <c r="C25" s="19" t="inlineStr">
        <is>
          <t>https://www.entega.de</t>
        </is>
      </c>
      <c r="D25" s="19" t="inlineStr">
        <is>
          <t>profit_anchor</t>
        </is>
      </c>
      <c r="E25" t="inlineStr">
        <is>
          <t>energy_infrastructure_anchor</t>
        </is>
      </c>
      <c r="F25" s="19" t="inlineStr">
        <is>
          <t>ENTEGA Plus GmbH | profit_anchor | nachhaltigkeit, technologie | Cyberresilienz und kritische Infrastruktur (5); Energie, Netze und Versorgungssicherheit (5); Wasser, Umwelttechnik und kommunale Resilienz (3)</t>
        </is>
      </c>
      <c r="G25" s="19" t="inlineStr">
        <is>
          <t>KI / Digital; Nachhaltigkeit / Klima / Energie; Gesundheit / Pflege / Sozialwirtschaft; Bau / Raum / Infrastruktur</t>
        </is>
      </c>
      <c r="H25" s="19" t="inlineStr">
        <is>
          <t>IT; Technologie; Cyber; Nachhaltigkeit; nachhaltig; Umwelt; Energie; Netze; Versorgungssicherheit; Versorgung; Infrastruktur</t>
        </is>
      </c>
      <c r="I25" s="19" t="n">
        <v>11</v>
      </c>
      <c r="J25" s="19" t="inlineStr">
        <is>
          <t>Cyberresilienz und kritische Infrastruktur (5)</t>
        </is>
      </c>
      <c r="K25" s="19" t="inlineStr">
        <is>
          <t>Static profile activates 4 keyword family/families: KI / Digital, Nachhaltigkeit / Klima / Energie, Gesundheit / Pflege / Sozialwirtschaft, Bau / Raum / Infrastruktur.</t>
        </is>
      </c>
      <c r="L25" s="19" t="inlineStr">
        <is>
          <t>Use as implementation/commercial partner for health/social-sector opportunity anchor.</t>
        </is>
      </c>
      <c r="M25" s="19" t="inlineStr">
        <is>
          <t>https://www.zirp.de/die-zirp/mitglieder/</t>
        </is>
      </c>
      <c r="N25" s="19" t="inlineStr">
        <is>
          <t>Keyword search over existing static ZIRP member fields in this workbook, designed to mirror/search official ZIRP profile info boxes.</t>
        </is>
      </c>
    </row>
    <row r="26">
      <c r="A26" s="19" t="n">
        <v>25</v>
      </c>
      <c r="B26" s="19" t="inlineStr">
        <is>
          <t>Entwicklungsagentur Rheinland-Pfalz e.V.</t>
        </is>
      </c>
      <c r="C26" s="19" t="inlineStr">
        <is>
          <t>https://www.ea-rlp.de</t>
        </is>
      </c>
      <c r="D26" s="19" t="inlineStr">
        <is>
          <t>implementation_anchor</t>
        </is>
      </c>
      <c r="E26" t="inlineStr">
        <is>
          <t>public_policy_anchor</t>
        </is>
      </c>
      <c r="F26" s="19" t="inlineStr">
        <is>
          <t>Entwicklungsagentur Rheinland-Pfalz e.V. | implementation_anchor | gesellschaft, kultur, nachhaltigkeit, technologie | Klimaanpassung in Stadt und Land (5); Kultur, Standortidentität und regionale Attraktivität (5); Demokratie, Medien und gesellschaftlicher Zusammenhalt (3); Digitale Bau-, Planungs- und Genehmigungsprozesse (3); Kreativwirtschaft, Medien und digitale Öffentlichkeit (3)</t>
        </is>
      </c>
      <c r="G26" s="19" t="inlineStr">
        <is>
          <t>KI / Digital; Innovation / Transfer; Nachhaltigkeit / Klima / Energie; Bau / Raum / Infrastruktur; Wirtschaft / Mittelstand / Standort; Dialog / Netzwerk / Verantwortung; Kultur / Medien / Öffentlichkeit</t>
        </is>
      </c>
      <c r="H26" s="19" t="inlineStr">
        <is>
          <t>digital; IT; Technologie; Entwicklung; Nachhaltigkeit; nachhaltig; Klima; Klimaanpassung; Land; Stadt; Bau; Planung; Genehmigung; Wirtschaft; Standort; gesellschaftlich; Zusammenhalt; Kultur; Medien; Öffentlichkeit; Kreativwirtschaft; Standortidentität; Region; Demokratie</t>
        </is>
      </c>
      <c r="I26" s="19" t="n">
        <v>24</v>
      </c>
      <c r="J26" s="19" t="inlineStr">
        <is>
          <t>Klimaanpassung in Stadt und Land (5)</t>
        </is>
      </c>
      <c r="K26" s="19" t="inlineStr">
        <is>
          <t>Static profile activates 7 keyword family/families: KI / Digital, Innovation / Transfer, Nachhaltigkeit / Klima / Energie, Bau / Raum / Infrastruktur, Wirtschaft / Mittelstand / Standort, Dialog / Netzwerk / Verantwortung, Kultur / Medien / Öffentlichkeit.</t>
        </is>
      </c>
      <c r="L26" s="19" t="inlineStr">
        <is>
          <t>Use as institutional implementation partner for digitalization / data / technology opportunity anchor.</t>
        </is>
      </c>
      <c r="M26" s="19" t="inlineStr">
        <is>
          <t>https://www.zirp.de/die-zirp/mitglieder/</t>
        </is>
      </c>
      <c r="N26" s="19" t="inlineStr">
        <is>
          <t>Keyword search over existing static ZIRP member fields in this workbook, designed to mirror/search official ZIRP profile info boxes.</t>
        </is>
      </c>
    </row>
    <row r="27">
      <c r="A27" s="19" t="n">
        <v>26</v>
      </c>
      <c r="B27" s="19" t="inlineStr">
        <is>
          <t>Ernst &amp; Young GmbH</t>
        </is>
      </c>
      <c r="C27" s="19" t="inlineStr">
        <is>
          <t>https://www.ey.com</t>
        </is>
      </c>
      <c r="D27" s="19" t="inlineStr">
        <is>
          <t>profit_anchor</t>
        </is>
      </c>
      <c r="E27" t="inlineStr">
        <is>
          <t>professional_services_anchor</t>
        </is>
      </c>
      <c r="F27" s="19" t="inlineStr">
        <is>
          <t>Ernst &amp; Young GmbH | profit_anchor | wirtschaft | Finanzierung und Förderung von Transformation (4); Standort, Investition und industrielle Transformation (4)</t>
        </is>
      </c>
      <c r="G27" s="19" t="inlineStr">
        <is>
          <t>KI / Digital; Wirtschaft / Mittelstand / Standort</t>
        </is>
      </c>
      <c r="H27" s="19" t="inlineStr">
        <is>
          <t>IT; Wirtschaft; Standort; Industrie; Investition; Transformation; Förderung; Finanzierung</t>
        </is>
      </c>
      <c r="I27" s="19" t="n">
        <v>8</v>
      </c>
      <c r="J27" s="19" t="inlineStr">
        <is>
          <t>Finanzierung und Förderung von Transformation (4)</t>
        </is>
      </c>
      <c r="K27" s="19" t="inlineStr">
        <is>
          <t>Static profile activates 2 keyword family/families: KI / Digital, Wirtschaft / Mittelstand / Standort.</t>
        </is>
      </c>
      <c r="L27" s="19" t="inlineStr">
        <is>
          <t>Use as implementation/commercial partner for digitalization / data / technology opportunity anchor.</t>
        </is>
      </c>
      <c r="M27" s="19" t="inlineStr">
        <is>
          <t>https://www.zirp.de/die-zirp/mitglieder/</t>
        </is>
      </c>
      <c r="N27" s="19" t="inlineStr">
        <is>
          <t>Keyword search over existing static ZIRP member fields in this workbook, designed to mirror/search official ZIRP profile info boxes.</t>
        </is>
      </c>
    </row>
    <row r="28">
      <c r="A28" s="19" t="n">
        <v>27</v>
      </c>
      <c r="B28" s="19" t="inlineStr">
        <is>
          <t>Erster FC Kaiserslautern GmbH &amp; Co. KGaA</t>
        </is>
      </c>
      <c r="C28" s="19" t="inlineStr">
        <is>
          <t>https://fck.de</t>
        </is>
      </c>
      <c r="D28" s="19" t="inlineStr">
        <is>
          <t>profit_anchor</t>
        </is>
      </c>
      <c r="E28" t="inlineStr">
        <is>
          <t>sports_regional_identity_anchor</t>
        </is>
      </c>
      <c r="F28" s="19" t="inlineStr">
        <is>
          <t>Erster FC Kaiserslautern GmbH &amp; Co. KGaA | profit_anchor | gesellschaft, kultur | Sport, Region und gesellschaftliche Identifikation (5); Kultur, Standortidentität und regionale Attraktivität (4); Demokratie, Medien und gesellschaftlicher Zusammenhalt (3); Kreativwirtschaft, Medien und digitale Öffentlichkeit (3)</t>
        </is>
      </c>
      <c r="G28" s="19" t="inlineStr">
        <is>
          <t>KI / Digital; Wirtschaft / Mittelstand / Standort; Dialog / Netzwerk / Verantwortung; Kultur / Medien / Öffentlichkeit</t>
        </is>
      </c>
      <c r="H28" s="19" t="inlineStr">
        <is>
          <t>digital; IT; Wirtschaft; Standort; gesellschaftlich; Zusammenhalt; Kultur; Medien; Öffentlichkeit; Kreativwirtschaft; Standortidentität; Region; gesellschaftliche Identifikation; Demokratie</t>
        </is>
      </c>
      <c r="I28" s="19" t="n">
        <v>14</v>
      </c>
      <c r="J28" s="19" t="inlineStr">
        <is>
          <t>Sport, Region und gesellschaftliche Identifikation (5)</t>
        </is>
      </c>
      <c r="K28" s="19" t="inlineStr">
        <is>
          <t>Static profile activates 4 keyword family/families: KI / Digital, Wirtschaft / Mittelstand / Standort, Dialog / Netzwerk / Verantwortung, Kultur / Medien / Öffentlichkeit.</t>
        </is>
      </c>
      <c r="L28" s="19" t="inlineStr">
        <is>
          <t>Use as implementation/commercial partner for digitalization / data / technology opportunity anchor.</t>
        </is>
      </c>
      <c r="M28" s="19" t="inlineStr">
        <is>
          <t>https://www.zirp.de/die-zirp/mitglieder/</t>
        </is>
      </c>
      <c r="N28" s="19" t="inlineStr">
        <is>
          <t>Keyword search over existing static ZIRP member fields in this workbook, designed to mirror/search official ZIRP profile info boxes.</t>
        </is>
      </c>
    </row>
    <row r="29">
      <c r="A29" s="19" t="n">
        <v>28</v>
      </c>
      <c r="B29" s="19" t="inlineStr">
        <is>
          <t>Evangelische Kirche der Pfalz</t>
        </is>
      </c>
      <c r="C29" s="19" t="inlineStr">
        <is>
          <t>https://www.evkirchepfalz.de</t>
        </is>
      </c>
      <c r="D29" s="19" t="inlineStr">
        <is>
          <t>context_actor</t>
        </is>
      </c>
      <c r="E29" t="inlineStr">
        <is>
          <t>culture_foundation_anchor</t>
        </is>
      </c>
      <c r="F29" s="19" t="inlineStr">
        <is>
          <t>Evangelische Kirche der Pfalz | context_actor | gesellschaft, kultur, wissen | Demokratie, Medien und gesellschaftlicher Zusammenhalt (5); Wissenschaft, Demokratie und gesellschaftlicher Zusammenhalt (5); Kultur, Standortidentität und regionale Attraktivität (4); Teilhabe, Inklusion und Arbeitsmarkt (4); Talentförderung, Musik und Nachwuchs (3)</t>
        </is>
      </c>
      <c r="G29" s="19" t="inlineStr">
        <is>
          <t>KI / Digital; Innovation / Transfer; Gesundheit / Pflege / Sozialwirtschaft; Fachkräfte / Arbeit / Qualifizierung; Wirtschaft / Mittelstand / Standort; Wissenschaft / Bildung / Hochschule; Dialog / Netzwerk / Verantwortung; Kultur / Medien / Öffentlichkeit</t>
        </is>
      </c>
      <c r="H29" s="19" t="inlineStr">
        <is>
          <t>KI; IT; Wissen; Teilhabe; Arbeitsmarkt; Standort; Förderung; Wissenschaft; gesellschaftlich; Zusammenhalt; Kultur; Medien; Musik; Standortidentität; Region; Demokratie</t>
        </is>
      </c>
      <c r="I29" s="19" t="n">
        <v>16</v>
      </c>
      <c r="J29" s="19" t="inlineStr">
        <is>
          <t>Demokratie, Medien und gesellschaftlicher Zusammenhalt (5)</t>
        </is>
      </c>
      <c r="K29" s="19" t="inlineStr">
        <is>
          <t>Static profile activates 8 keyword family/families: KI / Digital, Innovation / Transfer, Gesundheit / Pflege / Sozialwirtschaft, Fachkräfte / Arbeit / Qualifizierung, Wirtschaft / Mittelstand / Standort, Wissenschaft / Bildung / Hochschule, Dialog / Netzwerk / Verantwortung, Kultur / Medien / Öffentlichkeit.</t>
        </is>
      </c>
      <c r="L29" s="19" t="inlineStr">
        <is>
          <t>Use as convening/context partner for health/social-sector opportunity anchor.</t>
        </is>
      </c>
      <c r="M29" s="19" t="inlineStr">
        <is>
          <t>https://www.zirp.de/die-zirp/mitglieder/</t>
        </is>
      </c>
      <c r="N29" s="19" t="inlineStr">
        <is>
          <t>Keyword search over existing static ZIRP member fields in this workbook, designed to mirror/search official ZIRP profile info boxes.</t>
        </is>
      </c>
    </row>
    <row r="30">
      <c r="A30" s="19" t="n">
        <v>29</v>
      </c>
      <c r="B30" s="19" t="inlineStr">
        <is>
          <t>Fachingen Heil- und Mineralbrunnen GmbH</t>
        </is>
      </c>
      <c r="C30" s="19" t="inlineStr">
        <is>
          <t>https://www.fachingen.de</t>
        </is>
      </c>
      <c r="D30" s="19" t="inlineStr">
        <is>
          <t>profit_anchor</t>
        </is>
      </c>
      <c r="E30" t="inlineStr">
        <is>
          <t>food_beverage_consumer_anchor</t>
        </is>
      </c>
      <c r="F30" s="19" t="inlineStr">
        <is>
          <t xml:space="preserve">Fachingen Heil- und Mineralbrunnen GmbH | profit_anchor |  | </t>
        </is>
      </c>
      <c r="G30" s="19" t="inlineStr">
        <is>
          <t>KI / Digital</t>
        </is>
      </c>
      <c r="H30" s="19" t="inlineStr">
        <is>
          <t>IT</t>
        </is>
      </c>
      <c r="I30" s="19" t="n">
        <v>1</v>
      </c>
      <c r="J30" s="19" t="str"/>
      <c r="K30" s="19" t="inlineStr">
        <is>
          <t>Static profile activates 1 keyword family/families: KI / Digital.</t>
        </is>
      </c>
      <c r="L30" s="19" t="inlineStr">
        <is>
          <t>Use as implementation/commercial partner for digitalization / data / technology opportunity anchor.</t>
        </is>
      </c>
      <c r="M30" s="19" t="inlineStr">
        <is>
          <t>https://www.zirp.de/die-zirp/mitglieder/</t>
        </is>
      </c>
      <c r="N30" s="19" t="inlineStr">
        <is>
          <t>Keyword search over existing static ZIRP member fields in this workbook, designed to mirror/search official ZIRP profile info boxes.</t>
        </is>
      </c>
    </row>
    <row r="31">
      <c r="A31" s="19" t="n">
        <v>30</v>
      </c>
      <c r="B31" s="19" t="inlineStr">
        <is>
          <t>Gerolsteiner Brunnen GmbH &amp; Co. KG</t>
        </is>
      </c>
      <c r="C31" s="19" t="inlineStr">
        <is>
          <t>https://www.gerolsteiner.de</t>
        </is>
      </c>
      <c r="D31" s="19" t="inlineStr">
        <is>
          <t>profit_anchor</t>
        </is>
      </c>
      <c r="E31" t="inlineStr">
        <is>
          <t>food_beverage_consumer_anchor</t>
        </is>
      </c>
      <c r="F31" s="19" t="inlineStr">
        <is>
          <t xml:space="preserve">Gerolsteiner Brunnen GmbH &amp; Co. KG | profit_anchor |  | </t>
        </is>
      </c>
      <c r="G31" s="19" t="inlineStr">
        <is>
          <t>KI / Digital</t>
        </is>
      </c>
      <c r="H31" s="19" t="inlineStr">
        <is>
          <t>IT</t>
        </is>
      </c>
      <c r="I31" s="19" t="n">
        <v>1</v>
      </c>
      <c r="J31" s="19" t="str"/>
      <c r="K31" s="19" t="inlineStr">
        <is>
          <t>Static profile activates 1 keyword family/families: KI / Digital.</t>
        </is>
      </c>
      <c r="L31" s="19" t="inlineStr">
        <is>
          <t>Use as implementation/commercial partner for digitalization / data / technology opportunity anchor.</t>
        </is>
      </c>
      <c r="M31" s="19" t="inlineStr">
        <is>
          <t>https://www.zirp.de/die-zirp/mitglieder/</t>
        </is>
      </c>
      <c r="N31" s="19" t="inlineStr">
        <is>
          <t>Keyword search over existing static ZIRP member fields in this workbook, designed to mirror/search official ZIRP profile info boxes.</t>
        </is>
      </c>
    </row>
    <row r="32">
      <c r="A32" s="19" t="n">
        <v>31</v>
      </c>
      <c r="B32" s="19" t="inlineStr">
        <is>
          <t>GLOBUS Markthallen Holding GmbH &amp; Co. KG</t>
        </is>
      </c>
      <c r="C32" s="19" t="inlineStr">
        <is>
          <t>https://www.globus.de</t>
        </is>
      </c>
      <c r="D32" s="19" t="inlineStr">
        <is>
          <t>profit_anchor</t>
        </is>
      </c>
      <c r="E32" t="inlineStr">
        <is>
          <t>food_beverage_consumer_anchor</t>
        </is>
      </c>
      <c r="F32" s="19" t="inlineStr">
        <is>
          <t>GLOBUS Markthallen Holding GmbH &amp; Co. KG | profit_anchor | gesellschaft, wirtschaft, wissen | Standort, Investition und industrielle Transformation (4); Arbeitsmarkt, Fachkräfte und Qualifizierung (3); Sport, Region und gesellschaftliche Identifikation (3); Teilhabe, Inklusion und Arbeitsmarkt (3); Weiterbildung und lebenslanges Lernen (3)</t>
        </is>
      </c>
      <c r="G32" s="19" t="inlineStr">
        <is>
          <t>KI / Digital; Innovation / Transfer; Gesundheit / Pflege / Sozialwirtschaft; Fachkräfte / Arbeit / Qualifizierung; Wirtschaft / Mittelstand / Standort; Wissenschaft / Bildung / Hochschule; Dialog / Netzwerk / Verantwortung; Kultur / Medien / Öffentlichkeit</t>
        </is>
      </c>
      <c r="H32" s="19" t="inlineStr">
        <is>
          <t>IT; Wissen; Teilhabe; Fachkräfte; Qualifizierung; Weiterbildung; Arbeitsmarkt; lebenslanges Lernen; Wirtschaft; Standort; Industrie; Investition; Transformation; Bildung; gesellschaftlich; Region; gesellschaftliche Identifikation</t>
        </is>
      </c>
      <c r="I32" s="19" t="n">
        <v>17</v>
      </c>
      <c r="J32" s="19" t="inlineStr">
        <is>
          <t>Standort, Investition und industrielle Transformation (4)</t>
        </is>
      </c>
      <c r="K32" s="19" t="inlineStr">
        <is>
          <t>Static profile activates 8 keyword family/families: KI / Digital, Innovation / Transfer, Gesundheit / Pflege / Sozialwirtschaft, Fachkräfte / Arbeit / Qualifizierung, Wirtschaft / Mittelstand / Standort, Wissenschaft / Bildung / Hochschule, Dialog / Netzwerk / Verantwortung, Kultur / Medien / Öffentlichkeit.</t>
        </is>
      </c>
      <c r="L32" s="19" t="inlineStr">
        <is>
          <t>Use as implementation/commercial partner for health/social-sector opportunity anchor.</t>
        </is>
      </c>
      <c r="M32" s="19" t="inlineStr">
        <is>
          <t>https://www.zirp.de/die-zirp/mitglieder/</t>
        </is>
      </c>
      <c r="N32" s="19" t="inlineStr">
        <is>
          <t>Keyword search over existing static ZIRP member fields in this workbook, designed to mirror/search official ZIRP profile info boxes.</t>
        </is>
      </c>
    </row>
    <row r="33">
      <c r="A33" s="19" t="n">
        <v>32</v>
      </c>
      <c r="B33" s="19" t="inlineStr">
        <is>
          <t>Handwerkskammern Rheinland-Pfalz</t>
        </is>
      </c>
      <c r="C33" s="19" t="inlineStr">
        <is>
          <t>https://handwerk-rlp.de</t>
        </is>
      </c>
      <c r="D33" s="19" t="inlineStr">
        <is>
          <t>implementation_anchor</t>
        </is>
      </c>
      <c r="E33" t="inlineStr">
        <is>
          <t>chamber_association_anchor</t>
        </is>
      </c>
      <c r="F33" s="19" t="inlineStr">
        <is>
          <t>Handwerkskammern Rheinland-Pfalz | implementation_anchor | wirtschaft, wissen | Arbeitsmarkt, Fachkräfte und Qualifizierung (5); Weiterbildung und lebenslanges Lernen (5); Hochschule-Wirtschaft-Transfer (4); Mittelstand, Digitalisierung und Produktivität (4); Finanzierung und Förderung von Transformation (3)</t>
        </is>
      </c>
      <c r="G33" s="19" t="inlineStr">
        <is>
          <t>KI / Digital; Innovation / Transfer; Nachhaltigkeit / Klima / Energie; Fachkräfte / Arbeit / Qualifizierung; Wirtschaft / Mittelstand / Standort; Wissenschaft / Bildung / Hochschule</t>
        </is>
      </c>
      <c r="H33" s="19" t="inlineStr">
        <is>
          <t>Digitalisierung; digital; IT; Transfer; Wissen; Land; Fachkräfte; Qualifizierung; Weiterbildung; Arbeitsmarkt; Produktivität; lebenslanges Lernen; Wirtschaft; Mittelstand; Transformation; Förderung; Finanzierung; Hochschule; Bildung</t>
        </is>
      </c>
      <c r="I33" s="19" t="n">
        <v>19</v>
      </c>
      <c r="J33" s="19" t="inlineStr">
        <is>
          <t>Arbeitsmarkt, Fachkräfte und Qualifizierung (5)</t>
        </is>
      </c>
      <c r="K33" s="19" t="inlineStr">
        <is>
          <t>Static profile activates 6 keyword family/families: KI / Digital, Innovation / Transfer, Nachhaltigkeit / Klima / Energie, Fachkräfte / Arbeit / Qualifizierung, Wirtschaft / Mittelstand / Standort, Wissenschaft / Bildung / Hochschule.</t>
        </is>
      </c>
      <c r="L33" s="19" t="inlineStr">
        <is>
          <t>Use as institutional implementation partner for digitalization / data / technology opportunity anchor.</t>
        </is>
      </c>
      <c r="M33" s="19" t="inlineStr">
        <is>
          <t>https://www.zirp.de/die-zirp/mitglieder/</t>
        </is>
      </c>
      <c r="N33" s="19" t="inlineStr">
        <is>
          <t>Keyword search over existing static ZIRP member fields in this workbook, designed to mirror/search official ZIRP profile info boxes.</t>
        </is>
      </c>
    </row>
    <row r="34">
      <c r="A34" s="19" t="n">
        <v>33</v>
      </c>
      <c r="B34" s="19" t="inlineStr">
        <is>
          <t>Heberger Gruppe</t>
        </is>
      </c>
      <c r="C34" s="19" t="inlineStr">
        <is>
          <t>https://www.heberger.de</t>
        </is>
      </c>
      <c r="D34" s="19" t="inlineStr">
        <is>
          <t>context_actor</t>
        </is>
      </c>
      <c r="E34" t="inlineStr">
        <is>
          <t>construction_planning_anchor</t>
        </is>
      </c>
      <c r="F34" s="19" t="inlineStr">
        <is>
          <t>Heberger Gruppe | context_actor | nachhaltigkeit, technologie | Kreislaufwirtschaft, Bau und Ersatzbaustoffverordnung (4); Digitale Bau-, Planungs- und Genehmigungsprozesse (3)</t>
        </is>
      </c>
      <c r="G34" s="19" t="inlineStr">
        <is>
          <t>KI / Digital; Nachhaltigkeit / Klima / Energie; Bau / Raum / Infrastruktur; Wirtschaft / Mittelstand / Standort</t>
        </is>
      </c>
      <c r="H34" s="19" t="inlineStr">
        <is>
          <t>digital; IT; Technologie; Nachhaltigkeit; nachhaltig; Kreislauf; Ersatzbaustoff; Bau; Planung; Genehmigung; Wirtschaft</t>
        </is>
      </c>
      <c r="I34" s="19" t="n">
        <v>11</v>
      </c>
      <c r="J34" s="19" t="inlineStr">
        <is>
          <t>Kreislaufwirtschaft, Bau und Ersatzbaustoffverordnung (4)</t>
        </is>
      </c>
      <c r="K34" s="19" t="inlineStr">
        <is>
          <t>Static profile activates 4 keyword family/families: KI / Digital, Nachhaltigkeit / Klima / Energie, Bau / Raum / Infrastruktur, Wirtschaft / Mittelstand / Standort.</t>
        </is>
      </c>
      <c r="L34" s="19" t="inlineStr">
        <is>
          <t>Use as convening/context partner for digitalization / data / technology opportunity anchor.</t>
        </is>
      </c>
      <c r="M34" s="19" t="inlineStr">
        <is>
          <t>https://www.zirp.de/die-zirp/mitglieder/</t>
        </is>
      </c>
      <c r="N34" s="19" t="inlineStr">
        <is>
          <t>Keyword search over existing static ZIRP member fields in this workbook, designed to mirror/search official ZIRP profile info boxes.</t>
        </is>
      </c>
    </row>
    <row r="35">
      <c r="A35" s="19" t="n">
        <v>34</v>
      </c>
      <c r="B35" s="19" t="inlineStr">
        <is>
          <t>Hochschule für Gesellschaftsgestaltung (HfGG)</t>
        </is>
      </c>
      <c r="C35" s="19" t="inlineStr">
        <is>
          <t>https://www.hfgg.de/</t>
        </is>
      </c>
      <c r="D35" s="19" t="inlineStr">
        <is>
          <t>academic_support</t>
        </is>
      </c>
      <c r="E35" t="inlineStr">
        <is>
          <t>university_applied_sciences</t>
        </is>
      </c>
      <c r="F35" s="19" t="inlineStr">
        <is>
          <t>Hochschule für Gesellschaftsgestaltung (HfGG) | academic_support | gesellschaft, nachhaltigkeit, wissen | Wissenschaft, Demokratie und gesellschaftlicher Zusammenhalt (5); Demokratie, Medien und gesellschaftlicher Zusammenhalt (4); Teilhabe, Inklusion und Arbeitsmarkt (4); Klimaanpassung in Stadt und Land (4); Hochschule-Wirtschaft-Transfer (3); Weiterbildung und lebenslanges Lernen (3)</t>
        </is>
      </c>
      <c r="G35" s="19" t="inlineStr">
        <is>
          <t>KI / Digital; Innovation / Transfer; Nachhaltigkeit / Klima / Energie; Gesundheit / Pflege / Sozialwirtschaft; Fachkräfte / Arbeit / Qualifizierung; Bau / Raum / Infrastruktur; Wirtschaft / Mittelstand / Standort; Wissenschaft / Bildung / Hochschule; Dialog / Netzwerk / Verantwortung; Kultur / Medien / Öffentlichkeit</t>
        </is>
      </c>
      <c r="H35" s="19" t="inlineStr">
        <is>
          <t>IT; Transfer; Wissen; Nachhaltigkeit; nachhaltig; Klima; Klimaanpassung; Land; Stadt; Teilhabe; Weiterbildung; Arbeitsmarkt; lebenslanges Lernen; Wirtschaft; Wissenschaft; Hochschule; Bildung; gesellschaftlich; Zusammenhalt; Medien; Demokratie</t>
        </is>
      </c>
      <c r="I35" s="19" t="n">
        <v>21</v>
      </c>
      <c r="J35" s="19" t="inlineStr">
        <is>
          <t>Wissenschaft, Demokratie und gesellschaftlicher Zusammenhalt (5)</t>
        </is>
      </c>
      <c r="K35" s="19" t="inlineStr">
        <is>
          <t>Static profile activates 10 keyword family/families: KI / Digital, Innovation / Transfer, Nachhaltigkeit / Klima / Energie, Gesundheit / Pflege / Sozialwirtschaft, Fachkräfte / Arbeit / Qualifizierung, Bau / Raum / Infrastruktur, Wirtschaft / Mittelstand / Standort, Wissenschaft / Bildung / Hochschule, Dialog / Netzwerk / Verantwortung, Kultur / Medien / Öffentlichkeit.</t>
        </is>
      </c>
      <c r="L35" s="19" t="inlineStr">
        <is>
          <t>Use as evidence, research or transfer partner for health/social-sector opportunity anchor.</t>
        </is>
      </c>
      <c r="M35" s="19" t="inlineStr">
        <is>
          <t>https://www.zirp.de/die-zirp/mitglieder/</t>
        </is>
      </c>
      <c r="N35" s="19" t="inlineStr">
        <is>
          <t>Keyword search over existing static ZIRP member fields in this workbook, designed to mirror/search official ZIRP profile info boxes.</t>
        </is>
      </c>
    </row>
    <row r="36">
      <c r="A36" s="19" t="n">
        <v>35</v>
      </c>
      <c r="B36" s="19" t="inlineStr">
        <is>
          <t>Hochschule für Musik Mainz</t>
        </is>
      </c>
      <c r="C36" s="19" t="inlineStr">
        <is>
          <t>https://www.musik.uni-mainz.de/</t>
        </is>
      </c>
      <c r="D36" s="19" t="inlineStr">
        <is>
          <t>academic_support</t>
        </is>
      </c>
      <c r="E36" t="inlineStr">
        <is>
          <t>university_applied_sciences</t>
        </is>
      </c>
      <c r="F36" s="19" t="inlineStr">
        <is>
          <t>Hochschule für Musik Mainz | academic_support | kultur, wissen | Talentförderung, Musik und Nachwuchs (5); Kultur, Standortidentität und regionale Attraktivität (4); Kreativwirtschaft, Medien und digitale Öffentlichkeit (3); Wissenschaft, Demokratie und gesellschaftlicher Zusammenhalt (3); Weiterbildung und lebenslanges Lernen (3)</t>
        </is>
      </c>
      <c r="G36" s="19" t="inlineStr">
        <is>
          <t>KI / Digital; Innovation / Transfer; Fachkräfte / Arbeit / Qualifizierung; Wirtschaft / Mittelstand / Standort; Wissenschaft / Bildung / Hochschule; Dialog / Netzwerk / Verantwortung; Kultur / Medien / Öffentlichkeit</t>
        </is>
      </c>
      <c r="H36" s="19" t="inlineStr">
        <is>
          <t>digital; IT; Wissen; Weiterbildung; lebenslanges Lernen; Wirtschaft; Standort; Förderung; Wissenschaft; Hochschule; Bildung; gesellschaftlich; Zusammenhalt; Kultur; Medien; Öffentlichkeit; Kreativwirtschaft; Musik; Standortidentität; Region; Demokratie</t>
        </is>
      </c>
      <c r="I36" s="19" t="n">
        <v>21</v>
      </c>
      <c r="J36" s="19" t="inlineStr">
        <is>
          <t>Talentförderung, Musik und Nachwuchs (5)</t>
        </is>
      </c>
      <c r="K36" s="19" t="inlineStr">
        <is>
          <t>Static profile activates 7 keyword family/families: KI / Digital, Innovation / Transfer, Fachkräfte / Arbeit / Qualifizierung, Wirtschaft / Mittelstand / Standort, Wissenschaft / Bildung / Hochschule, Dialog / Netzwerk / Verantwortung, Kultur / Medien / Öffentlichkeit.</t>
        </is>
      </c>
      <c r="L36" s="19" t="inlineStr">
        <is>
          <t>Use as evidence, research or transfer partner for digitalization / data / technology opportunity anchor.</t>
        </is>
      </c>
      <c r="M36" s="19" t="inlineStr">
        <is>
          <t>https://www.zirp.de/die-zirp/mitglieder/</t>
        </is>
      </c>
      <c r="N36" s="19" t="inlineStr">
        <is>
          <t>Keyword search over existing static ZIRP member fields in this workbook, designed to mirror/search official ZIRP profile info boxes.</t>
        </is>
      </c>
    </row>
    <row r="37">
      <c r="A37" s="19" t="n">
        <v>36</v>
      </c>
      <c r="B37" s="19" t="inlineStr">
        <is>
          <t>Hochschule für Wirtschaft und Gesellschaft Ludwigshafen</t>
        </is>
      </c>
      <c r="C37" s="19" t="inlineStr">
        <is>
          <t>https://www.hwg-lu.de</t>
        </is>
      </c>
      <c r="D37" s="19" t="inlineStr">
        <is>
          <t>academic_support</t>
        </is>
      </c>
      <c r="E37" t="inlineStr">
        <is>
          <t>university_applied_sciences</t>
        </is>
      </c>
      <c r="F37" s="19" t="inlineStr">
        <is>
          <t>Hochschule für Wirtschaft und Gesellschaft Ludwigshafen | academic_support | gesellschaft, wirtschaft, wissen | Arbeitsmarkt, Fachkräfte und Qualifizierung (4); Hochschule-Wirtschaft-Transfer (4); Weiterbildung und lebenslanges Lernen (4); Gesundheitsversorgung und Prävention (3)</t>
        </is>
      </c>
      <c r="G37" s="19" t="inlineStr">
        <is>
          <t>KI / Digital; Innovation / Transfer; Gesundheit / Pflege / Sozialwirtschaft; Fachkräfte / Arbeit / Qualifizierung; Wirtschaft / Mittelstand / Standort; Wissenschaft / Bildung / Hochschule</t>
        </is>
      </c>
      <c r="H37" s="19" t="inlineStr">
        <is>
          <t>IT; Transfer; Wissen; Gesundheit; Gesundheitsversorgung; Prävention; Versorgung; Fachkräfte; Qualifizierung; Weiterbildung; Arbeitsmarkt; lebenslanges Lernen; Wirtschaft; Hochschule; Bildung</t>
        </is>
      </c>
      <c r="I37" s="19" t="n">
        <v>15</v>
      </c>
      <c r="J37" s="19" t="inlineStr">
        <is>
          <t>Arbeitsmarkt, Fachkräfte und Qualifizierung (4)</t>
        </is>
      </c>
      <c r="K37" s="19" t="inlineStr">
        <is>
          <t>Static profile activates 6 keyword family/families: KI / Digital, Innovation / Transfer, Gesundheit / Pflege / Sozialwirtschaft, Fachkräfte / Arbeit / Qualifizierung, Wirtschaft / Mittelstand / Standort, Wissenschaft / Bildung / Hochschule.</t>
        </is>
      </c>
      <c r="L37" s="19" t="inlineStr">
        <is>
          <t>Use as evidence, research or transfer partner for health/social-sector opportunity anchor.</t>
        </is>
      </c>
      <c r="M37" s="19" t="inlineStr">
        <is>
          <t>https://www.zirp.de/die-zirp/mitglieder/</t>
        </is>
      </c>
      <c r="N37" s="19" t="inlineStr">
        <is>
          <t>Keyword search over existing static ZIRP member fields in this workbook, designed to mirror/search official ZIRP profile info boxes.</t>
        </is>
      </c>
    </row>
    <row r="38">
      <c r="A38" s="19" t="n">
        <v>37</v>
      </c>
      <c r="B38" s="19" t="inlineStr">
        <is>
          <t>Hochschule Kaiserslautern</t>
        </is>
      </c>
      <c r="C38" s="19" t="inlineStr">
        <is>
          <t>https://www.hs-kl.de</t>
        </is>
      </c>
      <c r="D38" s="19" t="inlineStr">
        <is>
          <t>academic_support</t>
        </is>
      </c>
      <c r="E38" t="inlineStr">
        <is>
          <t>university_applied_sciences</t>
        </is>
      </c>
      <c r="F38" s="19" t="inlineStr">
        <is>
          <t>Hochschule Kaiserslautern | academic_support | technologie, wirtschaft, wissen | Arbeitsmarkt, Fachkräfte und Qualifizierung (4); Hochschule-Wirtschaft-Transfer (4); Industrie 4.0, Automatisierung und Produktion (4); KI, Daten und Verwaltungs-/Wirtschaftsanwendungen (4); Mittelstand, Digitalisierung und Produktivität (4)</t>
        </is>
      </c>
      <c r="G38" s="19" t="inlineStr">
        <is>
          <t>KI / Digital; Innovation / Transfer; Fachkräfte / Arbeit / Qualifizierung; Wirtschaft / Mittelstand / Standort; Wissenschaft / Bildung / Hochschule</t>
        </is>
      </c>
      <c r="H38" s="19" t="inlineStr">
        <is>
          <t>KI; Digitalisierung; digital; Daten; IT; Technologie; Automatisierung; Industrie 4.0; Verwaltung; Transfer; Wissen; Fachkräfte; Qualifizierung; Arbeitsmarkt; Produktivität; Wirtschaft; Mittelstand; Industrie; Hochschule</t>
        </is>
      </c>
      <c r="I38" s="19" t="n">
        <v>19</v>
      </c>
      <c r="J38" s="19" t="inlineStr">
        <is>
          <t>Arbeitsmarkt, Fachkräfte und Qualifizierung (4)</t>
        </is>
      </c>
      <c r="K38" s="19" t="inlineStr">
        <is>
          <t>Static profile activates 5 keyword family/families: KI / Digital, Innovation / Transfer, Fachkräfte / Arbeit / Qualifizierung, Wirtschaft / Mittelstand / Standort, Wissenschaft / Bildung / Hochschule.</t>
        </is>
      </c>
      <c r="L38" s="19" t="inlineStr">
        <is>
          <t>Use as evidence, research or transfer partner for digitalization / data / technology opportunity anchor.</t>
        </is>
      </c>
      <c r="M38" s="19" t="inlineStr">
        <is>
          <t>https://www.zirp.de/die-zirp/mitglieder/</t>
        </is>
      </c>
      <c r="N38" s="19" t="inlineStr">
        <is>
          <t>Keyword search over existing static ZIRP member fields in this workbook, designed to mirror/search official ZIRP profile info boxes.</t>
        </is>
      </c>
    </row>
    <row r="39">
      <c r="A39" s="19" t="n">
        <v>38</v>
      </c>
      <c r="B39" s="19" t="inlineStr">
        <is>
          <t>Hochschule Koblenz</t>
        </is>
      </c>
      <c r="C39" s="19" t="inlineStr">
        <is>
          <t>https://www.hs-koblenz.de</t>
        </is>
      </c>
      <c r="D39" s="19" t="inlineStr">
        <is>
          <t>academic_support</t>
        </is>
      </c>
      <c r="E39" t="inlineStr">
        <is>
          <t>university_applied_sciences</t>
        </is>
      </c>
      <c r="F39" s="19" t="inlineStr">
        <is>
          <t>Hochschule Koblenz | academic_support | technologie, wirtschaft, wissen | Arbeitsmarkt, Fachkräfte und Qualifizierung (4); Hochschule-Wirtschaft-Transfer (4); Weiterbildung und lebenslanges Lernen (4); KI, Daten und Verwaltungs-/Wirtschaftsanwendungen (3); Mittelstand, Digitalisierung und Produktivität (3)</t>
        </is>
      </c>
      <c r="G39" s="19" t="inlineStr">
        <is>
          <t>KI / Digital; Innovation / Transfer; Fachkräfte / Arbeit / Qualifizierung; Wirtschaft / Mittelstand / Standort; Wissenschaft / Bildung / Hochschule</t>
        </is>
      </c>
      <c r="H39" s="19" t="inlineStr">
        <is>
          <t>KI; Digitalisierung; digital; Daten; IT; Technologie; Verwaltung; Transfer; Wissen; Fachkräfte; Qualifizierung; Weiterbildung; Arbeitsmarkt; Produktivität; lebenslanges Lernen; Wirtschaft; Mittelstand; Hochschule; Bildung</t>
        </is>
      </c>
      <c r="I39" s="19" t="n">
        <v>19</v>
      </c>
      <c r="J39" s="19" t="inlineStr">
        <is>
          <t>Arbeitsmarkt, Fachkräfte und Qualifizierung (4)</t>
        </is>
      </c>
      <c r="K39" s="19" t="inlineStr">
        <is>
          <t>Static profile activates 5 keyword family/families: KI / Digital, Innovation / Transfer, Fachkräfte / Arbeit / Qualifizierung, Wirtschaft / Mittelstand / Standort, Wissenschaft / Bildung / Hochschule.</t>
        </is>
      </c>
      <c r="L39" s="19" t="inlineStr">
        <is>
          <t>Use as evidence, research or transfer partner for digitalization / data / technology opportunity anchor.</t>
        </is>
      </c>
      <c r="M39" s="19" t="inlineStr">
        <is>
          <t>https://www.zirp.de/die-zirp/mitglieder/</t>
        </is>
      </c>
      <c r="N39" s="19" t="inlineStr">
        <is>
          <t>Keyword search over existing static ZIRP member fields in this workbook, designed to mirror/search official ZIRP profile info boxes.</t>
        </is>
      </c>
    </row>
    <row r="40">
      <c r="A40" s="19" t="n">
        <v>39</v>
      </c>
      <c r="B40" s="19" t="inlineStr">
        <is>
          <t>Hochschule Mainz</t>
        </is>
      </c>
      <c r="C40" s="19" t="inlineStr">
        <is>
          <t>https://www.hs-mainz.de</t>
        </is>
      </c>
      <c r="D40" s="19" t="inlineStr">
        <is>
          <t>academic_support</t>
        </is>
      </c>
      <c r="E40" t="inlineStr">
        <is>
          <t>university_applied_sciences</t>
        </is>
      </c>
      <c r="F40" s="19" t="inlineStr">
        <is>
          <t>Hochschule Mainz | academic_support | kultur, technologie, wirtschaft, wissen | Digitale Bau-, Planungs- und Genehmigungsprozesse (5); Kreativwirtschaft, Medien und digitale Öffentlichkeit (5); Arbeitsmarkt, Fachkräfte und Qualifizierung (4); Hochschule-Wirtschaft-Transfer (4); KI, Daten und Verwaltungs-/Wirtschaftsanwendungen (4)</t>
        </is>
      </c>
      <c r="G40" s="19" t="inlineStr">
        <is>
          <t>KI / Digital; Innovation / Transfer; Fachkräfte / Arbeit / Qualifizierung; Bau / Raum / Infrastruktur; Wirtschaft / Mittelstand / Standort; Wissenschaft / Bildung / Hochschule; Kultur / Medien / Öffentlichkeit</t>
        </is>
      </c>
      <c r="H40" s="19" t="inlineStr">
        <is>
          <t>KI; digital; Daten; IT; Technologie; Verwaltung; Transfer; Wissen; Fachkräfte; Qualifizierung; Arbeitsmarkt; Bau; Planung; Genehmigung; Wirtschaft; Hochschule; Kultur; Medien; Öffentlichkeit; Kreativwirtschaft</t>
        </is>
      </c>
      <c r="I40" s="19" t="n">
        <v>20</v>
      </c>
      <c r="J40" s="19" t="inlineStr">
        <is>
          <t>Digitale Bau-, Planungs- und Genehmigungsprozesse (5)</t>
        </is>
      </c>
      <c r="K40" s="19" t="inlineStr">
        <is>
          <t>Static profile activates 7 keyword family/families: KI / Digital, Innovation / Transfer, Fachkräfte / Arbeit / Qualifizierung, Bau / Raum / Infrastruktur, Wirtschaft / Mittelstand / Standort, Wissenschaft / Bildung / Hochschule, Kultur / Medien / Öffentlichkeit.</t>
        </is>
      </c>
      <c r="L40" s="19" t="inlineStr">
        <is>
          <t>Use as evidence, research or transfer partner for digitalization / data / technology opportunity anchor.</t>
        </is>
      </c>
      <c r="M40" s="19" t="inlineStr">
        <is>
          <t>https://www.zirp.de/die-zirp/mitglieder/</t>
        </is>
      </c>
      <c r="N40" s="19" t="inlineStr">
        <is>
          <t>Keyword search over existing static ZIRP member fields in this workbook, designed to mirror/search official ZIRP profile info boxes.</t>
        </is>
      </c>
    </row>
    <row r="41">
      <c r="A41" s="19" t="n">
        <v>40</v>
      </c>
      <c r="B41" s="19" t="inlineStr">
        <is>
          <t>Hochschule Trier</t>
        </is>
      </c>
      <c r="C41" s="19" t="inlineStr">
        <is>
          <t>https://www.hochschule-trier.de</t>
        </is>
      </c>
      <c r="D41" s="19" t="inlineStr">
        <is>
          <t>academic_support</t>
        </is>
      </c>
      <c r="E41" t="inlineStr">
        <is>
          <t>university_applied_sciences</t>
        </is>
      </c>
      <c r="F41" s="19" t="inlineStr">
        <is>
          <t>Hochschule Trier | academic_support | nachhaltigkeit, technologie, wirtschaft, wissen | Arbeitsmarkt, Fachkräfte und Qualifizierung (4); Hochschule-Wirtschaft-Transfer (4); Wasser, Umwelttechnik und kommunale Resilienz (4); Weiterbildung und lebenslanges Lernen (4); Industrie 4.0, Automatisierung und Produktion (3)</t>
        </is>
      </c>
      <c r="G41" s="19" t="inlineStr">
        <is>
          <t>KI / Digital; Innovation / Transfer; Nachhaltigkeit / Klima / Energie; Fachkräfte / Arbeit / Qualifizierung; Wirtschaft / Mittelstand / Standort; Wissenschaft / Bildung / Hochschule</t>
        </is>
      </c>
      <c r="H41" s="19" t="inlineStr">
        <is>
          <t>IT; Technologie; Automatisierung; Industrie 4.0; Transfer; Wissen; Nachhaltigkeit; nachhaltig; Umwelt; Fachkräfte; Qualifizierung; Weiterbildung; Arbeitsmarkt; lebenslanges Lernen; Wirtschaft; Industrie; Hochschule; Bildung</t>
        </is>
      </c>
      <c r="I41" s="19" t="n">
        <v>18</v>
      </c>
      <c r="J41" s="19" t="inlineStr">
        <is>
          <t>Arbeitsmarkt, Fachkräfte und Qualifizierung (4)</t>
        </is>
      </c>
      <c r="K41" s="19" t="inlineStr">
        <is>
          <t>Static profile activates 6 keyword family/families: KI / Digital, Innovation / Transfer, Nachhaltigkeit / Klima / Energie, Fachkräfte / Arbeit / Qualifizierung, Wirtschaft / Mittelstand / Standort, Wissenschaft / Bildung / Hochschule.</t>
        </is>
      </c>
      <c r="L41" s="19" t="inlineStr">
        <is>
          <t>Use as evidence, research or transfer partner for digitalization / data / technology opportunity anchor.</t>
        </is>
      </c>
      <c r="M41" s="19" t="inlineStr">
        <is>
          <t>https://www.zirp.de/die-zirp/mitglieder/</t>
        </is>
      </c>
      <c r="N41" s="19" t="inlineStr">
        <is>
          <t>Keyword search over existing static ZIRP member fields in this workbook, designed to mirror/search official ZIRP profile info boxes.</t>
        </is>
      </c>
    </row>
    <row r="42">
      <c r="A42" s="19" t="n">
        <v>41</v>
      </c>
      <c r="B42" s="19" t="inlineStr">
        <is>
          <t>Hochschule Worms</t>
        </is>
      </c>
      <c r="C42" s="19" t="inlineStr">
        <is>
          <t>https://www.hs-worms.de</t>
        </is>
      </c>
      <c r="D42" s="19" t="inlineStr">
        <is>
          <t>academic_support</t>
        </is>
      </c>
      <c r="E42" t="inlineStr">
        <is>
          <t>university_applied_sciences</t>
        </is>
      </c>
      <c r="F42" s="19" t="inlineStr">
        <is>
          <t>Hochschule Worms | academic_support | wirtschaft, wissen | Arbeitsmarkt, Fachkräfte und Qualifizierung (4); Hochschule-Wirtschaft-Transfer (4); Weiterbildung und lebenslanges Lernen (4)</t>
        </is>
      </c>
      <c r="G42" s="19" t="inlineStr">
        <is>
          <t>KI / Digital; Innovation / Transfer; Fachkräfte / Arbeit / Qualifizierung; Wirtschaft / Mittelstand / Standort; Wissenschaft / Bildung / Hochschule</t>
        </is>
      </c>
      <c r="H42" s="19" t="inlineStr">
        <is>
          <t>IT; Transfer; Wissen; Fachkräfte; Qualifizierung; Weiterbildung; Arbeitsmarkt; lebenslanges Lernen; Wirtschaft; Hochschule; Bildung</t>
        </is>
      </c>
      <c r="I42" s="19" t="n">
        <v>11</v>
      </c>
      <c r="J42" s="19" t="inlineStr">
        <is>
          <t>Arbeitsmarkt, Fachkräfte und Qualifizierung (4)</t>
        </is>
      </c>
      <c r="K42" s="19" t="inlineStr">
        <is>
          <t>Static profile activates 5 keyword family/families: KI / Digital, Innovation / Transfer, Fachkräfte / Arbeit / Qualifizierung, Wirtschaft / Mittelstand / Standort, Wissenschaft / Bildung / Hochschule.</t>
        </is>
      </c>
      <c r="L42" s="19" t="inlineStr">
        <is>
          <t>Use as evidence, research or transfer partner for digitalization / data / technology opportunity anchor.</t>
        </is>
      </c>
      <c r="M42" s="19" t="inlineStr">
        <is>
          <t>https://www.zirp.de/die-zirp/mitglieder/</t>
        </is>
      </c>
      <c r="N42" s="19" t="inlineStr">
        <is>
          <t>Keyword search over existing static ZIRP member fields in this workbook, designed to mirror/search official ZIRP profile info boxes.</t>
        </is>
      </c>
    </row>
    <row r="43">
      <c r="A43" s="19" t="n">
        <v>42</v>
      </c>
      <c r="B43" s="19" t="inlineStr">
        <is>
          <t>IKK Südwest</t>
        </is>
      </c>
      <c r="C43" s="19" t="inlineStr">
        <is>
          <t>https://www.ikk-suedwest.de</t>
        </is>
      </c>
      <c r="D43" s="19" t="inlineStr">
        <is>
          <t>context_actor</t>
        </is>
      </c>
      <c r="E43" t="inlineStr">
        <is>
          <t>health_social_anchor</t>
        </is>
      </c>
      <c r="F43" s="19" t="inlineStr">
        <is>
          <t>IKK Südwest | context_actor | gesellschaft | Gesundheitsversorgung und Prävention (5); Pflege, Fachkräfte und Sozialwirtschaft (4); Sport, Region und gesellschaftliche Identifikation (4)</t>
        </is>
      </c>
      <c r="G43" s="19" t="inlineStr">
        <is>
          <t>KI / Digital; Gesundheit / Pflege / Sozialwirtschaft; Fachkräfte / Arbeit / Qualifizierung; Wirtschaft / Mittelstand / Standort; Dialog / Netzwerk / Verantwortung; Kultur / Medien / Öffentlichkeit</t>
        </is>
      </c>
      <c r="H43" s="19" t="inlineStr">
        <is>
          <t>IT; Gesundheit; Gesundheitsversorgung; Pflege; Sozialwirtschaft; Prävention; Versorgung; Fachkräfte; Wirtschaft; gesellschaftlich; Region; gesellschaftliche Identifikation</t>
        </is>
      </c>
      <c r="I43" s="19" t="n">
        <v>12</v>
      </c>
      <c r="J43" s="19" t="inlineStr">
        <is>
          <t>Gesundheitsversorgung und Prävention (5)</t>
        </is>
      </c>
      <c r="K43" s="19" t="inlineStr">
        <is>
          <t>Static profile activates 6 keyword family/families: KI / Digital, Gesundheit / Pflege / Sozialwirtschaft, Fachkräfte / Arbeit / Qualifizierung, Wirtschaft / Mittelstand / Standort, Dialog / Netzwerk / Verantwortung, Kultur / Medien / Öffentlichkeit.</t>
        </is>
      </c>
      <c r="L43" s="19" t="inlineStr">
        <is>
          <t>Use as convening/context partner for health/social-sector opportunity anchor.</t>
        </is>
      </c>
      <c r="M43" s="19" t="inlineStr">
        <is>
          <t>https://www.zirp.de/die-zirp/mitglieder/</t>
        </is>
      </c>
      <c r="N43" s="19" t="inlineStr">
        <is>
          <t>Keyword search over existing static ZIRP member fields in this workbook, designed to mirror/search official ZIRP profile info boxes.</t>
        </is>
      </c>
    </row>
    <row r="44">
      <c r="A44" s="19" t="n">
        <v>43</v>
      </c>
      <c r="B44" s="19" t="inlineStr">
        <is>
          <t>in.betrieb gGmbH</t>
        </is>
      </c>
      <c r="C44" s="19" t="inlineStr">
        <is>
          <t>https://inbetrieb-mainz.de/de/</t>
        </is>
      </c>
      <c r="D44" s="19" t="inlineStr">
        <is>
          <t>context_actor</t>
        </is>
      </c>
      <c r="E44" t="inlineStr">
        <is>
          <t>health_social_anchor</t>
        </is>
      </c>
      <c r="F44" s="19" t="inlineStr">
        <is>
          <t>in.betrieb gGmbH | context_actor | gesellschaft, wirtschaft | Pflege, Fachkräfte und Sozialwirtschaft (5); Teilhabe, Inklusion und Arbeitsmarkt (5); Arbeitsmarkt, Fachkräfte und Qualifizierung (4)</t>
        </is>
      </c>
      <c r="G44" s="19" t="inlineStr">
        <is>
          <t>KI / Digital; Gesundheit / Pflege / Sozialwirtschaft; Fachkräfte / Arbeit / Qualifizierung; Wirtschaft / Mittelstand / Standort; Wissenschaft / Bildung / Hochschule</t>
        </is>
      </c>
      <c r="H44" s="19" t="inlineStr">
        <is>
          <t>IT; Pflege; Sozialwirtschaft; Teilhabe; Fachkräfte; Qualifizierung; Arbeitsmarkt; Wirtschaft</t>
        </is>
      </c>
      <c r="I44" s="19" t="n">
        <v>8</v>
      </c>
      <c r="J44" s="19" t="inlineStr">
        <is>
          <t>Pflege, Fachkräfte und Sozialwirtschaft (5)</t>
        </is>
      </c>
      <c r="K44" s="19" t="inlineStr">
        <is>
          <t>Static profile activates 5 keyword family/families: KI / Digital, Gesundheit / Pflege / Sozialwirtschaft, Fachkräfte / Arbeit / Qualifizierung, Wirtschaft / Mittelstand / Standort, Wissenschaft / Bildung / Hochschule.</t>
        </is>
      </c>
      <c r="L44" s="19" t="inlineStr">
        <is>
          <t>Use as convening/context partner for health/social-sector opportunity anchor.</t>
        </is>
      </c>
      <c r="M44" s="19" t="inlineStr">
        <is>
          <t>https://www.zirp.de/die-zirp/mitglieder/</t>
        </is>
      </c>
      <c r="N44" s="19" t="inlineStr">
        <is>
          <t>Keyword search over existing static ZIRP member fields in this workbook, designed to mirror/search official ZIRP profile info boxes.</t>
        </is>
      </c>
    </row>
    <row r="45">
      <c r="A45" s="19" t="n">
        <v>44</v>
      </c>
      <c r="B45" s="19" t="inlineStr">
        <is>
          <t>Ingenieurkammer Rheinland-Pfalz</t>
        </is>
      </c>
      <c r="C45" s="19" t="inlineStr">
        <is>
          <t>https://www.ing-rlp.de</t>
        </is>
      </c>
      <c r="D45" s="19" t="inlineStr">
        <is>
          <t>implementation_anchor</t>
        </is>
      </c>
      <c r="E45" t="inlineStr">
        <is>
          <t>construction_planning_anchor</t>
        </is>
      </c>
      <c r="F45" s="19" t="inlineStr">
        <is>
          <t>Ingenieurkammer Rheinland-Pfalz | implementation_anchor | nachhaltigkeit, technologie | Digitale Bau-, Planungs- und Genehmigungsprozesse (5); Klimaanpassung in Stadt und Land (4); Kreislaufwirtschaft, Bau und Ersatzbaustoffverordnung (4)</t>
        </is>
      </c>
      <c r="G45" s="19" t="inlineStr">
        <is>
          <t>KI / Digital; Nachhaltigkeit / Klima / Energie; Bau / Raum / Infrastruktur; Wirtschaft / Mittelstand / Standort</t>
        </is>
      </c>
      <c r="H45" s="19" t="inlineStr">
        <is>
          <t>digital; IT; Technologie; Nachhaltigkeit; nachhaltig; Klima; Klimaanpassung; Kreislauf; Ersatzbaustoff; Land; Stadt; Bau; Planung; Genehmigung; Wirtschaft</t>
        </is>
      </c>
      <c r="I45" s="19" t="n">
        <v>15</v>
      </c>
      <c r="J45" s="19" t="inlineStr">
        <is>
          <t>Digitale Bau-, Planungs- und Genehmigungsprozesse (5)</t>
        </is>
      </c>
      <c r="K45" s="19" t="inlineStr">
        <is>
          <t>Static profile activates 4 keyword family/families: KI / Digital, Nachhaltigkeit / Klima / Energie, Bau / Raum / Infrastruktur, Wirtschaft / Mittelstand / Standort.</t>
        </is>
      </c>
      <c r="L45" s="19" t="inlineStr">
        <is>
          <t>Use as institutional implementation partner for digitalization / data / technology opportunity anchor.</t>
        </is>
      </c>
      <c r="M45" s="19" t="inlineStr">
        <is>
          <t>https://www.zirp.de/die-zirp/mitglieder/</t>
        </is>
      </c>
      <c r="N45" s="19" t="inlineStr">
        <is>
          <t>Keyword search over existing static ZIRP member fields in this workbook, designed to mirror/search official ZIRP profile info boxes.</t>
        </is>
      </c>
    </row>
    <row r="46">
      <c r="A46" s="19" t="n">
        <v>45</v>
      </c>
      <c r="B46" s="19" t="inlineStr">
        <is>
          <t>Investitions- und Strukturbank Rheinland-Pfalz (ISB)</t>
        </is>
      </c>
      <c r="C46" s="19" t="inlineStr">
        <is>
          <t>https://www.isb.rlp.de</t>
        </is>
      </c>
      <c r="D46" s="19" t="inlineStr">
        <is>
          <t>context_actor</t>
        </is>
      </c>
      <c r="E46" t="inlineStr">
        <is>
          <t>bank_finance_anchor</t>
        </is>
      </c>
      <c r="F46" s="19" t="inlineStr">
        <is>
          <t>Investitions- und Strukturbank Rheinland-Pfalz (ISB) | context_actor | nachhaltigkeit, wirtschaft, wissen | Finanzierung und Förderung von Transformation (5); Standort, Investition und industrielle Transformation (5); Energie, Netze und Versorgungssicherheit (3); Hochschule-Wirtschaft-Transfer (3); Kreislaufwirtschaft, Bau und Ersatzbaustoffverordnung (3)</t>
        </is>
      </c>
      <c r="G46" s="19" t="inlineStr">
        <is>
          <t>KI / Digital; Innovation / Transfer; Nachhaltigkeit / Klima / Energie; Gesundheit / Pflege / Sozialwirtschaft; Bau / Raum / Infrastruktur; Wirtschaft / Mittelstand / Standort; Wissenschaft / Bildung / Hochschule</t>
        </is>
      </c>
      <c r="H46" s="19" t="inlineStr">
        <is>
          <t>IT; Transfer; Wissen; Nachhaltigkeit; nachhaltig; Energie; Netze; Versorgungssicherheit; Kreislauf; Ersatzbaustoff; Land; Versorgung; Bau; Wirtschaft; Standort; Industrie; Investition; Transformation; Förderung; Finanzierung; Hochschule</t>
        </is>
      </c>
      <c r="I46" s="19" t="n">
        <v>21</v>
      </c>
      <c r="J46" s="19" t="inlineStr">
        <is>
          <t>Finanzierung und Förderung von Transformation (5)</t>
        </is>
      </c>
      <c r="K46" s="19" t="inlineStr">
        <is>
          <t>Static profile activates 7 keyword family/families: KI / Digital, Innovation / Transfer, Nachhaltigkeit / Klima / Energie, Gesundheit / Pflege / Sozialwirtschaft, Bau / Raum / Infrastruktur, Wirtschaft / Mittelstand / Standort, Wissenschaft / Bildung / Hochschule.</t>
        </is>
      </c>
      <c r="L46" s="19" t="inlineStr">
        <is>
          <t>Use as convening/context partner for health/social-sector opportunity anchor.</t>
        </is>
      </c>
      <c r="M46" s="19" t="inlineStr">
        <is>
          <t>https://www.zirp.de/die-zirp/mitglieder/</t>
        </is>
      </c>
      <c r="N46" s="19" t="inlineStr">
        <is>
          <t>Keyword search over existing static ZIRP member fields in this workbook, designed to mirror/search official ZIRP profile info boxes.</t>
        </is>
      </c>
    </row>
    <row r="47">
      <c r="A47" s="19" t="n">
        <v>46</v>
      </c>
      <c r="B47" s="19" t="inlineStr">
        <is>
          <t>IQIB - Institut für qualifizierende Innovationsforschung und -beratung GmbH</t>
        </is>
      </c>
      <c r="C47" s="19" t="inlineStr">
        <is>
          <t>https://www.iqib.de</t>
        </is>
      </c>
      <c r="D47" s="19" t="inlineStr">
        <is>
          <t>profit_anchor</t>
        </is>
      </c>
      <c r="E47" t="inlineStr">
        <is>
          <t>technology_digital_anchor</t>
        </is>
      </c>
      <c r="F47" s="19" t="inlineStr">
        <is>
          <t>IQIB - Institut für qualifizierende Innovationsforschung und -beratung GmbH | profit_anchor | technologie, wirtschaft | KI, Daten und Verwaltungs-/Wirtschaftsanwendungen (4); Mittelstand, Digitalisierung und Produktivität (4)</t>
        </is>
      </c>
      <c r="G47" s="19" t="inlineStr">
        <is>
          <t>KI / Digital; Innovation / Transfer; Fachkräfte / Arbeit / Qualifizierung; Wirtschaft / Mittelstand / Standort</t>
        </is>
      </c>
      <c r="H47" s="19" t="inlineStr">
        <is>
          <t>KI; Digitalisierung; digital; Daten; IT; Technologie; Verwaltung; Innovation; Forschung; Produktivität; Wirtschaft; Mittelstand</t>
        </is>
      </c>
      <c r="I47" s="19" t="n">
        <v>12</v>
      </c>
      <c r="J47" s="19" t="inlineStr">
        <is>
          <t>KI, Daten und Verwaltungs-/Wirtschaftsanwendungen (4)</t>
        </is>
      </c>
      <c r="K47" s="19" t="inlineStr">
        <is>
          <t>Static profile activates 4 keyword family/families: KI / Digital, Innovation / Transfer, Fachkräfte / Arbeit / Qualifizierung, Wirtschaft / Mittelstand / Standort.</t>
        </is>
      </c>
      <c r="L47" s="19" t="inlineStr">
        <is>
          <t>Use as implementation/commercial partner for digitalization / data / technology opportunity anchor.</t>
        </is>
      </c>
      <c r="M47" s="19" t="inlineStr">
        <is>
          <t>https://www.zirp.de/die-zirp/mitglieder/</t>
        </is>
      </c>
      <c r="N47" s="19" t="inlineStr">
        <is>
          <t>Keyword search over existing static ZIRP member fields in this workbook, designed to mirror/search official ZIRP profile info boxes.</t>
        </is>
      </c>
    </row>
    <row r="48">
      <c r="A48" s="19" t="n">
        <v>47</v>
      </c>
      <c r="B48" s="19" t="inlineStr">
        <is>
          <t>ITK Engineering GmbH</t>
        </is>
      </c>
      <c r="C48" s="19" t="inlineStr">
        <is>
          <t>https://www.itk-engineering.de</t>
        </is>
      </c>
      <c r="D48" s="19" t="inlineStr">
        <is>
          <t>profit_anchor</t>
        </is>
      </c>
      <c r="E48" t="inlineStr">
        <is>
          <t>technology_digital_anchor</t>
        </is>
      </c>
      <c r="F48" s="19" t="inlineStr">
        <is>
          <t>ITK Engineering GmbH | profit_anchor | technologie, wirtschaft, wissen | Industrie 4.0, Automatisierung und Produktion (5); Mittelstand, Digitalisierung und Produktivität (5); Hochschule-Wirtschaft-Transfer (4); KI, Daten und Verwaltungs-/Wirtschaftsanwendungen (4)</t>
        </is>
      </c>
      <c r="G48" s="19" t="inlineStr">
        <is>
          <t>KI / Digital; Innovation / Transfer; Fachkräfte / Arbeit / Qualifizierung; Wirtschaft / Mittelstand / Standort; Wissenschaft / Bildung / Hochschule</t>
        </is>
      </c>
      <c r="H48" s="19" t="inlineStr">
        <is>
          <t>KI; Digitalisierung; digital; Daten; IT; Technologie; Automatisierung; Industrie 4.0; Verwaltung; Transfer; Wissen; Produktivität; Wirtschaft; Mittelstand; Industrie; Hochschule</t>
        </is>
      </c>
      <c r="I48" s="19" t="n">
        <v>16</v>
      </c>
      <c r="J48" s="19" t="inlineStr">
        <is>
          <t>Industrie 4.0, Automatisierung und Produktion (5)</t>
        </is>
      </c>
      <c r="K48" s="19" t="inlineStr">
        <is>
          <t>Static profile activates 5 keyword family/families: KI / Digital, Innovation / Transfer, Fachkräfte / Arbeit / Qualifizierung, Wirtschaft / Mittelstand / Standort, Wissenschaft / Bildung / Hochschule.</t>
        </is>
      </c>
      <c r="L48" s="19" t="inlineStr">
        <is>
          <t>Use as implementation/commercial partner for digitalization / data / technology opportunity anchor.</t>
        </is>
      </c>
      <c r="M48" s="19" t="inlineStr">
        <is>
          <t>https://www.zirp.de/die-zirp/mitglieder/</t>
        </is>
      </c>
      <c r="N48" s="19" t="inlineStr">
        <is>
          <t>Keyword search over existing static ZIRP member fields in this workbook, designed to mirror/search official ZIRP profile info boxes.</t>
        </is>
      </c>
    </row>
    <row r="49">
      <c r="A49" s="19" t="n">
        <v>48</v>
      </c>
      <c r="B49" s="19" t="inlineStr">
        <is>
          <t>JOBS FOR MOMS UG</t>
        </is>
      </c>
      <c r="C49" s="19" t="inlineStr">
        <is>
          <t>https://jobsformoms.de/de-de/home</t>
        </is>
      </c>
      <c r="D49" s="19" t="inlineStr">
        <is>
          <t>context_actor</t>
        </is>
      </c>
      <c r="E49" t="inlineStr">
        <is>
          <t>professional_services_anchor</t>
        </is>
      </c>
      <c r="F49" s="19" t="inlineStr">
        <is>
          <t>JOBS FOR MOMS UG | context_actor | gesellschaft, wirtschaft, wissen | Teilhabe, Inklusion und Arbeitsmarkt (5); Arbeitsmarkt, Fachkräfte und Qualifizierung (4); Weiterbildung und lebenslanges Lernen (4); Pflege, Fachkräfte und Sozialwirtschaft (3)</t>
        </is>
      </c>
      <c r="G49" s="19" t="inlineStr">
        <is>
          <t>KI / Digital; Innovation / Transfer; Gesundheit / Pflege / Sozialwirtschaft; Fachkräfte / Arbeit / Qualifizierung; Wirtschaft / Mittelstand / Standort; Wissenschaft / Bildung / Hochschule</t>
        </is>
      </c>
      <c r="H49" s="19" t="inlineStr">
        <is>
          <t>IT; Wissen; Pflege; Sozialwirtschaft; Teilhabe; Fachkräfte; Qualifizierung; Weiterbildung; Arbeitsmarkt; lebenslanges Lernen; Wirtschaft; Bildung</t>
        </is>
      </c>
      <c r="I49" s="19" t="n">
        <v>12</v>
      </c>
      <c r="J49" s="19" t="inlineStr">
        <is>
          <t>Teilhabe, Inklusion und Arbeitsmarkt (5)</t>
        </is>
      </c>
      <c r="K49" s="19" t="inlineStr">
        <is>
          <t>Static profile activates 6 keyword family/families: KI / Digital, Innovation / Transfer, Gesundheit / Pflege / Sozialwirtschaft, Fachkräfte / Arbeit / Qualifizierung, Wirtschaft / Mittelstand / Standort, Wissenschaft / Bildung / Hochschule.</t>
        </is>
      </c>
      <c r="L49" s="19" t="inlineStr">
        <is>
          <t>Use as convening/context partner for health/social-sector opportunity anchor.</t>
        </is>
      </c>
      <c r="M49" s="19" t="inlineStr">
        <is>
          <t>https://www.zirp.de/die-zirp/mitglieder/</t>
        </is>
      </c>
      <c r="N49" s="19" t="inlineStr">
        <is>
          <t>Keyword search over existing static ZIRP member fields in this workbook, designed to mirror/search official ZIRP profile info boxes.</t>
        </is>
      </c>
    </row>
    <row r="50">
      <c r="A50" s="19" t="n">
        <v>49</v>
      </c>
      <c r="B50" s="19" t="inlineStr">
        <is>
          <t>Johannes Gutenberg-Universität Mainz</t>
        </is>
      </c>
      <c r="C50" s="19" t="inlineStr">
        <is>
          <t>https://www.uni-mainz.de</t>
        </is>
      </c>
      <c r="D50" s="19" t="inlineStr">
        <is>
          <t>academic_support</t>
        </is>
      </c>
      <c r="E50" t="inlineStr">
        <is>
          <t>university_research</t>
        </is>
      </c>
      <c r="F50" s="19" t="inlineStr">
        <is>
          <t>Johannes Gutenberg-Universität Mainz | academic_support | gesellschaft, kultur, technologie, wissen | Hochschule-Wirtschaft-Transfer (5); Wissenschaft, Demokratie und gesellschaftlicher Zusammenhalt (5); Demokratie, Medien und gesellschaftlicher Zusammenhalt (4); KI, Daten und Verwaltungs-/Wirtschaftsanwendungen (4); Kreativwirtschaft, Medien und digitale Öffentlichkeit (4)</t>
        </is>
      </c>
      <c r="G50" s="19" t="inlineStr">
        <is>
          <t>KI / Digital; Innovation / Transfer; Wirtschaft / Mittelstand / Standort; Wissenschaft / Bildung / Hochschule; Dialog / Netzwerk / Verantwortung; Kultur / Medien / Öffentlichkeit</t>
        </is>
      </c>
      <c r="H50" s="19" t="inlineStr">
        <is>
          <t>KI; digital; Daten; IT; Technologie; Verwaltung; Transfer; Wissen; Wirtschaft; Wissenschaft; Hochschule; Universität; gesellschaftlich; Zusammenhalt; Kultur; Medien; Öffentlichkeit; Kreativwirtschaft; Demokratie</t>
        </is>
      </c>
      <c r="I50" s="19" t="n">
        <v>19</v>
      </c>
      <c r="J50" s="19" t="inlineStr">
        <is>
          <t>Hochschule-Wirtschaft-Transfer (5)</t>
        </is>
      </c>
      <c r="K50" s="19" t="inlineStr">
        <is>
          <t>Static profile activates 6 keyword family/families: KI / Digital, Innovation / Transfer, Wirtschaft / Mittelstand / Standort, Wissenschaft / Bildung / Hochschule, Dialog / Netzwerk / Verantwortung, Kultur / Medien / Öffentlichkeit.</t>
        </is>
      </c>
      <c r="L50" s="19" t="inlineStr">
        <is>
          <t>Use as evidence, research or transfer partner for digitalization / data / technology opportunity anchor.</t>
        </is>
      </c>
      <c r="M50" s="19" t="inlineStr">
        <is>
          <t>https://www.zirp.de/die-zirp/mitglieder/</t>
        </is>
      </c>
      <c r="N50" s="19" t="inlineStr">
        <is>
          <t>Keyword search over existing static ZIRP member fields in this workbook, designed to mirror/search official ZIRP profile info boxes.</t>
        </is>
      </c>
    </row>
    <row r="51">
      <c r="A51" s="19" t="n">
        <v>50</v>
      </c>
      <c r="B51" s="19" t="inlineStr">
        <is>
          <t>Joseph Vögele AG</t>
        </is>
      </c>
      <c r="C51" s="19" t="inlineStr">
        <is>
          <t>https://www.voegele.info</t>
        </is>
      </c>
      <c r="D51" s="19" t="inlineStr">
        <is>
          <t>profit_anchor</t>
        </is>
      </c>
      <c r="E51" t="inlineStr">
        <is>
          <t>construction_planning_anchor</t>
        </is>
      </c>
      <c r="F51" s="19" t="inlineStr">
        <is>
          <t>Joseph Vögele AG | profit_anchor | technologie, wirtschaft | Industrie 4.0, Automatisierung und Produktion (5); Mittelstand, Digitalisierung und Produktivität (4); Standort, Investition und industrielle Transformation (4)</t>
        </is>
      </c>
      <c r="G51" s="19" t="inlineStr">
        <is>
          <t>KI / Digital; Fachkräfte / Arbeit / Qualifizierung; Wirtschaft / Mittelstand / Standort</t>
        </is>
      </c>
      <c r="H51" s="19" t="inlineStr">
        <is>
          <t>Digitalisierung; digital; IT; Technologie; Automatisierung; Industrie 4.0; Produktivität; Wirtschaft; Standort; Mittelstand; Industrie; Investition; Transformation</t>
        </is>
      </c>
      <c r="I51" s="19" t="n">
        <v>13</v>
      </c>
      <c r="J51" s="19" t="inlineStr">
        <is>
          <t>Industrie 4.0, Automatisierung und Produktion (5)</t>
        </is>
      </c>
      <c r="K51" s="19" t="inlineStr">
        <is>
          <t>Static profile activates 3 keyword family/families: KI / Digital, Fachkräfte / Arbeit / Qualifizierung, Wirtschaft / Mittelstand / Standort.</t>
        </is>
      </c>
      <c r="L51" s="19" t="inlineStr">
        <is>
          <t>Use as implementation/commercial partner for digitalization / data / technology opportunity anchor.</t>
        </is>
      </c>
      <c r="M51" s="19" t="inlineStr">
        <is>
          <t>https://www.zirp.de/die-zirp/mitglieder/</t>
        </is>
      </c>
      <c r="N51" s="19" t="inlineStr">
        <is>
          <t>Keyword search over existing static ZIRP member fields in this workbook, designed to mirror/search official ZIRP profile info boxes.</t>
        </is>
      </c>
    </row>
    <row r="52">
      <c r="A52" s="19" t="n">
        <v>51</v>
      </c>
      <c r="B52" s="19" t="inlineStr">
        <is>
          <t>JUWI GmbH</t>
        </is>
      </c>
      <c r="C52" s="19" t="inlineStr">
        <is>
          <t>https://www.juwi.de</t>
        </is>
      </c>
      <c r="D52" s="19" t="inlineStr">
        <is>
          <t>profit_anchor</t>
        </is>
      </c>
      <c r="E52" t="inlineStr">
        <is>
          <t>energy_infrastructure_anchor</t>
        </is>
      </c>
      <c r="F52" s="19" t="inlineStr">
        <is>
          <t>JUWI GmbH | profit_anchor | nachhaltigkeit, wirtschaft | Energie, Netze und Versorgungssicherheit (5); Finanzierung und Förderung von Transformation (3); Klimaanpassung in Stadt und Land (3)</t>
        </is>
      </c>
      <c r="G52" s="19" t="inlineStr">
        <is>
          <t>KI / Digital; Nachhaltigkeit / Klima / Energie; Gesundheit / Pflege / Sozialwirtschaft; Bau / Raum / Infrastruktur; Wirtschaft / Mittelstand / Standort</t>
        </is>
      </c>
      <c r="H52" s="19" t="inlineStr">
        <is>
          <t>IT; Nachhaltigkeit; nachhaltig; Klima; Klimaanpassung; Energie; Netze; Versorgungssicherheit; Land; Stadt; Versorgung; Wirtschaft; Transformation; Förderung; Finanzierung</t>
        </is>
      </c>
      <c r="I52" s="19" t="n">
        <v>15</v>
      </c>
      <c r="J52" s="19" t="inlineStr">
        <is>
          <t>Energie, Netze und Versorgungssicherheit (5)</t>
        </is>
      </c>
      <c r="K52" s="19" t="inlineStr">
        <is>
          <t>Static profile activates 5 keyword family/families: KI / Digital, Nachhaltigkeit / Klima / Energie, Gesundheit / Pflege / Sozialwirtschaft, Bau / Raum / Infrastruktur, Wirtschaft / Mittelstand / Standort.</t>
        </is>
      </c>
      <c r="L52" s="19" t="inlineStr">
        <is>
          <t>Use as implementation/commercial partner for health/social-sector opportunity anchor.</t>
        </is>
      </c>
      <c r="M52" s="19" t="inlineStr">
        <is>
          <t>https://www.zirp.de/die-zirp/mitglieder/</t>
        </is>
      </c>
      <c r="N52" s="19" t="inlineStr">
        <is>
          <t>Keyword search over existing static ZIRP member fields in this workbook, designed to mirror/search official ZIRP profile info boxes.</t>
        </is>
      </c>
    </row>
    <row r="53">
      <c r="A53" s="19" t="n">
        <v>52</v>
      </c>
      <c r="B53" s="19" t="inlineStr">
        <is>
          <t>Karl Gemünden GmbH &amp; Co. KG</t>
        </is>
      </c>
      <c r="C53" s="19" t="inlineStr">
        <is>
          <t>https://www.gemuenden-bau.de</t>
        </is>
      </c>
      <c r="D53" s="19" t="inlineStr">
        <is>
          <t>profit_anchor</t>
        </is>
      </c>
      <c r="E53" t="inlineStr">
        <is>
          <t>construction_planning_anchor</t>
        </is>
      </c>
      <c r="F53" s="19" t="inlineStr">
        <is>
          <t>Karl Gemünden GmbH &amp; Co. KG | profit_anchor | nachhaltigkeit, technologie | Kreislaufwirtschaft, Bau und Ersatzbaustoffverordnung (4); Digitale Bau-, Planungs- und Genehmigungsprozesse (3)</t>
        </is>
      </c>
      <c r="G53" s="19" t="inlineStr">
        <is>
          <t>KI / Digital; Nachhaltigkeit / Klima / Energie; Bau / Raum / Infrastruktur; Wirtschaft / Mittelstand / Standort</t>
        </is>
      </c>
      <c r="H53" s="19" t="inlineStr">
        <is>
          <t>digital; IT; Technologie; Nachhaltigkeit; nachhaltig; Kreislauf; Ersatzbaustoff; Bau; Planung; Genehmigung; Wirtschaft</t>
        </is>
      </c>
      <c r="I53" s="19" t="n">
        <v>11</v>
      </c>
      <c r="J53" s="19" t="inlineStr">
        <is>
          <t>Kreislaufwirtschaft, Bau und Ersatzbaustoffverordnung (4)</t>
        </is>
      </c>
      <c r="K53" s="19" t="inlineStr">
        <is>
          <t>Static profile activates 4 keyword family/families: KI / Digital, Nachhaltigkeit / Klima / Energie, Bau / Raum / Infrastruktur, Wirtschaft / Mittelstand / Standort.</t>
        </is>
      </c>
      <c r="L53" s="19" t="inlineStr">
        <is>
          <t>Use as implementation/commercial partner for digitalization / data / technology opportunity anchor.</t>
        </is>
      </c>
      <c r="M53" s="19" t="inlineStr">
        <is>
          <t>https://www.zirp.de/die-zirp/mitglieder/</t>
        </is>
      </c>
      <c r="N53" s="19" t="inlineStr">
        <is>
          <t>Keyword search over existing static ZIRP member fields in this workbook, designed to mirror/search official ZIRP profile info boxes.</t>
        </is>
      </c>
    </row>
    <row r="54">
      <c r="A54" s="19" t="n">
        <v>53</v>
      </c>
      <c r="B54" s="19" t="inlineStr">
        <is>
          <t>Kassenzahnärztliche Vereinigung Rheinland-Pfalz</t>
        </is>
      </c>
      <c r="C54" s="19" t="inlineStr">
        <is>
          <t>https://www.kzv-rlp.de</t>
        </is>
      </c>
      <c r="D54" s="19" t="inlineStr">
        <is>
          <t>context_actor</t>
        </is>
      </c>
      <c r="E54" t="inlineStr">
        <is>
          <t>health_social_anchor</t>
        </is>
      </c>
      <c r="F54" s="19" t="inlineStr">
        <is>
          <t>Kassenzahnärztliche Vereinigung Rheinland-Pfalz | context_actor | gesellschaft | Gesundheitsversorgung und Prävention (4)</t>
        </is>
      </c>
      <c r="G54" s="19" t="inlineStr">
        <is>
          <t>KI / Digital; Nachhaltigkeit / Klima / Energie; Gesundheit / Pflege / Sozialwirtschaft</t>
        </is>
      </c>
      <c r="H54" s="19" t="inlineStr">
        <is>
          <t>IT; Land; Gesundheit; Gesundheitsversorgung; Prävention; Versorgung</t>
        </is>
      </c>
      <c r="I54" s="19" t="n">
        <v>6</v>
      </c>
      <c r="J54" s="19" t="inlineStr">
        <is>
          <t>Gesundheitsversorgung und Prävention (4)</t>
        </is>
      </c>
      <c r="K54" s="19" t="inlineStr">
        <is>
          <t>Static profile activates 3 keyword family/families: KI / Digital, Nachhaltigkeit / Klima / Energie, Gesundheit / Pflege / Sozialwirtschaft.</t>
        </is>
      </c>
      <c r="L54" s="19" t="inlineStr">
        <is>
          <t>Use as convening/context partner for health/social-sector opportunity anchor.</t>
        </is>
      </c>
      <c r="M54" s="19" t="inlineStr">
        <is>
          <t>https://www.zirp.de/die-zirp/mitglieder/</t>
        </is>
      </c>
      <c r="N54" s="19" t="inlineStr">
        <is>
          <t>Keyword search over existing static ZIRP member fields in this workbook, designed to mirror/search official ZIRP profile info boxes.</t>
        </is>
      </c>
    </row>
    <row r="55">
      <c r="A55" s="19" t="n">
        <v>54</v>
      </c>
      <c r="B55" s="19" t="inlineStr">
        <is>
          <t>Kassenärztliche Vereinigung Rheinland-Pfalz</t>
        </is>
      </c>
      <c r="C55" s="19" t="inlineStr">
        <is>
          <t>https://www.kv-rlp.de</t>
        </is>
      </c>
      <c r="D55" s="19" t="inlineStr">
        <is>
          <t>context_actor</t>
        </is>
      </c>
      <c r="E55" t="inlineStr">
        <is>
          <t>health_social_anchor</t>
        </is>
      </c>
      <c r="F55" s="19" t="inlineStr">
        <is>
          <t>Kassenärztliche Vereinigung Rheinland-Pfalz | context_actor | gesellschaft | Gesundheitsversorgung und Prävention (5); Pflege, Fachkräfte und Sozialwirtschaft (4)</t>
        </is>
      </c>
      <c r="G55" s="19" t="inlineStr">
        <is>
          <t>KI / Digital; Nachhaltigkeit / Klima / Energie; Gesundheit / Pflege / Sozialwirtschaft; Fachkräfte / Arbeit / Qualifizierung; Wirtschaft / Mittelstand / Standort</t>
        </is>
      </c>
      <c r="H55" s="19" t="inlineStr">
        <is>
          <t>IT; Land; Gesundheit; Gesundheitsversorgung; Pflege; Sozialwirtschaft; Prävention; Versorgung; Fachkräfte; Wirtschaft</t>
        </is>
      </c>
      <c r="I55" s="19" t="n">
        <v>10</v>
      </c>
      <c r="J55" s="19" t="inlineStr">
        <is>
          <t>Gesundheitsversorgung und Prävention (5)</t>
        </is>
      </c>
      <c r="K55" s="19" t="inlineStr">
        <is>
          <t>Static profile activates 5 keyword family/families: KI / Digital, Nachhaltigkeit / Klima / Energie, Gesundheit / Pflege / Sozialwirtschaft, Fachkräfte / Arbeit / Qualifizierung, Wirtschaft / Mittelstand / Standort.</t>
        </is>
      </c>
      <c r="L55" s="19" t="inlineStr">
        <is>
          <t>Use as convening/context partner for health/social-sector opportunity anchor.</t>
        </is>
      </c>
      <c r="M55" s="19" t="inlineStr">
        <is>
          <t>https://www.zirp.de/die-zirp/mitglieder/</t>
        </is>
      </c>
      <c r="N55" s="19" t="inlineStr">
        <is>
          <t>Keyword search over existing static ZIRP member fields in this workbook, designed to mirror/search official ZIRP profile info boxes.</t>
        </is>
      </c>
    </row>
    <row r="56">
      <c r="A56" s="19" t="n">
        <v>55</v>
      </c>
      <c r="B56" s="19" t="inlineStr">
        <is>
          <t>Katholische Hochschule Mainz</t>
        </is>
      </c>
      <c r="C56" s="19" t="inlineStr">
        <is>
          <t>https://www.kh-mz.de</t>
        </is>
      </c>
      <c r="D56" s="19" t="inlineStr">
        <is>
          <t>academic_support</t>
        </is>
      </c>
      <c r="E56" t="inlineStr">
        <is>
          <t>university_applied_sciences</t>
        </is>
      </c>
      <c r="F56" s="19" t="inlineStr">
        <is>
          <t>Katholische Hochschule Mainz | academic_support | gesellschaft, wirtschaft, wissen | Pflege, Fachkräfte und Sozialwirtschaft (5); Arbeitsmarkt, Fachkräfte und Qualifizierung (4); Demokratie, Medien und gesellschaftlicher Zusammenhalt (4); Teilhabe, Inklusion und Arbeitsmarkt (4); Weiterbildung und lebenslanges Lernen (4)</t>
        </is>
      </c>
      <c r="G56" s="19" t="inlineStr">
        <is>
          <t>KI / Digital; Innovation / Transfer; Gesundheit / Pflege / Sozialwirtschaft; Fachkräfte / Arbeit / Qualifizierung; Wirtschaft / Mittelstand / Standort; Wissenschaft / Bildung / Hochschule; Dialog / Netzwerk / Verantwortung; Kultur / Medien / Öffentlichkeit</t>
        </is>
      </c>
      <c r="H56" s="19" t="inlineStr">
        <is>
          <t>IT; Wissen; Pflege; Sozialwirtschaft; Teilhabe; Fachkräfte; Qualifizierung; Weiterbildung; Arbeitsmarkt; lebenslanges Lernen; Wirtschaft; Hochschule; Bildung; gesellschaftlich; Zusammenhalt; Medien; Demokratie</t>
        </is>
      </c>
      <c r="I56" s="19" t="n">
        <v>17</v>
      </c>
      <c r="J56" s="19" t="inlineStr">
        <is>
          <t>Pflege, Fachkräfte und Sozialwirtschaft (5)</t>
        </is>
      </c>
      <c r="K56" s="19" t="inlineStr">
        <is>
          <t>Static profile activates 8 keyword family/families: KI / Digital, Innovation / Transfer, Gesundheit / Pflege / Sozialwirtschaft, Fachkräfte / Arbeit / Qualifizierung, Wirtschaft / Mittelstand / Standort, Wissenschaft / Bildung / Hochschule, Dialog / Netzwerk / Verantwortung, Kultur / Medien / Öffentlichkeit.</t>
        </is>
      </c>
      <c r="L56" s="19" t="inlineStr">
        <is>
          <t>Use as evidence, research or transfer partner for health/social-sector opportunity anchor.</t>
        </is>
      </c>
      <c r="M56" s="19" t="inlineStr">
        <is>
          <t>https://www.zirp.de/die-zirp/mitglieder/</t>
        </is>
      </c>
      <c r="N56" s="19" t="inlineStr">
        <is>
          <t>Keyword search over existing static ZIRP member fields in this workbook, designed to mirror/search official ZIRP profile info boxes.</t>
        </is>
      </c>
    </row>
    <row r="57">
      <c r="A57" s="19" t="n">
        <v>56</v>
      </c>
      <c r="B57" s="19" t="inlineStr">
        <is>
          <t>KPMG AG Wirtschaftsprüfungsgesellschaft</t>
        </is>
      </c>
      <c r="C57" s="19" t="inlineStr">
        <is>
          <t>https://kpmg.com/de/de/home</t>
        </is>
      </c>
      <c r="D57" s="19" t="inlineStr">
        <is>
          <t>profit_anchor</t>
        </is>
      </c>
      <c r="E57" t="inlineStr">
        <is>
          <t>professional_services_anchor</t>
        </is>
      </c>
      <c r="F57" s="19" t="inlineStr">
        <is>
          <t>KPMG AG Wirtschaftsprüfungsgesellschaft | profit_anchor | wirtschaft | Finanzierung und Förderung von Transformation (4); Standort, Investition und industrielle Transformation (4)</t>
        </is>
      </c>
      <c r="G57" s="19" t="inlineStr">
        <is>
          <t>KI / Digital; Wirtschaft / Mittelstand / Standort</t>
        </is>
      </c>
      <c r="H57" s="19" t="inlineStr">
        <is>
          <t>IT; Wirtschaft; Standort; Industrie; Investition; Transformation; Förderung; Finanzierung</t>
        </is>
      </c>
      <c r="I57" s="19" t="n">
        <v>8</v>
      </c>
      <c r="J57" s="19" t="inlineStr">
        <is>
          <t>Finanzierung und Förderung von Transformation (4)</t>
        </is>
      </c>
      <c r="K57" s="19" t="inlineStr">
        <is>
          <t>Static profile activates 2 keyword family/families: KI / Digital, Wirtschaft / Mittelstand / Standort.</t>
        </is>
      </c>
      <c r="L57" s="19" t="inlineStr">
        <is>
          <t>Use as implementation/commercial partner for digitalization / data / technology opportunity anchor.</t>
        </is>
      </c>
      <c r="M57" s="19" t="inlineStr">
        <is>
          <t>https://www.zirp.de/die-zirp/mitglieder/</t>
        </is>
      </c>
      <c r="N57" s="19" t="inlineStr">
        <is>
          <t>Keyword search over existing static ZIRP member fields in this workbook, designed to mirror/search official ZIRP profile info boxes.</t>
        </is>
      </c>
    </row>
    <row r="58">
      <c r="A58" s="19" t="n">
        <v>57</v>
      </c>
      <c r="B58" s="19" t="inlineStr">
        <is>
          <t>KSB AG</t>
        </is>
      </c>
      <c r="C58" s="19" t="inlineStr">
        <is>
          <t>https://www.ksb.com</t>
        </is>
      </c>
      <c r="D58" s="19" t="inlineStr">
        <is>
          <t>profit_anchor</t>
        </is>
      </c>
      <c r="E58" t="inlineStr">
        <is>
          <t>industry_anchor</t>
        </is>
      </c>
      <c r="F58" s="19" t="inlineStr">
        <is>
          <t>KSB AG | profit_anchor | nachhaltigkeit, technologie, wirtschaft | Wasser, Umwelttechnik und kommunale Resilienz (5); Cyberresilienz und kritische Infrastruktur (4); Industrie 4.0, Automatisierung und Produktion (4); Standort, Investition und industrielle Transformation (4)</t>
        </is>
      </c>
      <c r="G58" s="19" t="inlineStr">
        <is>
          <t>KI / Digital; Nachhaltigkeit / Klima / Energie; Bau / Raum / Infrastruktur; Wirtschaft / Mittelstand / Standort</t>
        </is>
      </c>
      <c r="H58" s="19" t="inlineStr">
        <is>
          <t>IT; Technologie; Cyber; Automatisierung; Industrie 4.0; Nachhaltigkeit; nachhaltig; Umwelt; Infrastruktur; Wirtschaft; Standort; Industrie; Investition; Transformation</t>
        </is>
      </c>
      <c r="I58" s="19" t="n">
        <v>14</v>
      </c>
      <c r="J58" s="19" t="inlineStr">
        <is>
          <t>Wasser, Umwelttechnik und kommunale Resilienz (5)</t>
        </is>
      </c>
      <c r="K58" s="19" t="inlineStr">
        <is>
          <t>Static profile activates 4 keyword family/families: KI / Digital, Nachhaltigkeit / Klima / Energie, Bau / Raum / Infrastruktur, Wirtschaft / Mittelstand / Standort.</t>
        </is>
      </c>
      <c r="L58" s="19" t="inlineStr">
        <is>
          <t>Use as implementation/commercial partner for digitalization / data / technology opportunity anchor.</t>
        </is>
      </c>
      <c r="M58" s="19" t="inlineStr">
        <is>
          <t>https://www.zirp.de/die-zirp/mitglieder/</t>
        </is>
      </c>
      <c r="N58" s="19" t="inlineStr">
        <is>
          <t>Keyword search over existing static ZIRP member fields in this workbook, designed to mirror/search official ZIRP profile info boxes.</t>
        </is>
      </c>
    </row>
    <row r="59">
      <c r="A59" s="19" t="n">
        <v>58</v>
      </c>
      <c r="B59" s="19" t="inlineStr">
        <is>
          <t>KÜBLER GmbH</t>
        </is>
      </c>
      <c r="C59" s="19" t="inlineStr">
        <is>
          <t>https://www.kuebler-hallenheizungen.de</t>
        </is>
      </c>
      <c r="D59" s="19" t="inlineStr">
        <is>
          <t>profit_anchor</t>
        </is>
      </c>
      <c r="E59" t="inlineStr">
        <is>
          <t>energy_infrastructure_anchor</t>
        </is>
      </c>
      <c r="F59" s="19" t="inlineStr">
        <is>
          <t>KÜBLER GmbH | profit_anchor | nachhaltigkeit, technologie, wirtschaft | Energie, Netze und Versorgungssicherheit (4); Industrie 4.0, Automatisierung und Produktion (3); Mittelstand, Digitalisierung und Produktivität (3)</t>
        </is>
      </c>
      <c r="G59" s="19" t="inlineStr">
        <is>
          <t>KI / Digital; Nachhaltigkeit / Klima / Energie; Gesundheit / Pflege / Sozialwirtschaft; Fachkräfte / Arbeit / Qualifizierung; Wirtschaft / Mittelstand / Standort</t>
        </is>
      </c>
      <c r="H59" s="19" t="inlineStr">
        <is>
          <t>Digitalisierung; digital; IT; Technologie; Automatisierung; Industrie 4.0; Nachhaltigkeit; nachhaltig; Energie; Netze; Versorgungssicherheit; Versorgung; Produktivität; Wirtschaft; Mittelstand; Industrie</t>
        </is>
      </c>
      <c r="I59" s="19" t="n">
        <v>16</v>
      </c>
      <c r="J59" s="19" t="inlineStr">
        <is>
          <t>Energie, Netze und Versorgungssicherheit (4)</t>
        </is>
      </c>
      <c r="K59" s="19" t="inlineStr">
        <is>
          <t>Static profile activates 5 keyword family/families: KI / Digital, Nachhaltigkeit / Klima / Energie, Gesundheit / Pflege / Sozialwirtschaft, Fachkräfte / Arbeit / Qualifizierung, Wirtschaft / Mittelstand / Standort.</t>
        </is>
      </c>
      <c r="L59" s="19" t="inlineStr">
        <is>
          <t>Use as implementation/commercial partner for health/social-sector opportunity anchor.</t>
        </is>
      </c>
      <c r="M59" s="19" t="inlineStr">
        <is>
          <t>https://www.zirp.de/die-zirp/mitglieder/</t>
        </is>
      </c>
      <c r="N59" s="19" t="inlineStr">
        <is>
          <t>Keyword search over existing static ZIRP member fields in this workbook, designed to mirror/search official ZIRP profile info boxes.</t>
        </is>
      </c>
    </row>
    <row r="60">
      <c r="A60" s="19" t="n">
        <v>59</v>
      </c>
      <c r="B60" s="19" t="inlineStr">
        <is>
          <t>L Q M Marktforschung GmbH</t>
        </is>
      </c>
      <c r="C60" s="19" t="n"/>
      <c r="D60" s="19" t="inlineStr">
        <is>
          <t>profit_anchor</t>
        </is>
      </c>
      <c r="E60" t="inlineStr">
        <is>
          <t>professional_services_anchor</t>
        </is>
      </c>
      <c r="F60" s="19" t="inlineStr">
        <is>
          <t xml:space="preserve">L Q M Marktforschung GmbH | profit_anchor |  | </t>
        </is>
      </c>
      <c r="G60" s="19" t="inlineStr">
        <is>
          <t>KI / Digital; Innovation / Transfer</t>
        </is>
      </c>
      <c r="H60" s="19" t="inlineStr">
        <is>
          <t>IT; Forschung</t>
        </is>
      </c>
      <c r="I60" s="19" t="n">
        <v>2</v>
      </c>
      <c r="J60" s="19" t="str"/>
      <c r="K60" s="19" t="inlineStr">
        <is>
          <t>Static profile activates 2 keyword family/families: KI / Digital, Innovation / Transfer.</t>
        </is>
      </c>
      <c r="L60" s="19" t="inlineStr">
        <is>
          <t>Use as implementation/commercial partner for digitalization / data / technology opportunity anchor.</t>
        </is>
      </c>
      <c r="M60" s="19" t="inlineStr">
        <is>
          <t>https://www.zirp.de/die-zirp/mitglieder/</t>
        </is>
      </c>
      <c r="N60" s="19" t="inlineStr">
        <is>
          <t>Keyword search over existing static ZIRP member fields in this workbook, designed to mirror/search official ZIRP profile info boxes.</t>
        </is>
      </c>
    </row>
    <row r="61">
      <c r="A61" s="19" t="n">
        <v>60</v>
      </c>
      <c r="B61" s="19" t="inlineStr">
        <is>
          <t>Landesbank Baden-Württemberg (LBBW)</t>
        </is>
      </c>
      <c r="C61" s="19" t="inlineStr">
        <is>
          <t>https://www.lbbw.de</t>
        </is>
      </c>
      <c r="D61" s="19" t="inlineStr">
        <is>
          <t>profit_anchor</t>
        </is>
      </c>
      <c r="E61" t="inlineStr">
        <is>
          <t>bank_finance_anchor</t>
        </is>
      </c>
      <c r="F61" s="19" t="inlineStr">
        <is>
          <t>Landesbank Baden-Württemberg (LBBW) | profit_anchor | nachhaltigkeit, technologie, wirtschaft | Finanzierung und Förderung von Transformation (5); Standort, Investition und industrielle Transformation (5); Cyberresilienz und kritische Infrastruktur (4); Energie, Netze und Versorgungssicherheit (3)</t>
        </is>
      </c>
      <c r="G61" s="19" t="inlineStr">
        <is>
          <t>KI / Digital; Nachhaltigkeit / Klima / Energie; Gesundheit / Pflege / Sozialwirtschaft; Bau / Raum / Infrastruktur; Wirtschaft / Mittelstand / Standort</t>
        </is>
      </c>
      <c r="H61" s="19" t="inlineStr">
        <is>
          <t>IT; Technologie; Cyber; Nachhaltigkeit; nachhaltig; Energie; Netze; Versorgungssicherheit; Land; Versorgung; Infrastruktur; Wirtschaft; Standort; Industrie; Investition; Transformation; Förderung; Finanzierung</t>
        </is>
      </c>
      <c r="I61" s="19" t="n">
        <v>18</v>
      </c>
      <c r="J61" s="19" t="inlineStr">
        <is>
          <t>Finanzierung und Förderung von Transformation (5)</t>
        </is>
      </c>
      <c r="K61" s="19" t="inlineStr">
        <is>
          <t>Static profile activates 5 keyword family/families: KI / Digital, Nachhaltigkeit / Klima / Energie, Gesundheit / Pflege / Sozialwirtschaft, Bau / Raum / Infrastruktur, Wirtschaft / Mittelstand / Standort.</t>
        </is>
      </c>
      <c r="L61" s="19" t="inlineStr">
        <is>
          <t>Use as implementation/commercial partner for health/social-sector opportunity anchor.</t>
        </is>
      </c>
      <c r="M61" s="19" t="inlineStr">
        <is>
          <t>https://www.zirp.de/die-zirp/mitglieder/</t>
        </is>
      </c>
      <c r="N61" s="19" t="inlineStr">
        <is>
          <t>Keyword search over existing static ZIRP member fields in this workbook, designed to mirror/search official ZIRP profile info boxes.</t>
        </is>
      </c>
    </row>
    <row r="62">
      <c r="A62" s="19" t="n">
        <v>61</v>
      </c>
      <c r="B62" s="19" t="inlineStr">
        <is>
          <t>LandesPsychotherapeutenKammer Rheinland-Pfalz</t>
        </is>
      </c>
      <c r="C62" s="19" t="inlineStr">
        <is>
          <t>https://www.lpk-rlp.de</t>
        </is>
      </c>
      <c r="D62" s="19" t="inlineStr">
        <is>
          <t>implementation_anchor</t>
        </is>
      </c>
      <c r="E62" t="inlineStr">
        <is>
          <t>health_social_anchor</t>
        </is>
      </c>
      <c r="F62" s="19" t="inlineStr">
        <is>
          <t>LandesPsychotherapeutenKammer Rheinland-Pfalz | implementation_anchor | gesellschaft | Gesundheitsversorgung und Prävention (4); Pflege, Fachkräfte und Sozialwirtschaft (4)</t>
        </is>
      </c>
      <c r="G62" s="19" t="inlineStr">
        <is>
          <t>KI / Digital; Nachhaltigkeit / Klima / Energie; Gesundheit / Pflege / Sozialwirtschaft; Fachkräfte / Arbeit / Qualifizierung; Wirtschaft / Mittelstand / Standort</t>
        </is>
      </c>
      <c r="H62" s="19" t="inlineStr">
        <is>
          <t>IT; Land; Gesundheit; Gesundheitsversorgung; Pflege; Sozialwirtschaft; Prävention; Versorgung; Fachkräfte; Wirtschaft</t>
        </is>
      </c>
      <c r="I62" s="19" t="n">
        <v>10</v>
      </c>
      <c r="J62" s="19" t="inlineStr">
        <is>
          <t>Gesundheitsversorgung und Prävention (4)</t>
        </is>
      </c>
      <c r="K62" s="19" t="inlineStr">
        <is>
          <t>Static profile activates 5 keyword family/families: KI / Digital, Nachhaltigkeit / Klima / Energie, Gesundheit / Pflege / Sozialwirtschaft, Fachkräfte / Arbeit / Qualifizierung, Wirtschaft / Mittelstand / Standort.</t>
        </is>
      </c>
      <c r="L62" s="19" t="inlineStr">
        <is>
          <t>Use as institutional implementation partner for health/social-sector opportunity anchor.</t>
        </is>
      </c>
      <c r="M62" s="19" t="inlineStr">
        <is>
          <t>https://www.zirp.de/die-zirp/mitglieder/</t>
        </is>
      </c>
      <c r="N62" s="19" t="inlineStr">
        <is>
          <t>Keyword search over existing static ZIRP member fields in this workbook, designed to mirror/search official ZIRP profile info boxes.</t>
        </is>
      </c>
    </row>
    <row r="63">
      <c r="A63" s="19" t="n">
        <v>62</v>
      </c>
      <c r="B63" s="19" t="inlineStr">
        <is>
          <t>Landesärztekammer Rheinland-Pfalz</t>
        </is>
      </c>
      <c r="C63" s="19" t="inlineStr">
        <is>
          <t>https://www.laek-rlp.de</t>
        </is>
      </c>
      <c r="D63" s="19" t="inlineStr">
        <is>
          <t>implementation_anchor</t>
        </is>
      </c>
      <c r="E63" t="inlineStr">
        <is>
          <t>health_social_anchor</t>
        </is>
      </c>
      <c r="F63" s="19" t="inlineStr">
        <is>
          <t>Landesärztekammer Rheinland-Pfalz | implementation_anchor | gesellschaft | Gesundheitsversorgung und Prävention (5); Pflege, Fachkräfte und Sozialwirtschaft (4)</t>
        </is>
      </c>
      <c r="G63" s="19" t="inlineStr">
        <is>
          <t>KI / Digital; Nachhaltigkeit / Klima / Energie; Gesundheit / Pflege / Sozialwirtschaft; Fachkräfte / Arbeit / Qualifizierung; Wirtschaft / Mittelstand / Standort</t>
        </is>
      </c>
      <c r="H63" s="19" t="inlineStr">
        <is>
          <t>IT; Land; Gesundheit; Gesundheitsversorgung; Pflege; Sozialwirtschaft; Prävention; Versorgung; Fachkräfte; Wirtschaft</t>
        </is>
      </c>
      <c r="I63" s="19" t="n">
        <v>10</v>
      </c>
      <c r="J63" s="19" t="inlineStr">
        <is>
          <t>Gesundheitsversorgung und Prävention (5)</t>
        </is>
      </c>
      <c r="K63" s="19" t="inlineStr">
        <is>
          <t>Static profile activates 5 keyword family/families: KI / Digital, Nachhaltigkeit / Klima / Energie, Gesundheit / Pflege / Sozialwirtschaft, Fachkräfte / Arbeit / Qualifizierung, Wirtschaft / Mittelstand / Standort.</t>
        </is>
      </c>
      <c r="L63" s="19" t="inlineStr">
        <is>
          <t>Use as institutional implementation partner for health/social-sector opportunity anchor.</t>
        </is>
      </c>
      <c r="M63" s="19" t="inlineStr">
        <is>
          <t>https://www.zirp.de/die-zirp/mitglieder/</t>
        </is>
      </c>
      <c r="N63" s="19" t="inlineStr">
        <is>
          <t>Keyword search over existing static ZIRP member fields in this workbook, designed to mirror/search official ZIRP profile info boxes.</t>
        </is>
      </c>
    </row>
    <row r="64">
      <c r="A64" s="19" t="n">
        <v>63</v>
      </c>
      <c r="B64" s="19" t="inlineStr">
        <is>
          <t>Landkreistag Rheinland-Pfalz</t>
        </is>
      </c>
      <c r="C64" s="19" t="inlineStr">
        <is>
          <t>https://www.landkreistag.rlp.de</t>
        </is>
      </c>
      <c r="D64" s="19" t="inlineStr">
        <is>
          <t>context_actor</t>
        </is>
      </c>
      <c r="E64" t="inlineStr">
        <is>
          <t>public_policy_anchor</t>
        </is>
      </c>
      <c r="F64" s="19" t="inlineStr">
        <is>
          <t>Landkreistag Rheinland-Pfalz | context_actor | nachhaltigkeit, technologie, wissen | Digitale Bau-, Planungs- und Genehmigungsprozesse (5); Klimaanpassung in Stadt und Land (5); Kreislaufwirtschaft, Bau und Ersatzbaustoffverordnung (5); Verwaltungswissen und digitale Umsetzung (5); Cyberresilienz und kritische Infrastruktur (4)</t>
        </is>
      </c>
      <c r="G64" s="19" t="inlineStr">
        <is>
          <t>KI / Digital; Innovation / Transfer; Nachhaltigkeit / Klima / Energie; Bau / Raum / Infrastruktur; Wirtschaft / Mittelstand / Standort; Wissenschaft / Bildung / Hochschule</t>
        </is>
      </c>
      <c r="H64" s="19" t="inlineStr">
        <is>
          <t>digital; IT; Technologie; Cyber; Verwaltung; Wissen; Nachhaltigkeit; nachhaltig; Klima; Klimaanpassung; Kreislauf; Ersatzbaustoff; Land; Stadt; Bau; Infrastruktur; Planung; Genehmigung; Wirtschaft</t>
        </is>
      </c>
      <c r="I64" s="19" t="n">
        <v>19</v>
      </c>
      <c r="J64" s="19" t="inlineStr">
        <is>
          <t>Digitale Bau-, Planungs- und Genehmigungsprozesse (5)</t>
        </is>
      </c>
      <c r="K64" s="19" t="inlineStr">
        <is>
          <t>Static profile activates 6 keyword family/families: KI / Digital, Innovation / Transfer, Nachhaltigkeit / Klima / Energie, Bau / Raum / Infrastruktur, Wirtschaft / Mittelstand / Standort, Wissenschaft / Bildung / Hochschule.</t>
        </is>
      </c>
      <c r="L64" s="19" t="inlineStr">
        <is>
          <t>Use as convening/context partner for digitalization / data / technology opportunity anchor.</t>
        </is>
      </c>
      <c r="M64" s="19" t="inlineStr">
        <is>
          <t>https://www.zirp.de/die-zirp/mitglieder/</t>
        </is>
      </c>
      <c r="N64" s="19" t="inlineStr">
        <is>
          <t>Keyword search over existing static ZIRP member fields in this workbook, designed to mirror/search official ZIRP profile info boxes.</t>
        </is>
      </c>
    </row>
    <row r="65">
      <c r="A65" s="19" t="n">
        <v>64</v>
      </c>
      <c r="B65" s="19" t="inlineStr">
        <is>
          <t>Leonardo PersonalKonzept GmbH</t>
        </is>
      </c>
      <c r="C65" s="19" t="inlineStr">
        <is>
          <t>https://www.leonardo-personal.de</t>
        </is>
      </c>
      <c r="D65" s="19" t="inlineStr">
        <is>
          <t>profit_anchor</t>
        </is>
      </c>
      <c r="E65" t="inlineStr">
        <is>
          <t>professional_services_anchor</t>
        </is>
      </c>
      <c r="F65" s="19" t="inlineStr">
        <is>
          <t>Leonardo PersonalKonzept GmbH | profit_anchor | gesellschaft, wirtschaft, wissen | Arbeitsmarkt, Fachkräfte und Qualifizierung (4); Teilhabe, Inklusion und Arbeitsmarkt (4); Pflege, Fachkräfte und Sozialwirtschaft (3); Weiterbildung und lebenslanges Lernen (3)</t>
        </is>
      </c>
      <c r="G65" s="19" t="inlineStr">
        <is>
          <t>KI / Digital; Innovation / Transfer; Gesundheit / Pflege / Sozialwirtschaft; Fachkräfte / Arbeit / Qualifizierung; Wirtschaft / Mittelstand / Standort; Wissenschaft / Bildung / Hochschule</t>
        </is>
      </c>
      <c r="H65" s="19" t="inlineStr">
        <is>
          <t>IT; Wissen; Pflege; Sozialwirtschaft; Teilhabe; Fachkräfte; Qualifizierung; Weiterbildung; Arbeitsmarkt; Personal; lebenslanges Lernen; Wirtschaft; Bildung</t>
        </is>
      </c>
      <c r="I65" s="19" t="n">
        <v>13</v>
      </c>
      <c r="J65" s="19" t="inlineStr">
        <is>
          <t>Arbeitsmarkt, Fachkräfte und Qualifizierung (4)</t>
        </is>
      </c>
      <c r="K65" s="19" t="inlineStr">
        <is>
          <t>Static profile activates 6 keyword family/families: KI / Digital, Innovation / Transfer, Gesundheit / Pflege / Sozialwirtschaft, Fachkräfte / Arbeit / Qualifizierung, Wirtschaft / Mittelstand / Standort, Wissenschaft / Bildung / Hochschule.</t>
        </is>
      </c>
      <c r="L65" s="19" t="inlineStr">
        <is>
          <t>Use as implementation/commercial partner for health/social-sector opportunity anchor.</t>
        </is>
      </c>
      <c r="M65" s="19" t="inlineStr">
        <is>
          <t>https://www.zirp.de/die-zirp/mitglieder/</t>
        </is>
      </c>
      <c r="N65" s="19" t="inlineStr">
        <is>
          <t>Keyword search over existing static ZIRP member fields in this workbook, designed to mirror/search official ZIRP profile info boxes.</t>
        </is>
      </c>
    </row>
    <row r="66">
      <c r="A66" s="19" t="n">
        <v>65</v>
      </c>
      <c r="B66" s="19" t="inlineStr">
        <is>
          <t>Licharz GmbH</t>
        </is>
      </c>
      <c r="C66" s="19" t="inlineStr">
        <is>
          <t>https://www.licharz.com</t>
        </is>
      </c>
      <c r="D66" s="19" t="inlineStr">
        <is>
          <t>profit_anchor</t>
        </is>
      </c>
      <c r="E66" t="inlineStr">
        <is>
          <t>industry_anchor</t>
        </is>
      </c>
      <c r="F66" s="19" t="inlineStr">
        <is>
          <t>Licharz GmbH | profit_anchor | technologie, wirtschaft | Industrie 4.0, Automatisierung und Produktion (3); Mittelstand, Digitalisierung und Produktivität (3)</t>
        </is>
      </c>
      <c r="G66" s="19" t="inlineStr">
        <is>
          <t>KI / Digital; Fachkräfte / Arbeit / Qualifizierung; Wirtschaft / Mittelstand / Standort</t>
        </is>
      </c>
      <c r="H66" s="19" t="inlineStr">
        <is>
          <t>Digitalisierung; digital; IT; Technologie; Automatisierung; Industrie 4.0; Produktivität; Wirtschaft; Mittelstand; Industrie</t>
        </is>
      </c>
      <c r="I66" s="19" t="n">
        <v>10</v>
      </c>
      <c r="J66" s="19" t="inlineStr">
        <is>
          <t>Industrie 4.0, Automatisierung und Produktion (3)</t>
        </is>
      </c>
      <c r="K66" s="19" t="inlineStr">
        <is>
          <t>Static profile activates 3 keyword family/families: KI / Digital, Fachkräfte / Arbeit / Qualifizierung, Wirtschaft / Mittelstand / Standort.</t>
        </is>
      </c>
      <c r="L66" s="19" t="inlineStr">
        <is>
          <t>Use as implementation/commercial partner for digitalization / data / technology opportunity anchor.</t>
        </is>
      </c>
      <c r="M66" s="19" t="inlineStr">
        <is>
          <t>https://www.zirp.de/die-zirp/mitglieder/</t>
        </is>
      </c>
      <c r="N66" s="19" t="inlineStr">
        <is>
          <t>Keyword search over existing static ZIRP member fields in this workbook, designed to mirror/search official ZIRP profile info boxes.</t>
        </is>
      </c>
    </row>
    <row r="67">
      <c r="A67" s="19" t="n">
        <v>66</v>
      </c>
      <c r="B67" s="19" t="inlineStr">
        <is>
          <t>LOTTO Rheinland-Pfalz GmbH</t>
        </is>
      </c>
      <c r="C67" s="19" t="inlineStr">
        <is>
          <t>https://www.lotto-rlp.de</t>
        </is>
      </c>
      <c r="D67" s="19" t="inlineStr">
        <is>
          <t>profit_anchor</t>
        </is>
      </c>
      <c r="E67" t="inlineStr">
        <is>
          <t>culture_foundation_anchor</t>
        </is>
      </c>
      <c r="F67" s="19" t="inlineStr">
        <is>
          <t>LOTTO Rheinland-Pfalz GmbH | profit_anchor | gesellschaft, kultur | Sport, Region und gesellschaftliche Identifikation (4); Kultur, Standortidentität und regionale Attraktivität (3); Talentförderung, Musik und Nachwuchs (3)</t>
        </is>
      </c>
      <c r="G67" s="19" t="inlineStr">
        <is>
          <t>KI / Digital; Nachhaltigkeit / Klima / Energie; Wirtschaft / Mittelstand / Standort; Dialog / Netzwerk / Verantwortung; Kultur / Medien / Öffentlichkeit</t>
        </is>
      </c>
      <c r="H67" s="19" t="inlineStr">
        <is>
          <t>IT; Land; Standort; Förderung; gesellschaftlich; Kultur; Musik; Standortidentität; Region; gesellschaftliche Identifikation</t>
        </is>
      </c>
      <c r="I67" s="19" t="n">
        <v>10</v>
      </c>
      <c r="J67" s="19" t="inlineStr">
        <is>
          <t>Sport, Region und gesellschaftliche Identifikation (4)</t>
        </is>
      </c>
      <c r="K67" s="19" t="inlineStr">
        <is>
          <t>Static profile activates 5 keyword family/families: KI / Digital, Nachhaltigkeit / Klima / Energie, Wirtschaft / Mittelstand / Standort, Dialog / Netzwerk / Verantwortung, Kultur / Medien / Öffentlichkeit.</t>
        </is>
      </c>
      <c r="L67" s="19" t="inlineStr">
        <is>
          <t>Use as implementation/commercial partner for digitalization / data / technology opportunity anchor.</t>
        </is>
      </c>
      <c r="M67" s="19" t="inlineStr">
        <is>
          <t>https://www.zirp.de/die-zirp/mitglieder/</t>
        </is>
      </c>
      <c r="N67" s="19" t="inlineStr">
        <is>
          <t>Keyword search over existing static ZIRP member fields in this workbook, designed to mirror/search official ZIRP profile info boxes.</t>
        </is>
      </c>
    </row>
    <row r="68">
      <c r="A68" s="19" t="n">
        <v>67</v>
      </c>
      <c r="B68" s="19" t="inlineStr">
        <is>
          <t>LÖWEN ENTERTAINMENT GmbH</t>
        </is>
      </c>
      <c r="C68" s="19" t="inlineStr">
        <is>
          <t>https://www.loewen.de</t>
        </is>
      </c>
      <c r="D68" s="19" t="inlineStr">
        <is>
          <t>profit_anchor</t>
        </is>
      </c>
      <c r="E68" t="inlineStr">
        <is>
          <t>technology_digital_anchor</t>
        </is>
      </c>
      <c r="F68" s="19" t="inlineStr">
        <is>
          <t xml:space="preserve">LÖWEN ENTERTAINMENT GmbH | profit_anchor |  | </t>
        </is>
      </c>
      <c r="G68" s="19" t="inlineStr">
        <is>
          <t>KI / Digital</t>
        </is>
      </c>
      <c r="H68" s="19" t="inlineStr">
        <is>
          <t>IT</t>
        </is>
      </c>
      <c r="I68" s="19" t="n">
        <v>1</v>
      </c>
      <c r="J68" s="19" t="str"/>
      <c r="K68" s="19" t="inlineStr">
        <is>
          <t>Static profile activates 1 keyword family/families: KI / Digital.</t>
        </is>
      </c>
      <c r="L68" s="19" t="inlineStr">
        <is>
          <t>Use as implementation/commercial partner for digitalization / data / technology opportunity anchor.</t>
        </is>
      </c>
      <c r="M68" s="19" t="inlineStr">
        <is>
          <t>https://www.zirp.de/die-zirp/mitglieder/</t>
        </is>
      </c>
      <c r="N68" s="19" t="inlineStr">
        <is>
          <t>Keyword search over existing static ZIRP member fields in this workbook, designed to mirror/search official ZIRP profile info boxes.</t>
        </is>
      </c>
    </row>
    <row r="69">
      <c r="A69" s="19" t="n">
        <v>68</v>
      </c>
      <c r="B69" s="19" t="inlineStr">
        <is>
          <t>Mainzer Stadtwerke AG</t>
        </is>
      </c>
      <c r="C69" s="19" t="inlineStr">
        <is>
          <t>https://www.mainzer-stadtwerke.de</t>
        </is>
      </c>
      <c r="D69" s="19" t="inlineStr">
        <is>
          <t>profit_anchor</t>
        </is>
      </c>
      <c r="E69" t="inlineStr">
        <is>
          <t>energy_infrastructure_anchor</t>
        </is>
      </c>
      <c r="F69" s="19" t="inlineStr">
        <is>
          <t>Mainzer Stadtwerke AG | profit_anchor | nachhaltigkeit, technologie | Cyberresilienz und kritische Infrastruktur (5); Energie, Netze und Versorgungssicherheit (5); Klimaanpassung in Stadt und Land (4); Wasser, Umwelttechnik und kommunale Resilienz (4)</t>
        </is>
      </c>
      <c r="G69" s="19" t="inlineStr">
        <is>
          <t>KI / Digital; Nachhaltigkeit / Klima / Energie; Gesundheit / Pflege / Sozialwirtschaft; Bau / Raum / Infrastruktur</t>
        </is>
      </c>
      <c r="H69" s="19" t="inlineStr">
        <is>
          <t>IT; Technologie; Cyber; Nachhaltigkeit; nachhaltig; Klima; Klimaanpassung; Umwelt; Energie; Netze; Versorgungssicherheit; Land; Stadt; Versorgung; Infrastruktur</t>
        </is>
      </c>
      <c r="I69" s="19" t="n">
        <v>15</v>
      </c>
      <c r="J69" s="19" t="inlineStr">
        <is>
          <t>Cyberresilienz und kritische Infrastruktur (5)</t>
        </is>
      </c>
      <c r="K69" s="19" t="inlineStr">
        <is>
          <t>Static profile activates 4 keyword family/families: KI / Digital, Nachhaltigkeit / Klima / Energie, Gesundheit / Pflege / Sozialwirtschaft, Bau / Raum / Infrastruktur.</t>
        </is>
      </c>
      <c r="L69" s="19" t="inlineStr">
        <is>
          <t>Use as implementation/commercial partner for health/social-sector opportunity anchor.</t>
        </is>
      </c>
      <c r="M69" s="19" t="inlineStr">
        <is>
          <t>https://www.zirp.de/die-zirp/mitglieder/</t>
        </is>
      </c>
      <c r="N69" s="19" t="inlineStr">
        <is>
          <t>Keyword search over existing static ZIRP member fields in this workbook, designed to mirror/search official ZIRP profile info boxes.</t>
        </is>
      </c>
    </row>
    <row r="70">
      <c r="A70" s="19" t="n">
        <v>69</v>
      </c>
      <c r="B70" s="19" t="inlineStr">
        <is>
          <t>Michelin Reifenwerke AG &amp; Co. KGaA</t>
        </is>
      </c>
      <c r="C70" s="19" t="inlineStr">
        <is>
          <t>https://www.michelin.de</t>
        </is>
      </c>
      <c r="D70" s="19" t="inlineStr">
        <is>
          <t>profit_anchor</t>
        </is>
      </c>
      <c r="E70" t="inlineStr">
        <is>
          <t>industry_anchor</t>
        </is>
      </c>
      <c r="F70" s="19" t="inlineStr">
        <is>
          <t>Michelin Reifenwerke AG &amp; Co. KGaA | profit_anchor | nachhaltigkeit, technologie, wirtschaft | Industrie 4.0, Automatisierung und Produktion (4); Standort, Investition und industrielle Transformation (4); Energie, Netze und Versorgungssicherheit (3)</t>
        </is>
      </c>
      <c r="G70" s="19" t="inlineStr">
        <is>
          <t>KI / Digital; Nachhaltigkeit / Klima / Energie; Gesundheit / Pflege / Sozialwirtschaft; Wirtschaft / Mittelstand / Standort</t>
        </is>
      </c>
      <c r="H70" s="19" t="inlineStr">
        <is>
          <t>IT; Technologie; Automatisierung; Industrie 4.0; Nachhaltigkeit; nachhaltig; Energie; Netze; Versorgungssicherheit; Versorgung; Wirtschaft; Standort; Industrie; Investition; Transformation</t>
        </is>
      </c>
      <c r="I70" s="19" t="n">
        <v>15</v>
      </c>
      <c r="J70" s="19" t="inlineStr">
        <is>
          <t>Industrie 4.0, Automatisierung und Produktion (4)</t>
        </is>
      </c>
      <c r="K70" s="19" t="inlineStr">
        <is>
          <t>Static profile activates 4 keyword family/families: KI / Digital, Nachhaltigkeit / Klima / Energie, Gesundheit / Pflege / Sozialwirtschaft, Wirtschaft / Mittelstand / Standort.</t>
        </is>
      </c>
      <c r="L70" s="19" t="inlineStr">
        <is>
          <t>Use as implementation/commercial partner for health/social-sector opportunity anchor.</t>
        </is>
      </c>
      <c r="M70" s="19" t="inlineStr">
        <is>
          <t>https://www.zirp.de/die-zirp/mitglieder/</t>
        </is>
      </c>
      <c r="N70" s="19" t="inlineStr">
        <is>
          <t>Keyword search over existing static ZIRP member fields in this workbook, designed to mirror/search official ZIRP profile info boxes.</t>
        </is>
      </c>
    </row>
    <row r="71">
      <c r="A71" s="19" t="n">
        <v>70</v>
      </c>
      <c r="B71" s="19" t="inlineStr">
        <is>
          <t>Ministerium für Wirtschaft, Verkehr, Landwirtschaft und Weinbau</t>
        </is>
      </c>
      <c r="C71" s="19" t="inlineStr">
        <is>
          <t>https://mwvlw.rlp.de</t>
        </is>
      </c>
      <c r="D71" s="19" t="inlineStr">
        <is>
          <t>profit_anchor</t>
        </is>
      </c>
      <c r="E71" t="inlineStr">
        <is>
          <t>public_policy_anchor</t>
        </is>
      </c>
      <c r="F71" s="19" t="inlineStr">
        <is>
          <t>Ministerium für Wirtschaft, Verkehr, Landwirtschaft und Weinbau | profit_anchor | technologie, wirtschaft, wissen | Finanzierung und Förderung von Transformation (5); Standort, Investition und industrielle Transformation (5); Verwaltungswissen und digitale Umsetzung (5); Arbeitsmarkt, Fachkräfte und Qualifizierung (4); Digitale Bau-, Planungs- und Genehmigungsprozesse (4)</t>
        </is>
      </c>
      <c r="G71" s="19" t="inlineStr">
        <is>
          <t>KI / Digital; Innovation / Transfer; Nachhaltigkeit / Klima / Energie; Fachkräfte / Arbeit / Qualifizierung; Bau / Raum / Infrastruktur; Wirtschaft / Mittelstand / Standort; Wissenschaft / Bildung / Hochschule</t>
        </is>
      </c>
      <c r="H71" s="19" t="inlineStr">
        <is>
          <t>digital; IT; Technologie; Verwaltung; Wissen; Land; Fachkräfte; Qualifizierung; Arbeitsmarkt; Bau; Planung; Genehmigung; Verkehr; Wirtschaft; Standort; Industrie; Investition; Transformation; Förderung; Finanzierung</t>
        </is>
      </c>
      <c r="I71" s="19" t="n">
        <v>20</v>
      </c>
      <c r="J71" s="19" t="inlineStr">
        <is>
          <t>Finanzierung und Förderung von Transformation (5)</t>
        </is>
      </c>
      <c r="K71" s="19" t="inlineStr">
        <is>
          <t>Static profile activates 7 keyword family/families: KI / Digital, Innovation / Transfer, Nachhaltigkeit / Klima / Energie, Fachkräfte / Arbeit / Qualifizierung, Bau / Raum / Infrastruktur, Wirtschaft / Mittelstand / Standort, Wissenschaft / Bildung / Hochschule.</t>
        </is>
      </c>
      <c r="L71" s="19" t="inlineStr">
        <is>
          <t>Use as implementation/commercial partner for digitalization / data / technology opportunity anchor.</t>
        </is>
      </c>
      <c r="M71" s="19" t="inlineStr">
        <is>
          <t>https://www.zirp.de/die-zirp/mitglieder/</t>
        </is>
      </c>
      <c r="N71" s="19" t="inlineStr">
        <is>
          <t>Keyword search over existing static ZIRP member fields in this workbook, designed to mirror/search official ZIRP profile info boxes.</t>
        </is>
      </c>
    </row>
    <row r="72">
      <c r="A72" s="19" t="n">
        <v>71</v>
      </c>
      <c r="B72" s="19" t="inlineStr">
        <is>
          <t>PFAFF Industriesysteme und Maschinen GmbH</t>
        </is>
      </c>
      <c r="C72" s="19" t="inlineStr">
        <is>
          <t>https://www.pfaff-industrial.com</t>
        </is>
      </c>
      <c r="D72" s="19" t="inlineStr">
        <is>
          <t>profit_anchor</t>
        </is>
      </c>
      <c r="E72" t="inlineStr">
        <is>
          <t>industry_anchor</t>
        </is>
      </c>
      <c r="F72" s="19" t="inlineStr">
        <is>
          <t>PFAFF Industriesysteme und Maschinen GmbH | profit_anchor | technologie, wirtschaft | Industrie 4.0, Automatisierung und Produktion (5); Mittelstand, Digitalisierung und Produktivität (4)</t>
        </is>
      </c>
      <c r="G72" s="19" t="inlineStr">
        <is>
          <t>KI / Digital; Fachkräfte / Arbeit / Qualifizierung; Wirtschaft / Mittelstand / Standort</t>
        </is>
      </c>
      <c r="H72" s="19" t="inlineStr">
        <is>
          <t>Digitalisierung; digital; IT; Technologie; Automatisierung; Industrie 4.0; Produktivität; Wirtschaft; Mittelstand; Industrie</t>
        </is>
      </c>
      <c r="I72" s="19" t="n">
        <v>10</v>
      </c>
      <c r="J72" s="19" t="inlineStr">
        <is>
          <t>Industrie 4.0, Automatisierung und Produktion (5)</t>
        </is>
      </c>
      <c r="K72" s="19" t="inlineStr">
        <is>
          <t>Static profile activates 3 keyword family/families: KI / Digital, Fachkräfte / Arbeit / Qualifizierung, Wirtschaft / Mittelstand / Standort.</t>
        </is>
      </c>
      <c r="L72" s="19" t="inlineStr">
        <is>
          <t>Use as implementation/commercial partner for digitalization / data / technology opportunity anchor.</t>
        </is>
      </c>
      <c r="M72" s="19" t="inlineStr">
        <is>
          <t>https://www.zirp.de/die-zirp/mitglieder/</t>
        </is>
      </c>
      <c r="N72" s="19" t="inlineStr">
        <is>
          <t>Keyword search over existing static ZIRP member fields in this workbook, designed to mirror/search official ZIRP profile info boxes.</t>
        </is>
      </c>
    </row>
    <row r="73">
      <c r="A73" s="19" t="n">
        <v>72</v>
      </c>
      <c r="B73" s="19" t="inlineStr">
        <is>
          <t>Pfalzwerke AG</t>
        </is>
      </c>
      <c r="C73" s="19" t="inlineStr">
        <is>
          <t>https://www.pfalzwerke.de</t>
        </is>
      </c>
      <c r="D73" s="19" t="inlineStr">
        <is>
          <t>profit_anchor</t>
        </is>
      </c>
      <c r="E73" t="inlineStr">
        <is>
          <t>energy_infrastructure_anchor</t>
        </is>
      </c>
      <c r="F73" s="19" t="inlineStr">
        <is>
          <t>Pfalzwerke AG | profit_anchor | nachhaltigkeit, technologie, wirtschaft | Cyberresilienz und kritische Infrastruktur (5); Energie, Netze und Versorgungssicherheit (5); Finanzierung und Förderung von Transformation (3); Klimaanpassung in Stadt und Land (3); Wasser, Umwelttechnik und kommunale Resilienz (3)</t>
        </is>
      </c>
      <c r="G73" s="19" t="inlineStr">
        <is>
          <t>KI / Digital; Nachhaltigkeit / Klima / Energie; Gesundheit / Pflege / Sozialwirtschaft; Bau / Raum / Infrastruktur; Wirtschaft / Mittelstand / Standort</t>
        </is>
      </c>
      <c r="H73" s="19" t="inlineStr">
        <is>
          <t>IT; Technologie; Cyber; Nachhaltigkeit; nachhaltig; Klima; Klimaanpassung; Umwelt; Energie; Netze; Versorgungssicherheit; Land; Stadt; Versorgung; Infrastruktur; Wirtschaft; Transformation; Förderung; Finanzierung</t>
        </is>
      </c>
      <c r="I73" s="19" t="n">
        <v>19</v>
      </c>
      <c r="J73" s="19" t="inlineStr">
        <is>
          <t>Cyberresilienz und kritische Infrastruktur (5)</t>
        </is>
      </c>
      <c r="K73" s="19" t="inlineStr">
        <is>
          <t>Static profile activates 5 keyword family/families: KI / Digital, Nachhaltigkeit / Klima / Energie, Gesundheit / Pflege / Sozialwirtschaft, Bau / Raum / Infrastruktur, Wirtschaft / Mittelstand / Standort.</t>
        </is>
      </c>
      <c r="L73" s="19" t="inlineStr">
        <is>
          <t>Use as implementation/commercial partner for health/social-sector opportunity anchor.</t>
        </is>
      </c>
      <c r="M73" s="19" t="inlineStr">
        <is>
          <t>https://www.zirp.de/die-zirp/mitglieder/</t>
        </is>
      </c>
      <c r="N73" s="19" t="inlineStr">
        <is>
          <t>Keyword search over existing static ZIRP member fields in this workbook, designed to mirror/search official ZIRP profile info boxes.</t>
        </is>
      </c>
    </row>
    <row r="74">
      <c r="A74" s="19" t="n">
        <v>73</v>
      </c>
      <c r="B74" s="19" t="inlineStr">
        <is>
          <t>Provinzial Versicherung AG</t>
        </is>
      </c>
      <c r="C74" s="19" t="inlineStr">
        <is>
          <t>http://www.provinzial.de</t>
        </is>
      </c>
      <c r="D74" s="19" t="inlineStr">
        <is>
          <t>profit_anchor</t>
        </is>
      </c>
      <c r="E74" t="inlineStr">
        <is>
          <t>bank_finance_anchor</t>
        </is>
      </c>
      <c r="F74" s="19" t="inlineStr">
        <is>
          <t>Provinzial Versicherung AG | profit_anchor | technologie, wirtschaft | Cyberresilienz und kritische Infrastruktur (4); Finanzierung und Förderung von Transformation (4)</t>
        </is>
      </c>
      <c r="G74" s="19" t="inlineStr">
        <is>
          <t>KI / Digital; Bau / Raum / Infrastruktur; Wirtschaft / Mittelstand / Standort</t>
        </is>
      </c>
      <c r="H74" s="19" t="inlineStr">
        <is>
          <t>IT; Technologie; Cyber; Infrastruktur; Wirtschaft; Transformation; Förderung; Finanzierung</t>
        </is>
      </c>
      <c r="I74" s="19" t="n">
        <v>8</v>
      </c>
      <c r="J74" s="19" t="inlineStr">
        <is>
          <t>Cyberresilienz und kritische Infrastruktur (4)</t>
        </is>
      </c>
      <c r="K74" s="19" t="inlineStr">
        <is>
          <t>Static profile activates 3 keyword family/families: KI / Digital, Bau / Raum / Infrastruktur, Wirtschaft / Mittelstand / Standort.</t>
        </is>
      </c>
      <c r="L74" s="19" t="inlineStr">
        <is>
          <t>Use as implementation/commercial partner for digitalization / data / technology opportunity anchor.</t>
        </is>
      </c>
      <c r="M74" s="19" t="inlineStr">
        <is>
          <t>https://www.zirp.de/die-zirp/mitglieder/</t>
        </is>
      </c>
      <c r="N74" s="19" t="inlineStr">
        <is>
          <t>Keyword search over existing static ZIRP member fields in this workbook, designed to mirror/search official ZIRP profile info boxes.</t>
        </is>
      </c>
    </row>
    <row r="75">
      <c r="A75" s="19" t="n">
        <v>74</v>
      </c>
      <c r="B75" s="19" t="inlineStr">
        <is>
          <t>Rheinland-Pfälzische Technische Universität Kaiserslautern-Landau (RPTU)</t>
        </is>
      </c>
      <c r="C75" s="19" t="inlineStr">
        <is>
          <t>https://regionalentwicklung-raumordnung.de</t>
        </is>
      </c>
      <c r="D75" s="19" t="inlineStr">
        <is>
          <t>academic_support</t>
        </is>
      </c>
      <c r="E75" t="inlineStr">
        <is>
          <t>university_research</t>
        </is>
      </c>
      <c r="F75" s="19" t="inlineStr">
        <is>
          <t>Rheinland-Pfälzische Technische Universität Kaiserslautern-Landau (RPTU) | academic_support | technologie, wirtschaft, wissen | Cyberresilienz und kritische Infrastruktur (5); Hochschule-Wirtschaft-Transfer (5); Industrie 4.0, Automatisierung und Produktion (5); KI, Daten und Verwaltungs-/Wirtschaftsanwendungen (5); Mittelstand, Digitalisierung und Produktivität (5)</t>
        </is>
      </c>
      <c r="G75" s="19" t="inlineStr">
        <is>
          <t>KI / Digital; Innovation / Transfer; Nachhaltigkeit / Klima / Energie; Fachkräfte / Arbeit / Qualifizierung; Bau / Raum / Infrastruktur; Wirtschaft / Mittelstand / Standort; Wissenschaft / Bildung / Hochschule</t>
        </is>
      </c>
      <c r="H75" s="19" t="inlineStr">
        <is>
          <t>KI; Digitalisierung; digital; Daten; IT; Technologie; Cyber; Automatisierung; Industrie 4.0; Verwaltung; Transfer; Wissen; Land; Produktivität; Infrastruktur; Wirtschaft; Mittelstand; Industrie; Hochschule; Universität</t>
        </is>
      </c>
      <c r="I75" s="19" t="n">
        <v>20</v>
      </c>
      <c r="J75" s="19" t="inlineStr">
        <is>
          <t>Cyberresilienz und kritische Infrastruktur (5)</t>
        </is>
      </c>
      <c r="K75" s="19" t="inlineStr">
        <is>
          <t>Static profile activates 7 keyword family/families: KI / Digital, Innovation / Transfer, Nachhaltigkeit / Klima / Energie, Fachkräfte / Arbeit / Qualifizierung, Bau / Raum / Infrastruktur, Wirtschaft / Mittelstand / Standort, Wissenschaft / Bildung / Hochschule.</t>
        </is>
      </c>
      <c r="L75" s="19" t="inlineStr">
        <is>
          <t>Use as evidence, research or transfer partner for digitalization / data / technology opportunity anchor.</t>
        </is>
      </c>
      <c r="M75" s="19" t="inlineStr">
        <is>
          <t>https://www.zirp.de/die-zirp/mitglieder/</t>
        </is>
      </c>
      <c r="N75" s="19" t="inlineStr">
        <is>
          <t>Keyword search over existing static ZIRP member fields in this workbook, designed to mirror/search official ZIRP profile info boxes.</t>
        </is>
      </c>
    </row>
    <row r="76">
      <c r="A76" s="19" t="n">
        <v>75</v>
      </c>
      <c r="B76" s="19" t="inlineStr">
        <is>
          <t>robotspaceship</t>
        </is>
      </c>
      <c r="C76" s="19" t="inlineStr">
        <is>
          <t>https://www.robotspaceship.ai</t>
        </is>
      </c>
      <c r="D76" s="19" t="inlineStr">
        <is>
          <t>context_actor</t>
        </is>
      </c>
      <c r="E76" t="inlineStr">
        <is>
          <t>technology_digital_anchor</t>
        </is>
      </c>
      <c r="F76" s="19" t="inlineStr">
        <is>
          <t>robotspaceship | context_actor | kultur, technologie, wirtschaft | KI, Daten und Verwaltungs-/Wirtschaftsanwendungen (5); Mittelstand, Digitalisierung und Produktivität (5); Kreativwirtschaft, Medien und digitale Öffentlichkeit (4)</t>
        </is>
      </c>
      <c r="G76" s="19" t="inlineStr">
        <is>
          <t>KI / Digital; Fachkräfte / Arbeit / Qualifizierung; Wirtschaft / Mittelstand / Standort; Kultur / Medien / Öffentlichkeit</t>
        </is>
      </c>
      <c r="H76" s="19" t="inlineStr">
        <is>
          <t>KI; Digitalisierung; digital; Daten; IT; Technologie; Verwaltung; Produktivität; Wirtschaft; Mittelstand; Kultur; Medien; Öffentlichkeit; Kreativwirtschaft</t>
        </is>
      </c>
      <c r="I76" s="19" t="n">
        <v>14</v>
      </c>
      <c r="J76" s="19" t="inlineStr">
        <is>
          <t>KI, Daten und Verwaltungs-/Wirtschaftsanwendungen (5)</t>
        </is>
      </c>
      <c r="K76" s="19" t="inlineStr">
        <is>
          <t>Static profile activates 4 keyword family/families: KI / Digital, Fachkräfte / Arbeit / Qualifizierung, Wirtschaft / Mittelstand / Standort, Kultur / Medien / Öffentlichkeit.</t>
        </is>
      </c>
      <c r="L76" s="19" t="inlineStr">
        <is>
          <t>Use as convening/context partner for digitalization / data / technology opportunity anchor.</t>
        </is>
      </c>
      <c r="M76" s="19" t="inlineStr">
        <is>
          <t>https://www.zirp.de/die-zirp/mitglieder/</t>
        </is>
      </c>
      <c r="N76" s="19" t="inlineStr">
        <is>
          <t>Keyword search over existing static ZIRP member fields in this workbook, designed to mirror/search official ZIRP profile info boxes.</t>
        </is>
      </c>
    </row>
    <row r="77">
      <c r="A77" s="19" t="n">
        <v>76</v>
      </c>
      <c r="B77" s="19" t="inlineStr">
        <is>
          <t>RPR1.</t>
        </is>
      </c>
      <c r="C77" s="19" t="inlineStr">
        <is>
          <t>https://www.rpr1.de</t>
        </is>
      </c>
      <c r="D77" s="19" t="inlineStr">
        <is>
          <t>context_actor</t>
        </is>
      </c>
      <c r="E77" t="inlineStr">
        <is>
          <t>media_publicity_anchor</t>
        </is>
      </c>
      <c r="F77" s="19" t="inlineStr">
        <is>
          <t>RPR1. | context_actor | gesellschaft, kultur, wissen | Demokratie, Medien und gesellschaftlicher Zusammenhalt (5); Kreativwirtschaft, Medien und digitale Öffentlichkeit (5); Kultur, Standortidentität und regionale Attraktivität (4); Sport, Region und gesellschaftliche Identifikation (4); Wissenschaft, Demokratie und gesellschaftlicher Zusammenhalt (4)</t>
        </is>
      </c>
      <c r="G77" s="19" t="inlineStr">
        <is>
          <t>KI / Digital; Innovation / Transfer; Wirtschaft / Mittelstand / Standort; Wissenschaft / Bildung / Hochschule; Dialog / Netzwerk / Verantwortung; Kultur / Medien / Öffentlichkeit</t>
        </is>
      </c>
      <c r="H77" s="19" t="inlineStr">
        <is>
          <t>digital; IT; Wissen; Wirtschaft; Standort; Wissenschaft; gesellschaftlich; Zusammenhalt; Kultur; Medien; Öffentlichkeit; Kreativwirtschaft; Standortidentität; Region; gesellschaftliche Identifikation; Demokratie</t>
        </is>
      </c>
      <c r="I77" s="19" t="n">
        <v>16</v>
      </c>
      <c r="J77" s="19" t="inlineStr">
        <is>
          <t>Demokratie, Medien und gesellschaftlicher Zusammenhalt (5)</t>
        </is>
      </c>
      <c r="K77" s="19" t="inlineStr">
        <is>
          <t>Static profile activates 6 keyword family/families: KI / Digital, Innovation / Transfer, Wirtschaft / Mittelstand / Standort, Wissenschaft / Bildung / Hochschule, Dialog / Netzwerk / Verantwortung, Kultur / Medien / Öffentlichkeit.</t>
        </is>
      </c>
      <c r="L77" s="19" t="inlineStr">
        <is>
          <t>Use as convening/context partner for digitalization / data / technology opportunity anchor.</t>
        </is>
      </c>
      <c r="M77" s="19" t="inlineStr">
        <is>
          <t>https://www.zirp.de/die-zirp/mitglieder/</t>
        </is>
      </c>
      <c r="N77" s="19" t="inlineStr">
        <is>
          <t>Keyword search over existing static ZIRP member fields in this workbook, designed to mirror/search official ZIRP profile info boxes.</t>
        </is>
      </c>
    </row>
    <row r="78">
      <c r="A78" s="19" t="n">
        <v>77</v>
      </c>
      <c r="B78" s="19" t="inlineStr">
        <is>
          <t>Schoenergie GmbH</t>
        </is>
      </c>
      <c r="C78" s="19" t="inlineStr">
        <is>
          <t>http://www.schoenergie.de</t>
        </is>
      </c>
      <c r="D78" s="19" t="inlineStr">
        <is>
          <t>profit_anchor</t>
        </is>
      </c>
      <c r="E78" t="inlineStr">
        <is>
          <t>energy_infrastructure_anchor</t>
        </is>
      </c>
      <c r="F78" s="19" t="inlineStr">
        <is>
          <t>Schoenergie GmbH | profit_anchor | nachhaltigkeit | Energie, Netze und Versorgungssicherheit (4)</t>
        </is>
      </c>
      <c r="G78" s="19" t="inlineStr">
        <is>
          <t>KI / Digital; Nachhaltigkeit / Klima / Energie; Gesundheit / Pflege / Sozialwirtschaft</t>
        </is>
      </c>
      <c r="H78" s="19" t="inlineStr">
        <is>
          <t>IT; Nachhaltigkeit; nachhaltig; Energie; Netze; Versorgungssicherheit; Versorgung</t>
        </is>
      </c>
      <c r="I78" s="19" t="n">
        <v>7</v>
      </c>
      <c r="J78" s="19" t="inlineStr">
        <is>
          <t>Energie, Netze und Versorgungssicherheit (4)</t>
        </is>
      </c>
      <c r="K78" s="19" t="inlineStr">
        <is>
          <t>Static profile activates 3 keyword family/families: KI / Digital, Nachhaltigkeit / Klima / Energie, Gesundheit / Pflege / Sozialwirtschaft.</t>
        </is>
      </c>
      <c r="L78" s="19" t="inlineStr">
        <is>
          <t>Use as implementation/commercial partner for health/social-sector opportunity anchor.</t>
        </is>
      </c>
      <c r="M78" s="19" t="inlineStr">
        <is>
          <t>https://www.zirp.de/die-zirp/mitglieder/</t>
        </is>
      </c>
      <c r="N78" s="19" t="inlineStr">
        <is>
          <t>Keyword search over existing static ZIRP member fields in this workbook, designed to mirror/search official ZIRP profile info boxes.</t>
        </is>
      </c>
    </row>
    <row r="79">
      <c r="A79" s="19" t="n">
        <v>78</v>
      </c>
      <c r="B79" s="19" t="inlineStr">
        <is>
          <t>SCHOTT AG</t>
        </is>
      </c>
      <c r="C79" s="19" t="inlineStr">
        <is>
          <t>https://www.schott.com</t>
        </is>
      </c>
      <c r="D79" s="19" t="inlineStr">
        <is>
          <t>profit_anchor</t>
        </is>
      </c>
      <c r="E79" t="inlineStr">
        <is>
          <t>industry_anchor</t>
        </is>
      </c>
      <c r="F79" s="19" t="inlineStr">
        <is>
          <t>SCHOTT AG | profit_anchor | nachhaltigkeit, technologie, wirtschaft, wissen | Standort, Investition und industrielle Transformation (5); Energie, Netze und Versorgungssicherheit (4); Hochschule-Wirtschaft-Transfer (4); Industrie 4.0, Automatisierung und Produktion (4); Finanzierung und Förderung von Transformation (3)</t>
        </is>
      </c>
      <c r="G79" s="19" t="inlineStr">
        <is>
          <t>KI / Digital; Innovation / Transfer; Nachhaltigkeit / Klima / Energie; Gesundheit / Pflege / Sozialwirtschaft; Wirtschaft / Mittelstand / Standort; Wissenschaft / Bildung / Hochschule</t>
        </is>
      </c>
      <c r="H79" s="19" t="inlineStr">
        <is>
          <t>IT; Technologie; Automatisierung; Industrie 4.0; Transfer; Wissen; Nachhaltigkeit; nachhaltig; Energie; Netze; Versorgungssicherheit; Versorgung; Wirtschaft; Standort; Industrie; Investition; Transformation; Förderung; Finanzierung; Hochschule</t>
        </is>
      </c>
      <c r="I79" s="19" t="n">
        <v>20</v>
      </c>
      <c r="J79" s="19" t="inlineStr">
        <is>
          <t>Standort, Investition und industrielle Transformation (5)</t>
        </is>
      </c>
      <c r="K79" s="19" t="inlineStr">
        <is>
          <t>Static profile activates 6 keyword family/families: KI / Digital, Innovation / Transfer, Nachhaltigkeit / Klima / Energie, Gesundheit / Pflege / Sozialwirtschaft, Wirtschaft / Mittelstand / Standort, Wissenschaft / Bildung / Hochschule.</t>
        </is>
      </c>
      <c r="L79" s="19" t="inlineStr">
        <is>
          <t>Use as implementation/commercial partner for health/social-sector opportunity anchor.</t>
        </is>
      </c>
      <c r="M79" s="19" t="inlineStr">
        <is>
          <t>https://www.zirp.de/die-zirp/mitglieder/</t>
        </is>
      </c>
      <c r="N79" s="19" t="inlineStr">
        <is>
          <t>Keyword search over existing static ZIRP member fields in this workbook, designed to mirror/search official ZIRP profile info boxes.</t>
        </is>
      </c>
    </row>
    <row r="80">
      <c r="A80" s="19" t="n">
        <v>79</v>
      </c>
      <c r="B80" s="19" t="inlineStr">
        <is>
          <t>Schuler Service GmbH &amp; Co. KG</t>
        </is>
      </c>
      <c r="C80" s="19" t="inlineStr">
        <is>
          <t>https://www.schuler-service.com</t>
        </is>
      </c>
      <c r="D80" s="19" t="inlineStr">
        <is>
          <t>profit_anchor</t>
        </is>
      </c>
      <c r="E80" t="inlineStr">
        <is>
          <t>industry_anchor</t>
        </is>
      </c>
      <c r="F80" s="19" t="inlineStr">
        <is>
          <t xml:space="preserve">Schuler Service GmbH &amp; Co. KG | profit_anchor |  | </t>
        </is>
      </c>
      <c r="G80" s="19" t="inlineStr">
        <is>
          <t>KI / Digital</t>
        </is>
      </c>
      <c r="H80" s="19" t="inlineStr">
        <is>
          <t>IT</t>
        </is>
      </c>
      <c r="I80" s="19" t="n">
        <v>1</v>
      </c>
      <c r="J80" s="19" t="str"/>
      <c r="K80" s="19" t="inlineStr">
        <is>
          <t>Static profile activates 1 keyword family/families: KI / Digital.</t>
        </is>
      </c>
      <c r="L80" s="19" t="inlineStr">
        <is>
          <t>Use as implementation/commercial partner for digitalization / data / technology opportunity anchor.</t>
        </is>
      </c>
      <c r="M80" s="19" t="inlineStr">
        <is>
          <t>https://www.zirp.de/die-zirp/mitglieder/</t>
        </is>
      </c>
      <c r="N80" s="19" t="inlineStr">
        <is>
          <t>Keyword search over existing static ZIRP member fields in this workbook, designed to mirror/search official ZIRP profile info boxes.</t>
        </is>
      </c>
    </row>
    <row r="81">
      <c r="A81" s="19" t="n">
        <v>80</v>
      </c>
      <c r="B81" s="19" t="inlineStr">
        <is>
          <t>SIMONA AG</t>
        </is>
      </c>
      <c r="C81" s="19" t="inlineStr">
        <is>
          <t>https://www.simona.de</t>
        </is>
      </c>
      <c r="D81" s="19" t="inlineStr">
        <is>
          <t>profit_anchor</t>
        </is>
      </c>
      <c r="E81" t="inlineStr">
        <is>
          <t>industry_anchor</t>
        </is>
      </c>
      <c r="F81" s="19" t="inlineStr">
        <is>
          <t>SIMONA AG | profit_anchor | nachhaltigkeit, technologie, wirtschaft | Standort, Investition und industrielle Transformation (4); Energie, Netze und Versorgungssicherheit (3); Industrie 4.0, Automatisierung und Produktion (3)</t>
        </is>
      </c>
      <c r="G81" s="19" t="inlineStr">
        <is>
          <t>KI / Digital; Nachhaltigkeit / Klima / Energie; Gesundheit / Pflege / Sozialwirtschaft; Wirtschaft / Mittelstand / Standort</t>
        </is>
      </c>
      <c r="H81" s="19" t="inlineStr">
        <is>
          <t>IT; Technologie; Automatisierung; Industrie 4.0; Nachhaltigkeit; nachhaltig; Energie; Netze; Versorgungssicherheit; Versorgung; Wirtschaft; Standort; Industrie; Investition; Transformation</t>
        </is>
      </c>
      <c r="I81" s="19" t="n">
        <v>15</v>
      </c>
      <c r="J81" s="19" t="inlineStr">
        <is>
          <t>Standort, Investition und industrielle Transformation (4)</t>
        </is>
      </c>
      <c r="K81" s="19" t="inlineStr">
        <is>
          <t>Static profile activates 4 keyword family/families: KI / Digital, Nachhaltigkeit / Klima / Energie, Gesundheit / Pflege / Sozialwirtschaft, Wirtschaft / Mittelstand / Standort.</t>
        </is>
      </c>
      <c r="L81" s="19" t="inlineStr">
        <is>
          <t>Use as implementation/commercial partner for health/social-sector opportunity anchor.</t>
        </is>
      </c>
      <c r="M81" s="19" t="inlineStr">
        <is>
          <t>https://www.zirp.de/die-zirp/mitglieder/</t>
        </is>
      </c>
      <c r="N81" s="19" t="inlineStr">
        <is>
          <t>Keyword search over existing static ZIRP member fields in this workbook, designed to mirror/search official ZIRP profile info boxes.</t>
        </is>
      </c>
    </row>
    <row r="82">
      <c r="A82" s="19" t="n">
        <v>81</v>
      </c>
      <c r="B82" s="19" t="inlineStr">
        <is>
          <t>SmartFactory KL e.V.</t>
        </is>
      </c>
      <c r="C82" s="19" t="inlineStr">
        <is>
          <t>https://smartfactory.de</t>
        </is>
      </c>
      <c r="D82" s="19" t="inlineStr">
        <is>
          <t>context_actor</t>
        </is>
      </c>
      <c r="E82" t="inlineStr">
        <is>
          <t>technology_digital_anchor</t>
        </is>
      </c>
      <c r="F82" s="19" t="inlineStr">
        <is>
          <t>SmartFactory KL e.V. | context_actor | technologie, wirtschaft, wissen | Hochschule-Wirtschaft-Transfer (5); Industrie 4.0, Automatisierung und Produktion (5); Mittelstand, Digitalisierung und Produktivität (5); KI, Daten und Verwaltungs-/Wirtschaftsanwendungen (4)</t>
        </is>
      </c>
      <c r="G82" s="19" t="inlineStr">
        <is>
          <t>KI / Digital; Innovation / Transfer; Fachkräfte / Arbeit / Qualifizierung; Wirtschaft / Mittelstand / Standort; Wissenschaft / Bildung / Hochschule</t>
        </is>
      </c>
      <c r="H82" s="19" t="inlineStr">
        <is>
          <t>KI; Digitalisierung; digital; Daten; IT; Technologie; Automatisierung; Industrie 4.0; Verwaltung; Transfer; Wissen; Produktivität; Wirtschaft; Mittelstand; Industrie; Hochschule</t>
        </is>
      </c>
      <c r="I82" s="19" t="n">
        <v>16</v>
      </c>
      <c r="J82" s="19" t="inlineStr">
        <is>
          <t>Hochschule-Wirtschaft-Transfer (5)</t>
        </is>
      </c>
      <c r="K82" s="19" t="inlineStr">
        <is>
          <t>Static profile activates 5 keyword family/families: KI / Digital, Innovation / Transfer, Fachkräfte / Arbeit / Qualifizierung, Wirtschaft / Mittelstand / Standort, Wissenschaft / Bildung / Hochschule.</t>
        </is>
      </c>
      <c r="L82" s="19" t="inlineStr">
        <is>
          <t>Use as convening/context partner for digitalization / data / technology opportunity anchor.</t>
        </is>
      </c>
      <c r="M82" s="19" t="inlineStr">
        <is>
          <t>https://www.zirp.de/die-zirp/mitglieder/</t>
        </is>
      </c>
      <c r="N82" s="19" t="inlineStr">
        <is>
          <t>Keyword search over existing static ZIRP member fields in this workbook, designed to mirror/search official ZIRP profile info boxes.</t>
        </is>
      </c>
    </row>
    <row r="83">
      <c r="A83" s="19" t="n">
        <v>82</v>
      </c>
      <c r="B83" s="19" t="inlineStr">
        <is>
          <t>Sparkassenverband Rheinland-Pfalz</t>
        </is>
      </c>
      <c r="C83" s="19" t="inlineStr">
        <is>
          <t>https://www.sv-rlp.de</t>
        </is>
      </c>
      <c r="D83" s="19" t="inlineStr">
        <is>
          <t>profit_anchor</t>
        </is>
      </c>
      <c r="E83" t="inlineStr">
        <is>
          <t>bank_finance_anchor</t>
        </is>
      </c>
      <c r="F83" s="19" t="inlineStr">
        <is>
          <t>Sparkassenverband Rheinland-Pfalz | profit_anchor | technologie, wirtschaft, wissen | Finanzierung und Förderung von Transformation (5); Cyberresilienz und kritische Infrastruktur (4); Standort, Investition und industrielle Transformation (4); Mittelstand, Digitalisierung und Produktivität (3); Verwaltungswissen und digitale Umsetzung (3)</t>
        </is>
      </c>
      <c r="G83" s="19" t="inlineStr">
        <is>
          <t>KI / Digital; Innovation / Transfer; Nachhaltigkeit / Klima / Energie; Fachkräfte / Arbeit / Qualifizierung; Bau / Raum / Infrastruktur; Wirtschaft / Mittelstand / Standort; Wissenschaft / Bildung / Hochschule</t>
        </is>
      </c>
      <c r="H83" s="19" t="inlineStr">
        <is>
          <t>Digitalisierung; digital; IT; Technologie; Cyber; Verwaltung; Wissen; Land; Produktivität; Infrastruktur; Wirtschaft; Standort; Mittelstand; Industrie; Investition; Transformation; Förderung; Finanzierung</t>
        </is>
      </c>
      <c r="I83" s="19" t="n">
        <v>18</v>
      </c>
      <c r="J83" s="19" t="inlineStr">
        <is>
          <t>Finanzierung und Förderung von Transformation (5)</t>
        </is>
      </c>
      <c r="K83" s="19" t="inlineStr">
        <is>
          <t>Static profile activates 7 keyword family/families: KI / Digital, Innovation / Transfer, Nachhaltigkeit / Klima / Energie, Fachkräfte / Arbeit / Qualifizierung, Bau / Raum / Infrastruktur, Wirtschaft / Mittelstand / Standort, Wissenschaft / Bildung / Hochschule.</t>
        </is>
      </c>
      <c r="L83" s="19" t="inlineStr">
        <is>
          <t>Use as implementation/commercial partner for digitalization / data / technology opportunity anchor.</t>
        </is>
      </c>
      <c r="M83" s="19" t="inlineStr">
        <is>
          <t>https://www.zirp.de/die-zirp/mitglieder/</t>
        </is>
      </c>
      <c r="N83" s="19" t="inlineStr">
        <is>
          <t>Keyword search over existing static ZIRP member fields in this workbook, designed to mirror/search official ZIRP profile info boxes.</t>
        </is>
      </c>
    </row>
    <row r="84">
      <c r="A84" s="19" t="n">
        <v>83</v>
      </c>
      <c r="B84" s="19" t="inlineStr">
        <is>
          <t>Staatskanzlei des Landes Rheinland-Pfalz</t>
        </is>
      </c>
      <c r="C84" s="19" t="inlineStr">
        <is>
          <t>https://www.rlp.de/regierung/staatskanzlei</t>
        </is>
      </c>
      <c r="D84" s="19" t="inlineStr">
        <is>
          <t>context_actor</t>
        </is>
      </c>
      <c r="E84" t="inlineStr">
        <is>
          <t>public_policy_anchor</t>
        </is>
      </c>
      <c r="F84" s="19" t="inlineStr">
        <is>
          <t>Staatskanzlei des Landes Rheinland-Pfalz | context_actor | gesellschaft, technologie, wissen | Cyberresilienz und kritische Infrastruktur (5); Demokratie, Medien und gesellschaftlicher Zusammenhalt (5); Verwaltungswissen und digitale Umsetzung (5); Wissenschaft, Demokratie und gesellschaftlicher Zusammenhalt (5); Digitale Bau-, Planungs- und Genehmigungsprozesse (4)</t>
        </is>
      </c>
      <c r="G84" s="19" t="inlineStr">
        <is>
          <t>KI / Digital; Innovation / Transfer; Nachhaltigkeit / Klima / Energie; Bau / Raum / Infrastruktur; Wissenschaft / Bildung / Hochschule; Dialog / Netzwerk / Verantwortung; Kultur / Medien / Öffentlichkeit</t>
        </is>
      </c>
      <c r="H84" s="19" t="inlineStr">
        <is>
          <t>digital; IT; Technologie; Cyber; Verwaltung; Wissen; Land; Bau; Infrastruktur; Planung; Genehmigung; Wissenschaft; gesellschaftlich; Zusammenhalt; Medien; Demokratie</t>
        </is>
      </c>
      <c r="I84" s="19" t="n">
        <v>16</v>
      </c>
      <c r="J84" s="19" t="inlineStr">
        <is>
          <t>Cyberresilienz und kritische Infrastruktur (5)</t>
        </is>
      </c>
      <c r="K84" s="19" t="inlineStr">
        <is>
          <t>Static profile activates 7 keyword family/families: KI / Digital, Innovation / Transfer, Nachhaltigkeit / Klima / Energie, Bau / Raum / Infrastruktur, Wissenschaft / Bildung / Hochschule, Dialog / Netzwerk / Verantwortung, Kultur / Medien / Öffentlichkeit.</t>
        </is>
      </c>
      <c r="L84" s="19" t="inlineStr">
        <is>
          <t>Use as convening/context partner for digitalization / data / technology opportunity anchor.</t>
        </is>
      </c>
      <c r="M84" s="19" t="inlineStr">
        <is>
          <t>https://www.zirp.de/die-zirp/mitglieder/</t>
        </is>
      </c>
      <c r="N84" s="19" t="inlineStr">
        <is>
          <t>Keyword search over existing static ZIRP member fields in this workbook, designed to mirror/search official ZIRP profile info boxes.</t>
        </is>
      </c>
    </row>
    <row r="85">
      <c r="A85" s="19" t="n">
        <v>84</v>
      </c>
      <c r="B85" s="19" t="inlineStr">
        <is>
          <t>Steuerberaterkammer Rheinland-Pfalz</t>
        </is>
      </c>
      <c r="C85" s="19" t="inlineStr">
        <is>
          <t>https://www.sbk-rlp.de</t>
        </is>
      </c>
      <c r="D85" s="19" t="inlineStr">
        <is>
          <t>implementation_anchor</t>
        </is>
      </c>
      <c r="E85" t="inlineStr">
        <is>
          <t>chamber_association_anchor</t>
        </is>
      </c>
      <c r="F85" s="19" t="inlineStr">
        <is>
          <t xml:space="preserve">Steuerberaterkammer Rheinland-Pfalz | implementation_anchor |  | </t>
        </is>
      </c>
      <c r="G85" s="19" t="inlineStr">
        <is>
          <t>Nachhaltigkeit / Klima / Energie</t>
        </is>
      </c>
      <c r="H85" s="19" t="inlineStr">
        <is>
          <t>Land</t>
        </is>
      </c>
      <c r="I85" s="19" t="n">
        <v>1</v>
      </c>
      <c r="J85" s="19" t="str"/>
      <c r="K85" s="19" t="inlineStr">
        <is>
          <t>Static profile activates 1 keyword family/families: Nachhaltigkeit / Klima / Energie.</t>
        </is>
      </c>
      <c r="L85" s="19" t="inlineStr">
        <is>
          <t>Use as institutional implementation partner for sustainability / climate / energy opportunity anchor.</t>
        </is>
      </c>
      <c r="M85" s="19" t="inlineStr">
        <is>
          <t>https://www.zirp.de/die-zirp/mitglieder/</t>
        </is>
      </c>
      <c r="N85" s="19" t="inlineStr">
        <is>
          <t>Keyword search over existing static ZIRP member fields in this workbook, designed to mirror/search official ZIRP profile info boxes.</t>
        </is>
      </c>
    </row>
    <row r="86">
      <c r="A86" s="19" t="n">
        <v>85</v>
      </c>
      <c r="B86" s="19" t="inlineStr">
        <is>
          <t>Städtetag Rheinland-Pfalz</t>
        </is>
      </c>
      <c r="C86" s="19" t="inlineStr">
        <is>
          <t>https://www.staedtetag-rlp.de</t>
        </is>
      </c>
      <c r="D86" s="19" t="inlineStr">
        <is>
          <t>context_actor</t>
        </is>
      </c>
      <c r="E86" t="inlineStr">
        <is>
          <t>public_policy_anchor</t>
        </is>
      </c>
      <c r="F86" s="19" t="inlineStr">
        <is>
          <t>Städtetag Rheinland-Pfalz | context_actor | kultur, nachhaltigkeit, technologie, wissen | Digitale Bau-, Planungs- und Genehmigungsprozesse (5); Klimaanpassung in Stadt und Land (5); Kreislaufwirtschaft, Bau und Ersatzbaustoffverordnung (5); Kultur, Standortidentität und regionale Attraktivität (5); Verwaltungswissen und digitale Umsetzung (5)</t>
        </is>
      </c>
      <c r="G86" s="19" t="inlineStr">
        <is>
          <t>KI / Digital; Innovation / Transfer; Nachhaltigkeit / Klima / Energie; Bau / Raum / Infrastruktur; Wirtschaft / Mittelstand / Standort; Wissenschaft / Bildung / Hochschule; Kultur / Medien / Öffentlichkeit</t>
        </is>
      </c>
      <c r="H86" s="19" t="inlineStr">
        <is>
          <t>digital; IT; Technologie; Verwaltung; Wissen; Nachhaltigkeit; nachhaltig; Klima; Klimaanpassung; Kreislauf; Ersatzbaustoff; Land; Stadt; Bau; Planung; Genehmigung; Wirtschaft; Standort; Kultur; Standortidentität; Region</t>
        </is>
      </c>
      <c r="I86" s="19" t="n">
        <v>21</v>
      </c>
      <c r="J86" s="19" t="inlineStr">
        <is>
          <t>Digitale Bau-, Planungs- und Genehmigungsprozesse (5)</t>
        </is>
      </c>
      <c r="K86" s="19" t="inlineStr">
        <is>
          <t>Static profile activates 7 keyword family/families: KI / Digital, Innovation / Transfer, Nachhaltigkeit / Klima / Energie, Bau / Raum / Infrastruktur, Wirtschaft / Mittelstand / Standort, Wissenschaft / Bildung / Hochschule, Kultur / Medien / Öffentlichkeit.</t>
        </is>
      </c>
      <c r="L86" s="19" t="inlineStr">
        <is>
          <t>Use as convening/context partner for digitalization / data / technology opportunity anchor.</t>
        </is>
      </c>
      <c r="M86" s="19" t="inlineStr">
        <is>
          <t>https://www.zirp.de/die-zirp/mitglieder/</t>
        </is>
      </c>
      <c r="N86" s="19" t="inlineStr">
        <is>
          <t>Keyword search over existing static ZIRP member fields in this workbook, designed to mirror/search official ZIRP profile info boxes.</t>
        </is>
      </c>
    </row>
    <row r="87">
      <c r="A87" s="19" t="n">
        <v>86</v>
      </c>
      <c r="B87" s="19" t="inlineStr">
        <is>
          <t>SWR – Südwestrundfunk</t>
        </is>
      </c>
      <c r="C87" s="19" t="inlineStr">
        <is>
          <t>https://www.swr.de</t>
        </is>
      </c>
      <c r="D87" s="19" t="inlineStr">
        <is>
          <t>context_actor</t>
        </is>
      </c>
      <c r="E87" t="inlineStr">
        <is>
          <t>media_publicity_anchor</t>
        </is>
      </c>
      <c r="F87" s="19" t="inlineStr">
        <is>
          <t>SWR – Südwestrundfunk | context_actor | gesellschaft, kultur, wissen | Demokratie, Medien und gesellschaftlicher Zusammenhalt (5); Kreativwirtschaft, Medien und digitale Öffentlichkeit (5); Kultur, Standortidentität und regionale Attraktivität (5); Wissenschaft, Demokratie und gesellschaftlicher Zusammenhalt (5); Talentförderung, Musik und Nachwuchs (4)</t>
        </is>
      </c>
      <c r="G87" s="19" t="inlineStr">
        <is>
          <t>KI / Digital; Innovation / Transfer; Wirtschaft / Mittelstand / Standort; Wissenschaft / Bildung / Hochschule; Dialog / Netzwerk / Verantwortung; Kultur / Medien / Öffentlichkeit</t>
        </is>
      </c>
      <c r="H87" s="19" t="inlineStr">
        <is>
          <t>digital; IT; Wissen; Wirtschaft; Standort; Förderung; Wissenschaft; gesellschaftlich; Zusammenhalt; Kultur; Medien; Öffentlichkeit; Kreativwirtschaft; Musik; Standortidentität; Region; Demokratie</t>
        </is>
      </c>
      <c r="I87" s="19" t="n">
        <v>17</v>
      </c>
      <c r="J87" s="19" t="inlineStr">
        <is>
          <t>Demokratie, Medien und gesellschaftlicher Zusammenhalt (5)</t>
        </is>
      </c>
      <c r="K87" s="19" t="inlineStr">
        <is>
          <t>Static profile activates 6 keyword family/families: KI / Digital, Innovation / Transfer, Wirtschaft / Mittelstand / Standort, Wissenschaft / Bildung / Hochschule, Dialog / Netzwerk / Verantwortung, Kultur / Medien / Öffentlichkeit.</t>
        </is>
      </c>
      <c r="L87" s="19" t="inlineStr">
        <is>
          <t>Use as convening/context partner for digitalization / data / technology opportunity anchor.</t>
        </is>
      </c>
      <c r="M87" s="19" t="inlineStr">
        <is>
          <t>https://www.zirp.de/die-zirp/mitglieder/</t>
        </is>
      </c>
      <c r="N87" s="19" t="inlineStr">
        <is>
          <t>Keyword search over existing static ZIRP member fields in this workbook, designed to mirror/search official ZIRP profile info boxes.</t>
        </is>
      </c>
    </row>
    <row r="88">
      <c r="A88" s="19" t="n">
        <v>87</v>
      </c>
      <c r="B88" s="19" t="inlineStr">
        <is>
          <t>Techniker Krankenkasse</t>
        </is>
      </c>
      <c r="C88" s="19" t="inlineStr">
        <is>
          <t>https://www.tk.de/rp</t>
        </is>
      </c>
      <c r="D88" s="19" t="inlineStr">
        <is>
          <t>context_actor</t>
        </is>
      </c>
      <c r="E88" t="inlineStr">
        <is>
          <t>health_social_anchor</t>
        </is>
      </c>
      <c r="F88" s="19" t="inlineStr">
        <is>
          <t>Techniker Krankenkasse | context_actor | gesellschaft | Gesundheitsversorgung und Prävention (5); Pflege, Fachkräfte und Sozialwirtschaft (4); Sport, Region und gesellschaftliche Identifikation (4)</t>
        </is>
      </c>
      <c r="G88" s="19" t="inlineStr">
        <is>
          <t>KI / Digital; Gesundheit / Pflege / Sozialwirtschaft; Fachkräfte / Arbeit / Qualifizierung; Wirtschaft / Mittelstand / Standort; Dialog / Netzwerk / Verantwortung; Kultur / Medien / Öffentlichkeit</t>
        </is>
      </c>
      <c r="H88" s="19" t="inlineStr">
        <is>
          <t>IT; Gesundheit; Gesundheitsversorgung; Pflege; Sozialwirtschaft; Prävention; Versorgung; Fachkräfte; Wirtschaft; gesellschaftlich; Region; gesellschaftliche Identifikation</t>
        </is>
      </c>
      <c r="I88" s="19" t="n">
        <v>12</v>
      </c>
      <c r="J88" s="19" t="inlineStr">
        <is>
          <t>Gesundheitsversorgung und Prävention (5)</t>
        </is>
      </c>
      <c r="K88" s="19" t="inlineStr">
        <is>
          <t>Static profile activates 6 keyword family/families: KI / Digital, Gesundheit / Pflege / Sozialwirtschaft, Fachkräfte / Arbeit / Qualifizierung, Wirtschaft / Mittelstand / Standort, Dialog / Netzwerk / Verantwortung, Kultur / Medien / Öffentlichkeit.</t>
        </is>
      </c>
      <c r="L88" s="19" t="inlineStr">
        <is>
          <t>Use as convening/context partner for health/social-sector opportunity anchor.</t>
        </is>
      </c>
      <c r="M88" s="19" t="inlineStr">
        <is>
          <t>https://www.zirp.de/die-zirp/mitglieder/</t>
        </is>
      </c>
      <c r="N88" s="19" t="inlineStr">
        <is>
          <t>Keyword search over existing static ZIRP member fields in this workbook, designed to mirror/search official ZIRP profile info boxes.</t>
        </is>
      </c>
    </row>
    <row r="89">
      <c r="A89" s="19" t="n">
        <v>88</v>
      </c>
      <c r="B89" s="19" t="inlineStr">
        <is>
          <t>Technische Hochschule Bingen</t>
        </is>
      </c>
      <c r="C89" s="19" t="inlineStr">
        <is>
          <t>https://www.th-bingen.de</t>
        </is>
      </c>
      <c r="D89" s="19" t="inlineStr">
        <is>
          <t>academic_support</t>
        </is>
      </c>
      <c r="E89" t="inlineStr">
        <is>
          <t>university_applied_sciences</t>
        </is>
      </c>
      <c r="F89" s="19" t="inlineStr">
        <is>
          <t>Technische Hochschule Bingen | academic_support | nachhaltigkeit, technologie, wirtschaft, wissen | Arbeitsmarkt, Fachkräfte und Qualifizierung (4); Digitale Bau-, Planungs- und Genehmigungsprozesse (4); Hochschule-Wirtschaft-Transfer (4); Industrie 4.0, Automatisierung und Produktion (4); Klimaanpassung in Stadt und Land (4)</t>
        </is>
      </c>
      <c r="G89" s="19" t="inlineStr">
        <is>
          <t>KI / Digital; Innovation / Transfer; Nachhaltigkeit / Klima / Energie; Fachkräfte / Arbeit / Qualifizierung; Bau / Raum / Infrastruktur; Wirtschaft / Mittelstand / Standort; Wissenschaft / Bildung / Hochschule</t>
        </is>
      </c>
      <c r="H89" s="19" t="inlineStr">
        <is>
          <t>digital; IT; Technologie; Automatisierung; Industrie 4.0; Transfer; Wissen; Nachhaltigkeit; nachhaltig; Klima; Klimaanpassung; Land; Stadt; Fachkräfte; Qualifizierung; Arbeitsmarkt; Bau; Planung; Genehmigung; Wirtschaft; Industrie; Hochschule</t>
        </is>
      </c>
      <c r="I89" s="19" t="n">
        <v>22</v>
      </c>
      <c r="J89" s="19" t="inlineStr">
        <is>
          <t>Arbeitsmarkt, Fachkräfte und Qualifizierung (4)</t>
        </is>
      </c>
      <c r="K89" s="19" t="inlineStr">
        <is>
          <t>Static profile activates 7 keyword family/families: KI / Digital, Innovation / Transfer, Nachhaltigkeit / Klima / Energie, Fachkräfte / Arbeit / Qualifizierung, Bau / Raum / Infrastruktur, Wirtschaft / Mittelstand / Standort, Wissenschaft / Bildung / Hochschule.</t>
        </is>
      </c>
      <c r="L89" s="19" t="inlineStr">
        <is>
          <t>Use as evidence, research or transfer partner for digitalization / data / technology opportunity anchor.</t>
        </is>
      </c>
      <c r="M89" s="19" t="inlineStr">
        <is>
          <t>https://www.zirp.de/die-zirp/mitglieder/</t>
        </is>
      </c>
      <c r="N89" s="19" t="inlineStr">
        <is>
          <t>Keyword search over existing static ZIRP member fields in this workbook, designed to mirror/search official ZIRP profile info boxes.</t>
        </is>
      </c>
    </row>
    <row r="90">
      <c r="A90" s="19" t="n">
        <v>89</v>
      </c>
      <c r="B90" s="19" t="inlineStr">
        <is>
          <t>thyssenkrupp Rasselstein GmbH</t>
        </is>
      </c>
      <c r="C90" s="19" t="inlineStr">
        <is>
          <t>https://www.thyssenkrupp-steel.com/de/unternehmen/business-units/packaging-steel/</t>
        </is>
      </c>
      <c r="D90" s="19" t="inlineStr">
        <is>
          <t>profit_anchor</t>
        </is>
      </c>
      <c r="E90" t="inlineStr">
        <is>
          <t>industry_anchor</t>
        </is>
      </c>
      <c r="F90" s="19" t="inlineStr">
        <is>
          <t>thyssenkrupp Rasselstein GmbH | profit_anchor | nachhaltigkeit, technologie, wirtschaft | Standort, Investition und industrielle Transformation (5); Energie, Netze und Versorgungssicherheit (4); Industrie 4.0, Automatisierung und Produktion (4)</t>
        </is>
      </c>
      <c r="G90" s="19" t="inlineStr">
        <is>
          <t>KI / Digital; Nachhaltigkeit / Klima / Energie; Gesundheit / Pflege / Sozialwirtschaft; Wirtschaft / Mittelstand / Standort</t>
        </is>
      </c>
      <c r="H90" s="19" t="inlineStr">
        <is>
          <t>IT; Technologie; Automatisierung; Industrie 4.0; Nachhaltigkeit; nachhaltig; Energie; Netze; Versorgungssicherheit; Versorgung; Wirtschaft; Standort; Industrie; Investition; Transformation</t>
        </is>
      </c>
      <c r="I90" s="19" t="n">
        <v>15</v>
      </c>
      <c r="J90" s="19" t="inlineStr">
        <is>
          <t>Standort, Investition und industrielle Transformation (5)</t>
        </is>
      </c>
      <c r="K90" s="19" t="inlineStr">
        <is>
          <t>Static profile activates 4 keyword family/families: KI / Digital, Nachhaltigkeit / Klima / Energie, Gesundheit / Pflege / Sozialwirtschaft, Wirtschaft / Mittelstand / Standort.</t>
        </is>
      </c>
      <c r="L90" s="19" t="inlineStr">
        <is>
          <t>Use as implementation/commercial partner for health/social-sector opportunity anchor.</t>
        </is>
      </c>
      <c r="M90" s="19" t="inlineStr">
        <is>
          <t>https://www.zirp.de/die-zirp/mitglieder/</t>
        </is>
      </c>
      <c r="N90" s="19" t="inlineStr">
        <is>
          <t>Keyword search over existing static ZIRP member fields in this workbook, designed to mirror/search official ZIRP profile info boxes.</t>
        </is>
      </c>
    </row>
    <row r="91">
      <c r="A91" s="19" t="n">
        <v>90</v>
      </c>
      <c r="B91" s="19" t="inlineStr">
        <is>
          <t>Transdev GmbH</t>
        </is>
      </c>
      <c r="C91" s="19" t="inlineStr">
        <is>
          <t>https://www.transdev.de</t>
        </is>
      </c>
      <c r="D91" s="19" t="inlineStr">
        <is>
          <t>profit_anchor</t>
        </is>
      </c>
      <c r="E91" t="inlineStr">
        <is>
          <t>energy_infrastructure_anchor</t>
        </is>
      </c>
      <c r="F91" s="19" t="inlineStr">
        <is>
          <t>Transdev GmbH | profit_anchor | nachhaltigkeit | Klimaanpassung in Stadt und Land (3)</t>
        </is>
      </c>
      <c r="G91" s="19" t="inlineStr">
        <is>
          <t>KI / Digital; Nachhaltigkeit / Klima / Energie; Bau / Raum / Infrastruktur</t>
        </is>
      </c>
      <c r="H91" s="19" t="inlineStr">
        <is>
          <t>IT; Nachhaltigkeit; nachhaltig; Klima; Klimaanpassung; Land; Stadt</t>
        </is>
      </c>
      <c r="I91" s="19" t="n">
        <v>7</v>
      </c>
      <c r="J91" s="19" t="inlineStr">
        <is>
          <t>Klimaanpassung in Stadt und Land (3)</t>
        </is>
      </c>
      <c r="K91" s="19" t="inlineStr">
        <is>
          <t>Static profile activates 3 keyword family/families: KI / Digital, Nachhaltigkeit / Klima / Energie, Bau / Raum / Infrastruktur.</t>
        </is>
      </c>
      <c r="L91" s="19" t="inlineStr">
        <is>
          <t>Use as implementation/commercial partner for digitalization / data / technology opportunity anchor.</t>
        </is>
      </c>
      <c r="M91" s="19" t="inlineStr">
        <is>
          <t>https://www.zirp.de/die-zirp/mitglieder/</t>
        </is>
      </c>
      <c r="N91" s="19" t="inlineStr">
        <is>
          <t>Keyword search over existing static ZIRP member fields in this workbook, designed to mirror/search official ZIRP profile info boxes.</t>
        </is>
      </c>
    </row>
    <row r="92">
      <c r="A92" s="19" t="n">
        <v>91</v>
      </c>
      <c r="B92" s="19" t="inlineStr">
        <is>
          <t>TÜV Rheinland Berlin Brandenburg Pfalz e.V.</t>
        </is>
      </c>
      <c r="C92" s="19" t="inlineStr">
        <is>
          <t>https://www.tuv.com/germany/de/</t>
        </is>
      </c>
      <c r="D92" s="19" t="inlineStr">
        <is>
          <t>context_actor</t>
        </is>
      </c>
      <c r="E92" t="inlineStr">
        <is>
          <t>chamber_association_anchor</t>
        </is>
      </c>
      <c r="F92" s="19" t="inlineStr">
        <is>
          <t>TÜV Rheinland Berlin Brandenburg Pfalz e.V. | context_actor | nachhaltigkeit, technologie | Cyberresilienz und kritische Infrastruktur (5); Digitale Bau-, Planungs- und Genehmigungsprozesse (4); Industrie 4.0, Automatisierung und Produktion (4); KI, Daten und Verwaltungs-/Wirtschaftsanwendungen (4); Kreislaufwirtschaft, Bau und Ersatzbaustoffverordnung (4)</t>
        </is>
      </c>
      <c r="G92" s="19" t="inlineStr">
        <is>
          <t>KI / Digital; Nachhaltigkeit / Klima / Energie; Bau / Raum / Infrastruktur; Wirtschaft / Mittelstand / Standort</t>
        </is>
      </c>
      <c r="H92" s="19" t="inlineStr">
        <is>
          <t>KI; digital; Daten; IT; Technologie; Cyber; Automatisierung; Industrie 4.0; Verwaltung; Nachhaltigkeit; nachhaltig; Kreislauf; Ersatzbaustoff; Land; Bau; Infrastruktur; Planung; Genehmigung; Wirtschaft; Industrie</t>
        </is>
      </c>
      <c r="I92" s="19" t="n">
        <v>20</v>
      </c>
      <c r="J92" s="19" t="inlineStr">
        <is>
          <t>Cyberresilienz und kritische Infrastruktur (5)</t>
        </is>
      </c>
      <c r="K92" s="19" t="inlineStr">
        <is>
          <t>Static profile activates 4 keyword family/families: KI / Digital, Nachhaltigkeit / Klima / Energie, Bau / Raum / Infrastruktur, Wirtschaft / Mittelstand / Standort.</t>
        </is>
      </c>
      <c r="L92" s="19" t="inlineStr">
        <is>
          <t>Use as convening/context partner for digitalization / data / technology opportunity anchor.</t>
        </is>
      </c>
      <c r="M92" s="19" t="inlineStr">
        <is>
          <t>https://www.zirp.de/die-zirp/mitglieder/</t>
        </is>
      </c>
      <c r="N92" s="19" t="inlineStr">
        <is>
          <t>Keyword search over existing static ZIRP member fields in this workbook, designed to mirror/search official ZIRP profile info boxes.</t>
        </is>
      </c>
    </row>
    <row r="93">
      <c r="A93" s="19" t="n">
        <v>92</v>
      </c>
      <c r="B93" s="19" t="inlineStr">
        <is>
          <t>Universität Koblenz</t>
        </is>
      </c>
      <c r="C93" s="19" t="inlineStr">
        <is>
          <t>http://www.uni-koblenz.de</t>
        </is>
      </c>
      <c r="D93" s="19" t="inlineStr">
        <is>
          <t>academic_support</t>
        </is>
      </c>
      <c r="E93" t="inlineStr">
        <is>
          <t>university_research</t>
        </is>
      </c>
      <c r="F93" s="19" t="inlineStr">
        <is>
          <t>Universität Koblenz | academic_support | gesellschaft, technologie, wissen | Demokratie, Medien und gesellschaftlicher Zusammenhalt (4); Hochschule-Wirtschaft-Transfer (4); KI, Daten und Verwaltungs-/Wirtschaftsanwendungen (4); Verwaltungswissen und digitale Umsetzung (4); Wissenschaft, Demokratie und gesellschaftlicher Zusammenhalt (4)</t>
        </is>
      </c>
      <c r="G93" s="19" t="inlineStr">
        <is>
          <t>KI / Digital; Innovation / Transfer; Wirtschaft / Mittelstand / Standort; Wissenschaft / Bildung / Hochschule; Dialog / Netzwerk / Verantwortung; Kultur / Medien / Öffentlichkeit</t>
        </is>
      </c>
      <c r="H93" s="19" t="inlineStr">
        <is>
          <t>KI; digital; Daten; IT; Technologie; Verwaltung; Transfer; Wissen; Wirtschaft; Wissenschaft; Hochschule; Universität; gesellschaftlich; Zusammenhalt; Medien; Demokratie</t>
        </is>
      </c>
      <c r="I93" s="19" t="n">
        <v>16</v>
      </c>
      <c r="J93" s="19" t="inlineStr">
        <is>
          <t>Demokratie, Medien und gesellschaftlicher Zusammenhalt (4)</t>
        </is>
      </c>
      <c r="K93" s="19" t="inlineStr">
        <is>
          <t>Static profile activates 6 keyword family/families: KI / Digital, Innovation / Transfer, Wirtschaft / Mittelstand / Standort, Wissenschaft / Bildung / Hochschule, Dialog / Netzwerk / Verantwortung, Kultur / Medien / Öffentlichkeit.</t>
        </is>
      </c>
      <c r="L93" s="19" t="inlineStr">
        <is>
          <t>Use as evidence, research or transfer partner for digitalization / data / technology opportunity anchor.</t>
        </is>
      </c>
      <c r="M93" s="19" t="inlineStr">
        <is>
          <t>https://www.zirp.de/die-zirp/mitglieder/</t>
        </is>
      </c>
      <c r="N93" s="19" t="inlineStr">
        <is>
          <t>Keyword search over existing static ZIRP member fields in this workbook, designed to mirror/search official ZIRP profile info boxes.</t>
        </is>
      </c>
    </row>
    <row r="94">
      <c r="A94" s="19" t="n">
        <v>93</v>
      </c>
      <c r="B94" s="19" t="inlineStr">
        <is>
          <t>Universität Trier</t>
        </is>
      </c>
      <c r="C94" s="19" t="inlineStr">
        <is>
          <t>https://www.uni-trier.de</t>
        </is>
      </c>
      <c r="D94" s="19" t="inlineStr">
        <is>
          <t>academic_support</t>
        </is>
      </c>
      <c r="E94" t="inlineStr">
        <is>
          <t>university_research</t>
        </is>
      </c>
      <c r="F94" s="19" t="inlineStr">
        <is>
          <t>Universität Trier | academic_support | gesellschaft, technologie, wissen | Wissenschaft, Demokratie und gesellschaftlicher Zusammenhalt (5); Cyberresilienz und kritische Infrastruktur (4); Demokratie, Medien und gesellschaftlicher Zusammenhalt (4); Hochschule-Wirtschaft-Transfer (4); KI, Daten und Verwaltungs-/Wirtschaftsanwendungen (4)</t>
        </is>
      </c>
      <c r="G94" s="19" t="inlineStr">
        <is>
          <t>KI / Digital; Innovation / Transfer; Bau / Raum / Infrastruktur; Wirtschaft / Mittelstand / Standort; Wissenschaft / Bildung / Hochschule; Dialog / Netzwerk / Verantwortung; Kultur / Medien / Öffentlichkeit</t>
        </is>
      </c>
      <c r="H94" s="19" t="inlineStr">
        <is>
          <t>KI; Daten; IT; Technologie; Cyber; Verwaltung; Transfer; Wissen; Infrastruktur; Wirtschaft; Wissenschaft; Hochschule; Universität; gesellschaftlich; Zusammenhalt; Medien; Demokratie</t>
        </is>
      </c>
      <c r="I94" s="19" t="n">
        <v>17</v>
      </c>
      <c r="J94" s="19" t="inlineStr">
        <is>
          <t>Wissenschaft, Demokratie und gesellschaftlicher Zusammenhalt (5)</t>
        </is>
      </c>
      <c r="K94" s="19" t="inlineStr">
        <is>
          <t>Static profile activates 7 keyword family/families: KI / Digital, Innovation / Transfer, Bau / Raum / Infrastruktur, Wirtschaft / Mittelstand / Standort, Wissenschaft / Bildung / Hochschule, Dialog / Netzwerk / Verantwortung, Kultur / Medien / Öffentlichkeit.</t>
        </is>
      </c>
      <c r="L94" s="19" t="inlineStr">
        <is>
          <t>Use as evidence, research or transfer partner for digitalization / data / technology opportunity anchor.</t>
        </is>
      </c>
      <c r="M94" s="19" t="inlineStr">
        <is>
          <t>https://www.zirp.de/die-zirp/mitglieder/</t>
        </is>
      </c>
      <c r="N94" s="19" t="inlineStr">
        <is>
          <t>Keyword search over existing static ZIRP member fields in this workbook, designed to mirror/search official ZIRP profile info boxes.</t>
        </is>
      </c>
    </row>
    <row r="95">
      <c r="A95" s="19" t="n">
        <v>94</v>
      </c>
      <c r="B95" s="19" t="inlineStr">
        <is>
          <t>Vereinigte VR Bank Kur- und Rheinpfalz eG</t>
        </is>
      </c>
      <c r="C95" s="19" t="inlineStr">
        <is>
          <t>https://www.vvrbank-krp.de</t>
        </is>
      </c>
      <c r="D95" s="19" t="inlineStr">
        <is>
          <t>profit_anchor</t>
        </is>
      </c>
      <c r="E95" t="inlineStr">
        <is>
          <t>bank_finance_anchor</t>
        </is>
      </c>
      <c r="F95" s="19" t="inlineStr">
        <is>
          <t>Vereinigte VR Bank Kur- und Rheinpfalz eG | profit_anchor | wirtschaft | Finanzierung und Förderung von Transformation (4); Standort, Investition und industrielle Transformation (3)</t>
        </is>
      </c>
      <c r="G95" s="19" t="inlineStr">
        <is>
          <t>KI / Digital; Wirtschaft / Mittelstand / Standort</t>
        </is>
      </c>
      <c r="H95" s="19" t="inlineStr">
        <is>
          <t>IT; Wirtschaft; Standort; Industrie; Investition; Transformation; Förderung; Finanzierung</t>
        </is>
      </c>
      <c r="I95" s="19" t="n">
        <v>8</v>
      </c>
      <c r="J95" s="19" t="inlineStr">
        <is>
          <t>Finanzierung und Förderung von Transformation (4)</t>
        </is>
      </c>
      <c r="K95" s="19" t="inlineStr">
        <is>
          <t>Static profile activates 2 keyword family/families: KI / Digital, Wirtschaft / Mittelstand / Standort.</t>
        </is>
      </c>
      <c r="L95" s="19" t="inlineStr">
        <is>
          <t>Use as implementation/commercial partner for digitalization / data / technology opportunity anchor.</t>
        </is>
      </c>
      <c r="M95" s="19" t="inlineStr">
        <is>
          <t>https://www.zirp.de/die-zirp/mitglieder/</t>
        </is>
      </c>
      <c r="N95" s="19" t="inlineStr">
        <is>
          <t>Keyword search over existing static ZIRP member fields in this workbook, designed to mirror/search official ZIRP profile info boxes.</t>
        </is>
      </c>
    </row>
    <row r="96">
      <c r="A96" s="19" t="n">
        <v>95</v>
      </c>
      <c r="B96" s="19" t="inlineStr">
        <is>
          <t>vero – Verband der Bau- und Rohstoffindustrie</t>
        </is>
      </c>
      <c r="C96" s="19" t="inlineStr">
        <is>
          <t>http://www.vero-baustoffe.de</t>
        </is>
      </c>
      <c r="D96" s="19" t="inlineStr">
        <is>
          <t>profit_anchor</t>
        </is>
      </c>
      <c r="E96" t="inlineStr">
        <is>
          <t>construction_planning_anchor</t>
        </is>
      </c>
      <c r="F96" s="19" t="inlineStr">
        <is>
          <t>vero – Verband der Bau- und Rohstoffindustrie | profit_anchor | nachhaltigkeit, technologie | Digitale Bau-, Planungs- und Genehmigungsprozesse (5); Kreislaufwirtschaft, Bau und Ersatzbaustoffverordnung (5)</t>
        </is>
      </c>
      <c r="G96" s="19" t="inlineStr">
        <is>
          <t>KI / Digital; Nachhaltigkeit / Klima / Energie; Bau / Raum / Infrastruktur; Wirtschaft / Mittelstand / Standort</t>
        </is>
      </c>
      <c r="H96" s="19" t="inlineStr">
        <is>
          <t>digital; IT; Technologie; Nachhaltigkeit; nachhaltig; Kreislauf; Ersatzbaustoff; Bau; Planung; Genehmigung; Wirtschaft; Industrie</t>
        </is>
      </c>
      <c r="I96" s="19" t="n">
        <v>12</v>
      </c>
      <c r="J96" s="19" t="inlineStr">
        <is>
          <t>Digitale Bau-, Planungs- und Genehmigungsprozesse (5)</t>
        </is>
      </c>
      <c r="K96" s="19" t="inlineStr">
        <is>
          <t>Static profile activates 4 keyword family/families: KI / Digital, Nachhaltigkeit / Klima / Energie, Bau / Raum / Infrastruktur, Wirtschaft / Mittelstand / Standort.</t>
        </is>
      </c>
      <c r="L96" s="19" t="inlineStr">
        <is>
          <t>Use as implementation/commercial partner for digitalization / data / technology opportunity anchor.</t>
        </is>
      </c>
      <c r="M96" s="19" t="inlineStr">
        <is>
          <t>https://www.zirp.de/die-zirp/mitglieder/</t>
        </is>
      </c>
      <c r="N96" s="19" t="inlineStr">
        <is>
          <t>Keyword search over existing static ZIRP member fields in this workbook, designed to mirror/search official ZIRP profile info boxes.</t>
        </is>
      </c>
    </row>
    <row r="97">
      <c r="A97" s="19" t="n">
        <v>96</v>
      </c>
      <c r="B97" s="19" t="inlineStr">
        <is>
          <t>Villa Musica Rheinland-Pfalz</t>
        </is>
      </c>
      <c r="C97" s="19" t="inlineStr">
        <is>
          <t>https://www.villamusica.de</t>
        </is>
      </c>
      <c r="D97" s="19" t="inlineStr">
        <is>
          <t>context_actor</t>
        </is>
      </c>
      <c r="E97" t="inlineStr">
        <is>
          <t>culture_foundation_anchor</t>
        </is>
      </c>
      <c r="F97" s="19" t="inlineStr">
        <is>
          <t>Villa Musica Rheinland-Pfalz | context_actor | gesellschaft, kultur, wissen | Kultur, Standortidentität und regionale Attraktivität (5); Talentförderung, Musik und Nachwuchs (5); Kreativwirtschaft, Medien und digitale Öffentlichkeit (4); Demokratie, Medien und gesellschaftlicher Zusammenhalt (3); Wissenschaft, Demokratie und gesellschaftlicher Zusammenhalt (3)</t>
        </is>
      </c>
      <c r="G97" s="19" t="inlineStr">
        <is>
          <t>KI / Digital; Innovation / Transfer; Nachhaltigkeit / Klima / Energie; Wirtschaft / Mittelstand / Standort; Wissenschaft / Bildung / Hochschule; Dialog / Netzwerk / Verantwortung; Kultur / Medien / Öffentlichkeit</t>
        </is>
      </c>
      <c r="H97" s="19" t="inlineStr">
        <is>
          <t>digital; IT; Wissen; Land; Wirtschaft; Standort; Förderung; Wissenschaft; gesellschaftlich; Zusammenhalt; Kultur; Medien; Öffentlichkeit; Kreativwirtschaft; Musik; Standortidentität; Region; Demokratie</t>
        </is>
      </c>
      <c r="I97" s="19" t="n">
        <v>18</v>
      </c>
      <c r="J97" s="19" t="inlineStr">
        <is>
          <t>Kultur, Standortidentität und regionale Attraktivität (5)</t>
        </is>
      </c>
      <c r="K97" s="19" t="inlineStr">
        <is>
          <t>Static profile activates 7 keyword family/families: KI / Digital, Innovation / Transfer, Nachhaltigkeit / Klima / Energie, Wirtschaft / Mittelstand / Standort, Wissenschaft / Bildung / Hochschule, Dialog / Netzwerk / Verantwortung, Kultur / Medien / Öffentlichkeit.</t>
        </is>
      </c>
      <c r="L97" s="19" t="inlineStr">
        <is>
          <t>Use as convening/context partner for digitalization / data / technology opportunity anchor.</t>
        </is>
      </c>
      <c r="M97" s="19" t="inlineStr">
        <is>
          <t>https://www.zirp.de/die-zirp/mitglieder/</t>
        </is>
      </c>
      <c r="N97" s="19" t="inlineStr">
        <is>
          <t>Keyword search over existing static ZIRP member fields in this workbook, designed to mirror/search official ZIRP profile info boxes.</t>
        </is>
      </c>
    </row>
    <row r="98">
      <c r="A98" s="19" t="n">
        <v>97</v>
      </c>
      <c r="B98" s="19" t="inlineStr">
        <is>
          <t>Vinzenz Pallotti University gGmbH</t>
        </is>
      </c>
      <c r="C98" s="19" t="inlineStr">
        <is>
          <t>https://vp-uni.de</t>
        </is>
      </c>
      <c r="D98" s="19" t="inlineStr">
        <is>
          <t>academic_support</t>
        </is>
      </c>
      <c r="E98" t="inlineStr">
        <is>
          <t>university_research</t>
        </is>
      </c>
      <c r="F98" s="19" t="inlineStr">
        <is>
          <t>Vinzenz Pallotti University gGmbH | academic_support | gesellschaft, wirtschaft, wissen | Pflege, Fachkräfte und Sozialwirtschaft (4); Teilhabe, Inklusion und Arbeitsmarkt (4); Weiterbildung und lebenslanges Lernen (4); Wissenschaft, Demokratie und gesellschaftlicher Zusammenhalt (4); Arbeitsmarkt, Fachkräfte und Qualifizierung (3)</t>
        </is>
      </c>
      <c r="G98" s="19" t="inlineStr">
        <is>
          <t>KI / Digital; Innovation / Transfer; Gesundheit / Pflege / Sozialwirtschaft; Fachkräfte / Arbeit / Qualifizierung; Wirtschaft / Mittelstand / Standort; Wissenschaft / Bildung / Hochschule; Dialog / Netzwerk / Verantwortung; Kultur / Medien / Öffentlichkeit</t>
        </is>
      </c>
      <c r="H98" s="19" t="inlineStr">
        <is>
          <t>IT; Wissen; Pflege; Sozialwirtschaft; Teilhabe; Fachkräfte; Qualifizierung; Weiterbildung; Arbeitsmarkt; lebenslanges Lernen; Wirtschaft; Wissenschaft; Bildung; gesellschaftlich; Zusammenhalt; Demokratie</t>
        </is>
      </c>
      <c r="I98" s="19" t="n">
        <v>16</v>
      </c>
      <c r="J98" s="19" t="inlineStr">
        <is>
          <t>Pflege, Fachkräfte und Sozialwirtschaft (4)</t>
        </is>
      </c>
      <c r="K98" s="19" t="inlineStr">
        <is>
          <t>Static profile activates 8 keyword family/families: KI / Digital, Innovation / Transfer, Gesundheit / Pflege / Sozialwirtschaft, Fachkräfte / Arbeit / Qualifizierung, Wirtschaft / Mittelstand / Standort, Wissenschaft / Bildung / Hochschule, Dialog / Netzwerk / Verantwortung, Kultur / Medien / Öffentlichkeit.</t>
        </is>
      </c>
      <c r="L98" s="19" t="inlineStr">
        <is>
          <t>Use as evidence, research or transfer partner for health/social-sector opportunity anchor.</t>
        </is>
      </c>
      <c r="M98" s="19" t="inlineStr">
        <is>
          <t>https://www.zirp.de/die-zirp/mitglieder/</t>
        </is>
      </c>
      <c r="N98" s="19" t="inlineStr">
        <is>
          <t>Keyword search over existing static ZIRP member fields in this workbook, designed to mirror/search official ZIRP profile info boxes.</t>
        </is>
      </c>
    </row>
    <row r="99">
      <c r="A99" s="19" t="n">
        <v>98</v>
      </c>
      <c r="B99" s="19" t="inlineStr">
        <is>
          <t>Westenergie AG</t>
        </is>
      </c>
      <c r="C99" s="19" t="inlineStr">
        <is>
          <t>https://www.westenergie.de</t>
        </is>
      </c>
      <c r="D99" s="19" t="inlineStr">
        <is>
          <t>profit_anchor</t>
        </is>
      </c>
      <c r="E99" t="inlineStr">
        <is>
          <t>energy_infrastructure_anchor</t>
        </is>
      </c>
      <c r="F99" s="19" t="inlineStr">
        <is>
          <t>Westenergie AG | profit_anchor | nachhaltigkeit, technologie, wirtschaft | Cyberresilienz und kritische Infrastruktur (5); Energie, Netze und Versorgungssicherheit (5); Finanzierung und Förderung von Transformation (3); Klimaanpassung in Stadt und Land (3); Wasser, Umwelttechnik und kommunale Resilienz (3)</t>
        </is>
      </c>
      <c r="G99" s="19" t="inlineStr">
        <is>
          <t>KI / Digital; Nachhaltigkeit / Klima / Energie; Gesundheit / Pflege / Sozialwirtschaft; Bau / Raum / Infrastruktur; Wirtschaft / Mittelstand / Standort</t>
        </is>
      </c>
      <c r="H99" s="19" t="inlineStr">
        <is>
          <t>IT; Technologie; Cyber; Nachhaltigkeit; nachhaltig; Klima; Klimaanpassung; Umwelt; Energie; Netze; Versorgungssicherheit; Land; Stadt; Versorgung; Infrastruktur; Wirtschaft; Transformation; Förderung; Finanzierung</t>
        </is>
      </c>
      <c r="I99" s="19" t="n">
        <v>19</v>
      </c>
      <c r="J99" s="19" t="inlineStr">
        <is>
          <t>Cyberresilienz und kritische Infrastruktur (5)</t>
        </is>
      </c>
      <c r="K99" s="19" t="inlineStr">
        <is>
          <t>Static profile activates 5 keyword family/families: KI / Digital, Nachhaltigkeit / Klima / Energie, Gesundheit / Pflege / Sozialwirtschaft, Bau / Raum / Infrastruktur, Wirtschaft / Mittelstand / Standort.</t>
        </is>
      </c>
      <c r="L99" s="19" t="inlineStr">
        <is>
          <t>Use as implementation/commercial partner for health/social-sector opportunity anchor.</t>
        </is>
      </c>
      <c r="M99" s="19" t="inlineStr">
        <is>
          <t>https://www.zirp.de/die-zirp/mitglieder/</t>
        </is>
      </c>
      <c r="N99" s="19" t="inlineStr">
        <is>
          <t>Keyword search over existing static ZIRP member fields in this workbook, designed to mirror/search official ZIRP profile info boxes.</t>
        </is>
      </c>
    </row>
    <row r="100">
      <c r="A100" s="19" t="n">
        <v>99</v>
      </c>
      <c r="B100" s="19" t="inlineStr">
        <is>
          <t>WHU – Otto Beisheim School of Management</t>
        </is>
      </c>
      <c r="C100" s="19" t="inlineStr">
        <is>
          <t>https://www.whu.edu</t>
        </is>
      </c>
      <c r="D100" s="19" t="inlineStr">
        <is>
          <t>academic_support</t>
        </is>
      </c>
      <c r="E100" t="inlineStr">
        <is>
          <t>university_research</t>
        </is>
      </c>
      <c r="F100" s="19" t="inlineStr">
        <is>
          <t>WHU – Otto Beisheim School of Management | academic_support | wirtschaft, wissen | Hochschule-Wirtschaft-Transfer (5); Arbeitsmarkt, Fachkräfte und Qualifizierung (4); Finanzierung und Förderung von Transformation (4); Mittelstand, Digitalisierung und Produktivität (4); Standort, Investition und industrielle Transformation (4)</t>
        </is>
      </c>
      <c r="G100" s="19" t="inlineStr">
        <is>
          <t>KI / Digital; Innovation / Transfer; Fachkräfte / Arbeit / Qualifizierung; Wirtschaft / Mittelstand / Standort; Wissenschaft / Bildung / Hochschule</t>
        </is>
      </c>
      <c r="H100" s="19" t="inlineStr">
        <is>
          <t>Digitalisierung; digital; IT; Transfer; Wissen; Fachkräfte; Qualifizierung; Arbeitsmarkt; Produktivität; Wirtschaft; Standort; Mittelstand; Industrie; Investition; Transformation; Förderung; Finanzierung; Hochschule</t>
        </is>
      </c>
      <c r="I100" s="19" t="n">
        <v>18</v>
      </c>
      <c r="J100" s="19" t="inlineStr">
        <is>
          <t>Hochschule-Wirtschaft-Transfer (5)</t>
        </is>
      </c>
      <c r="K100" s="19" t="inlineStr">
        <is>
          <t>Static profile activates 5 keyword family/families: KI / Digital, Innovation / Transfer, Fachkräfte / Arbeit / Qualifizierung, Wirtschaft / Mittelstand / Standort, Wissenschaft / Bildung / Hochschule.</t>
        </is>
      </c>
      <c r="L100" s="19" t="inlineStr">
        <is>
          <t>Use as evidence, research or transfer partner for digitalization / data / technology opportunity anchor.</t>
        </is>
      </c>
      <c r="M100" s="19" t="inlineStr">
        <is>
          <t>https://www.zirp.de/die-zirp/mitglieder/</t>
        </is>
      </c>
      <c r="N100" s="19" t="inlineStr">
        <is>
          <t>Keyword search over existing static ZIRP member fields in this workbook, designed to mirror/search official ZIRP profile info boxes.</t>
        </is>
      </c>
    </row>
    <row r="101">
      <c r="A101" s="19" t="n">
        <v>100</v>
      </c>
      <c r="B101" s="19" t="inlineStr">
        <is>
          <t>Wilhelm Faber GmbH</t>
        </is>
      </c>
      <c r="C101" s="19" t="inlineStr">
        <is>
          <t>https://www.wilhelm-faber.de</t>
        </is>
      </c>
      <c r="D101" s="19" t="inlineStr">
        <is>
          <t>profit_anchor</t>
        </is>
      </c>
      <c r="E101" t="inlineStr">
        <is>
          <t>construction_planning_anchor</t>
        </is>
      </c>
      <c r="F101" s="19" t="inlineStr">
        <is>
          <t>Wilhelm Faber GmbH | profit_anchor | nachhaltigkeit | Kreislaufwirtschaft, Bau und Ersatzbaustoffverordnung (3)</t>
        </is>
      </c>
      <c r="G101" s="19" t="inlineStr">
        <is>
          <t>KI / Digital; Nachhaltigkeit / Klima / Energie; Bau / Raum / Infrastruktur; Wirtschaft / Mittelstand / Standort</t>
        </is>
      </c>
      <c r="H101" s="19" t="inlineStr">
        <is>
          <t>IT; Nachhaltigkeit; nachhaltig; Kreislauf; Ersatzbaustoff; Bau; Wirtschaft</t>
        </is>
      </c>
      <c r="I101" s="19" t="n">
        <v>7</v>
      </c>
      <c r="J101" s="19" t="inlineStr">
        <is>
          <t>Kreislaufwirtschaft, Bau und Ersatzbaustoffverordnung (3)</t>
        </is>
      </c>
      <c r="K101" s="19" t="inlineStr">
        <is>
          <t>Static profile activates 4 keyword family/families: KI / Digital, Nachhaltigkeit / Klima / Energie, Bau / Raum / Infrastruktur, Wirtschaft / Mittelstand / Standort.</t>
        </is>
      </c>
      <c r="L101" s="19" t="inlineStr">
        <is>
          <t>Use as implementation/commercial partner for digitalization / data / technology opportunity anchor.</t>
        </is>
      </c>
      <c r="M101" s="19" t="inlineStr">
        <is>
          <t>https://www.zirp.de/die-zirp/mitglieder/</t>
        </is>
      </c>
      <c r="N101" s="19" t="inlineStr">
        <is>
          <t>Keyword search over existing static ZIRP member fields in this workbook, designed to mirror/search official ZIRP profile info boxes.</t>
        </is>
      </c>
    </row>
    <row r="102">
      <c r="A102" s="19" t="n">
        <v>101</v>
      </c>
      <c r="B102" s="19" t="inlineStr">
        <is>
          <t>Zahnen Technik GmbH</t>
        </is>
      </c>
      <c r="C102" s="19" t="inlineStr">
        <is>
          <t>https://zahnen-technik.de</t>
        </is>
      </c>
      <c r="D102" s="19" t="inlineStr">
        <is>
          <t>profit_anchor</t>
        </is>
      </c>
      <c r="E102" t="inlineStr">
        <is>
          <t>energy_infrastructure_anchor</t>
        </is>
      </c>
      <c r="F102" s="19" t="inlineStr">
        <is>
          <t>Zahnen Technik GmbH | profit_anchor | nachhaltigkeit, technologie | Wasser, Umwelttechnik und kommunale Resilienz (5); Cyberresilienz und kritische Infrastruktur (4)</t>
        </is>
      </c>
      <c r="G102" s="19" t="inlineStr">
        <is>
          <t>KI / Digital; Nachhaltigkeit / Klima / Energie; Bau / Raum / Infrastruktur</t>
        </is>
      </c>
      <c r="H102" s="19" t="inlineStr">
        <is>
          <t>IT; Technologie; Cyber; Nachhaltigkeit; nachhaltig; Umwelt; Infrastruktur</t>
        </is>
      </c>
      <c r="I102" s="19" t="n">
        <v>7</v>
      </c>
      <c r="J102" s="19" t="inlineStr">
        <is>
          <t>Wasser, Umwelttechnik und kommunale Resilienz (5)</t>
        </is>
      </c>
      <c r="K102" s="19" t="inlineStr">
        <is>
          <t>Static profile activates 3 keyword family/families: KI / Digital, Nachhaltigkeit / Klima / Energie, Bau / Raum / Infrastruktur.</t>
        </is>
      </c>
      <c r="L102" s="19" t="inlineStr">
        <is>
          <t>Use as implementation/commercial partner for digitalization / data / technology opportunity anchor.</t>
        </is>
      </c>
      <c r="M102" s="19" t="inlineStr">
        <is>
          <t>https://www.zirp.de/die-zirp/mitglieder/</t>
        </is>
      </c>
      <c r="N102" s="19" t="inlineStr">
        <is>
          <t>Keyword search over existing static ZIRP member fields in this workbook, designed to mirror/search official ZIRP profile info boxes.</t>
        </is>
      </c>
    </row>
    <row r="103">
      <c r="A103" s="19" t="n">
        <v>102</v>
      </c>
      <c r="B103" s="19" t="inlineStr">
        <is>
          <t>ZDF – Zweites Deutsches Fernsehen</t>
        </is>
      </c>
      <c r="C103" s="19" t="inlineStr">
        <is>
          <t>https://www.zdf.de</t>
        </is>
      </c>
      <c r="D103" s="19" t="inlineStr">
        <is>
          <t>context_actor</t>
        </is>
      </c>
      <c r="E103" t="inlineStr">
        <is>
          <t>media_publicity_anchor</t>
        </is>
      </c>
      <c r="F103" s="19" t="inlineStr">
        <is>
          <t>ZDF – Zweites Deutsches Fernsehen | context_actor | gesellschaft, kultur, wissen | Demokratie, Medien und gesellschaftlicher Zusammenhalt (5); Kreativwirtschaft, Medien und digitale Öffentlichkeit (5); Kultur, Standortidentität und regionale Attraktivität (5); Wissenschaft, Demokratie und gesellschaftlicher Zusammenhalt (5); Talentförderung, Musik und Nachwuchs (4)</t>
        </is>
      </c>
      <c r="G103" s="19" t="inlineStr">
        <is>
          <t>KI / Digital; Innovation / Transfer; Wirtschaft / Mittelstand / Standort; Wissenschaft / Bildung / Hochschule; Dialog / Netzwerk / Verantwortung; Kultur / Medien / Öffentlichkeit</t>
        </is>
      </c>
      <c r="H103" s="19" t="inlineStr">
        <is>
          <t>digital; IT; Wissen; Wirtschaft; Standort; Förderung; Wissenschaft; gesellschaftlich; Zusammenhalt; Kultur; Medien; Öffentlichkeit; Kreativwirtschaft; Musik; Standortidentität; Region; Demokratie</t>
        </is>
      </c>
      <c r="I103" s="19" t="n">
        <v>17</v>
      </c>
      <c r="J103" s="19" t="inlineStr">
        <is>
          <t>Demokratie, Medien und gesellschaftlicher Zusammenhalt (5)</t>
        </is>
      </c>
      <c r="K103" s="19" t="inlineStr">
        <is>
          <t>Static profile activates 6 keyword family/families: KI / Digital, Innovation / Transfer, Wirtschaft / Mittelstand / Standort, Wissenschaft / Bildung / Hochschule, Dialog / Netzwerk / Verantwortung, Kultur / Medien / Öffentlichkeit.</t>
        </is>
      </c>
      <c r="L103" s="19" t="inlineStr">
        <is>
          <t>Use as convening/context partner for digitalization / data / technology opportunity anchor.</t>
        </is>
      </c>
      <c r="M103" s="19" t="inlineStr">
        <is>
          <t>https://www.zirp.de/die-zirp/mitglieder/</t>
        </is>
      </c>
      <c r="N103" s="19" t="inlineStr">
        <is>
          <t>Keyword search over existing static ZIRP member fields in this workbook, designed to mirror/search official ZIRP profile info boxes.</t>
        </is>
      </c>
    </row>
    <row r="104">
      <c r="A104" s="19" t="n">
        <v>103</v>
      </c>
      <c r="B104" s="19" t="inlineStr">
        <is>
          <t>Alexianer GmbH</t>
        </is>
      </c>
      <c r="C104" s="19" t="inlineStr">
        <is>
          <t>https://www.alexianer.de/</t>
        </is>
      </c>
      <c r="D104" s="19" t="inlineStr">
        <is>
          <t>context_actor</t>
        </is>
      </c>
      <c r="E104" t="inlineStr">
        <is>
          <t>health_social_anchor</t>
        </is>
      </c>
      <c r="F104" s="19" t="inlineStr">
        <is>
          <t>Alexianer GmbH | context_actor | gesellschaft, wirtschaft, wissen | Gesundheitsversorgung und Prävention (5); Pflege, Fachkräfte und Sozialwirtschaft (5); Teilhabe, Inklusion und Arbeitsmarkt (4); Dialog, Vernetzung und gesellschaftliche Verantwortung (4) | Die Alexianer Gruppe ist eines der größten konfessionellen Gesundheits- und Sozialwirtschafts-Unternehmen mit Krankenhäusern, medizinischen Versorgungszentren sowie Senioren-, Eingliederungs- und Jugendhilfe. ZIRP als Plattform für Dialog und Vernetzung über Themen der Gesundheits- und Sozialwirtschaft.</t>
        </is>
      </c>
      <c r="G104" s="19" t="inlineStr">
        <is>
          <t>KI / Digital; Innovation / Transfer; Gesundheit / Pflege / Sozialwirtschaft; Fachkräfte / Arbeit / Qualifizierung; Wirtschaft / Mittelstand / Standort; Wissenschaft / Bildung / Hochschule; Dialog / Netzwerk / Verantwortung</t>
        </is>
      </c>
      <c r="H104" s="19" t="inlineStr">
        <is>
          <t>IT; Plattform; Wissen; Gesundheit; Gesundheitsversorgung; Medizin; Pflege; Sozialwirtschaft; Krankenhäuser; Prävention; Versorgung; Teilhabe; Senioren; Fachkräfte; Arbeitsmarkt; Wirtschaft; Unternehmen; Dialog; Vernetzung; Verantwortung; gesellschaftlich</t>
        </is>
      </c>
      <c r="I104" s="19" t="n">
        <v>21</v>
      </c>
      <c r="J104" s="19" t="inlineStr">
        <is>
          <t>Gesundheitsversorgung und Prävention (5)</t>
        </is>
      </c>
      <c r="K104" s="19" t="inlineStr">
        <is>
          <t>Static profile activates 7 keyword family/families: KI / Digital, Innovation / Transfer, Gesundheit / Pflege / Sozialwirtschaft, Fachkräfte / Arbeit / Qualifizierung, Wirtschaft / Mittelstand / Standort, Wissenschaft / Bildung / Hochschule, Dialog / Netzwerk / Verantwortung.</t>
        </is>
      </c>
      <c r="L104" s="19" t="inlineStr">
        <is>
          <t>Use as convening/context partner for health/social-sector opportunity anchor.</t>
        </is>
      </c>
      <c r="M104" s="19" t="inlineStr">
        <is>
          <t>https://www.zirp.de/die-zirp/mitglieder/</t>
        </is>
      </c>
      <c r="N104" s="19" t="inlineStr">
        <is>
          <t>Keyword search over official/static member profile layer; Alexianer added from live ZIRP member profile.</t>
        </is>
      </c>
    </row>
  </sheetData>
  <conditionalFormatting sqref="H2:H104">
    <cfRule type="dataBar" priority="1">
      <dataBar>
        <cfvo type="min"/>
        <cfvo type="max"/>
        <color rgb="0064748B"/>
      </dataBar>
    </cfRule>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0" customWidth="1" style="46" min="1" max="1"/>
    <col width="14" customWidth="1" style="46" min="2" max="2"/>
    <col width="80" customWidth="1" style="46" min="3" max="3"/>
    <col width="80" customWidth="1" style="46" min="4" max="4"/>
  </cols>
  <sheetData>
    <row r="1" ht="28" customHeight="1" s="46">
      <c r="A1" s="49" t="inlineStr">
        <is>
          <t>keyword_family</t>
        </is>
      </c>
      <c r="B1" s="49" t="inlineStr">
        <is>
          <t>member_count</t>
        </is>
      </c>
      <c r="C1" s="49" t="inlineStr">
        <is>
          <t>example_members</t>
        </is>
      </c>
      <c r="D1" s="49" t="inlineStr">
        <is>
          <t>all_members</t>
        </is>
      </c>
    </row>
    <row r="2">
      <c r="A2" s="19" t="inlineStr">
        <is>
          <t>KI / Digital</t>
        </is>
      </c>
      <c r="B2" s="19" t="n">
        <v>102</v>
      </c>
      <c r="C2" s="19" t="inlineStr">
        <is>
          <t>1. FSV Mainz 05 e.V.; AOK Rheinland-Pfalz/Saarland; Architektenkammer Rheinland-Pfalz; Aturas GmbH; Barmherzige Brüder Trier gGmbH; BASF SE; Bauern- und Winzerverband Rheinland-Pfalz Süd e.V.; Bauwirtschaft Rheinland-Pfalz e.V.</t>
        </is>
      </c>
      <c r="D2" s="19" t="inlineStr">
        <is>
          <t>1. FSV Mainz 05 e.V.; AOK Rheinland-Pfalz/Saarland; Architektenkammer Rheinland-Pfalz; Aturas GmbH; Barmherzige Brüder Trier gGmbH; BASF SE; Bauern- und Winzerverband Rheinland-Pfalz Süd e.V.; Bauwirtschaft Rheinland-Pfalz e.V.; Bernd Hummel Holding GmbH; Bitburger Braugruppe GmbH; Boehringer Ingelheim Pharma GmbH &amp; Co. KG; BRICKMAKERS AG; Bundesagentur für Arbeit, Regionaldirektion Rheinland-Pfalz-Saarland; Caritasverband für die Diözese Speyer e.V.; Continental Automotive Technologies GmbH, Safety and Motion (SAM), Standort Rheinböllen; Debeka Versicherungsgruppe; Deutsche Bundesbank, Hauptverwaltung in Rheinland-Pfalz und dem Saarland; Deutsche Telekom AG; Deutsche Universität für Verwaltungswissenschaften Speyer; Deutscher Gewerkschaftsbund (DGB) Rheinland-Pfalz/Saarland; Duale Hochschule Rheinland-Pfalz; Eckes-Granini Deutschland GmbH; Empolis Information Management GmbH; ENTEGA Plus GmbH; Entwicklungsagentur Rheinland-Pfalz e.V.; Ernst &amp; Young GmbH; Erster FC Kaiserslautern GmbH &amp; Co. KGaA; Evangelische Kirche der Pfalz; Fachingen Heil- und Mineralbrunnen GmbH; Gerolsteiner Brunnen GmbH &amp; Co. KG; GLOBUS Markthallen Holding GmbH &amp; Co. KG; Handwerkskammern Rheinland-Pfalz; Heberger Gruppe; Hochschule für Gesellschaftsgestaltung (HfGG); Hochschule für Musik Mainz; Hochschule für Wirtschaft und Gesellschaft Ludwigshafen; Hochschule Kaiserslautern; Hochschule Koblenz; Hochschule Mainz; Hochschule Trier; Hochschule Worms; IKK Südwest; in.betrieb gGmbH; Ingenieurkammer Rheinland-Pfalz; Investitions- und Strukturbank Rheinland-Pfalz (ISB); IQIB - Institut für qualifizierende Innovationsforschung und -beratung GmbH; ITK Engineering GmbH; JOBS FOR MOMS UG; Johannes Gutenberg-Universität Mainz; Joseph Vögele AG; JUWI GmbH; Karl Gemünden GmbH &amp; Co. KG; Kassenzahnärztliche Vereinigung Rheinland-Pfalz; Kassenärztliche Vereinigung Rheinland-Pfalz; Katholische Hochschule Mainz; KPMG AG Wirtschaftsprüfungsgesellschaft; KSB AG; KÜBLER GmbH; L Q M Marktforschung GmbH; Landesbank Baden-Württemberg (LBBW); LandesPsychotherapeutenKammer Rheinland-Pfalz; Landesärztekammer Rheinland-Pfalz; Landkreistag Rheinland-Pfalz; Leonardo PersonalKonzept GmbH; Licharz GmbH; LOTTO Rheinland-Pfalz GmbH; LÖWEN ENTERTAINMENT GmbH; Mainzer Stadtwerke AG; Michelin Reifenwerke AG &amp; Co. KGaA; Ministerium für Wirtschaft, Verkehr, Landwirtschaft und Weinbau; PFAFF Industriesysteme und Maschinen GmbH; Pfalzwerke AG; Provinzial Versicherung AG; Rheinland-Pfälzische Technische Universität Kaiserslautern-Landau (RPTU); robotspaceship; RPR1.; Schoenergie GmbH; SCHOTT AG; Schuler Service GmbH &amp; Co. KG; SIMONA AG; SmartFactory KL e.V.; Sparkassenverband Rheinland-Pfalz; Staatskanzlei des Landes Rheinland-Pfalz; Städtetag Rheinland-Pfalz; SWR – Südwestrundfunk; Techniker Krankenkasse; Technische Hochschule Bingen; thyssenkrupp Rasselstein GmbH; Transdev GmbH; TÜV Rheinland Berlin Brandenburg Pfalz e.V.; Universität Koblenz; Universität Trier; Vereinigte VR Bank Kur- und Rheinpfalz eG; vero – Verband der Bau- und Rohstoffindustrie; Villa Musica Rheinland-Pfalz; Vinzenz Pallotti University gGmbH; Westenergie AG; WHU – Otto Beisheim School of Management; Wilhelm Faber GmbH; Zahnen Technik GmbH; ZDF – Zweites Deutsches Fernsehen; Alexianer GmbH</t>
        </is>
      </c>
    </row>
    <row r="3">
      <c r="A3" s="19" t="inlineStr">
        <is>
          <t>Innovation / Transfer</t>
        </is>
      </c>
      <c r="B3" s="19" t="n">
        <v>48</v>
      </c>
      <c r="C3" s="19" t="inlineStr">
        <is>
          <t>Aturas GmbH; Barmherzige Brüder Trier gGmbH; BASF SE; Boehringer Ingelheim Pharma GmbH &amp; Co. KG; BRICKMAKERS AG; Bundesagentur für Arbeit, Regionaldirektion Rheinland-Pfalz-Saarland; Deutsche Universität für Verwaltungswissenschaften Speyer; Deutscher Gewerkschaftsbund (DGB) Rheinland-Pfalz/Saarland</t>
        </is>
      </c>
      <c r="D3" s="19" t="inlineStr">
        <is>
          <t>Aturas GmbH; Barmherzige Brüder Trier gGmbH; BASF SE; Boehringer Ingelheim Pharma GmbH &amp; Co. KG; BRICKMAKERS AG; Bundesagentur für Arbeit, Regionaldirektion Rheinland-Pfalz-Saarland; Deutsche Universität für Verwaltungswissenschaften Speyer; Deutscher Gewerkschaftsbund (DGB) Rheinland-Pfalz/Saarland; Duale Hochschule Rheinland-Pfalz; Empolis Information Management GmbH; Entwicklungsagentur Rheinland-Pfalz e.V.; Evangelische Kirche der Pfalz; GLOBUS Markthallen Holding GmbH &amp; Co. KG; Handwerkskammern Rheinland-Pfalz; Hochschule für Gesellschaftsgestaltung (HfGG); Hochschule für Musik Mainz; Hochschule für Wirtschaft und Gesellschaft Ludwigshafen; Hochschule Kaiserslautern; Hochschule Koblenz; Hochschule Mainz; Hochschule Trier; Hochschule Worms; Investitions- und Strukturbank Rheinland-Pfalz (ISB); IQIB - Institut für qualifizierende Innovationsforschung und -beratung GmbH; ITK Engineering GmbH; JOBS FOR MOMS UG; Johannes Gutenberg-Universität Mainz; Katholische Hochschule Mainz; L Q M Marktforschung GmbH; Landkreistag Rheinland-Pfalz; Leonardo PersonalKonzept GmbH; Ministerium für Wirtschaft, Verkehr, Landwirtschaft und Weinbau; Rheinland-Pfälzische Technische Universität Kaiserslautern-Landau (RPTU); RPR1.; SCHOTT AG; SmartFactory KL e.V.; Sparkassenverband Rheinland-Pfalz; Staatskanzlei des Landes Rheinland-Pfalz; Städtetag Rheinland-Pfalz; SWR – Südwestrundfunk; Technische Hochschule Bingen; Universität Koblenz; Universität Trier; Villa Musica Rheinland-Pfalz; Vinzenz Pallotti University gGmbH; WHU – Otto Beisheim School of Management; ZDF – Zweites Deutsches Fernsehen; Alexianer GmbH</t>
        </is>
      </c>
    </row>
    <row r="4">
      <c r="A4" s="19" t="inlineStr">
        <is>
          <t>Nachhaltigkeit / Klima / Energie</t>
        </is>
      </c>
      <c r="B4" s="19" t="n">
        <v>50</v>
      </c>
      <c r="C4" s="19" t="inlineStr">
        <is>
          <t>AOK Rheinland-Pfalz/Saarland; Architektenkammer Rheinland-Pfalz; BASF SE; Bauern- und Winzerverband Rheinland-Pfalz Süd e.V.; Bauwirtschaft Rheinland-Pfalz e.V.; Bundesagentur für Arbeit, Regionaldirektion Rheinland-Pfalz-Saarland; Deutsche Bundesbank, Hauptverwaltung in Rheinland-Pfalz und dem Saarland; Deutscher Gewerkschaftsbund (DGB) Rheinland-Pfalz/Saarland</t>
        </is>
      </c>
      <c r="D4" s="19" t="inlineStr">
        <is>
          <t>AOK Rheinland-Pfalz/Saarland; Architektenkammer Rheinland-Pfalz; BASF SE; Bauern- und Winzerverband Rheinland-Pfalz Süd e.V.; Bauwirtschaft Rheinland-Pfalz e.V.; Bundesagentur für Arbeit, Regionaldirektion Rheinland-Pfalz-Saarland; Deutsche Bundesbank, Hauptverwaltung in Rheinland-Pfalz und dem Saarland; Deutscher Gewerkschaftsbund (DGB) Rheinland-Pfalz/Saarland; Duale Hochschule Rheinland-Pfalz; Eckes-Granini Deutschland GmbH; ENTEGA Plus GmbH; Entwicklungsagentur Rheinland-Pfalz e.V.; Handwerkskammern Rheinland-Pfalz; Heberger Gruppe; Hochschule für Gesellschaftsgestaltung (HfGG); Hochschule Trier; Ingenieurkammer Rheinland-Pfalz; Investitions- und Strukturbank Rheinland-Pfalz (ISB); JUWI GmbH; Karl Gemünden GmbH &amp; Co. KG; Kassenzahnärztliche Vereinigung Rheinland-Pfalz; Kassenärztliche Vereinigung Rheinland-Pfalz; KSB AG; KÜBLER GmbH; Landesbank Baden-Württemberg (LBBW); LandesPsychotherapeutenKammer Rheinland-Pfalz; Landesärztekammer Rheinland-Pfalz; Landkreistag Rheinland-Pfalz; LOTTO Rheinland-Pfalz GmbH; Mainzer Stadtwerke AG; Michelin Reifenwerke AG &amp; Co. KGaA; Ministerium für Wirtschaft, Verkehr, Landwirtschaft und Weinbau; Pfalzwerke AG; Rheinland-Pfälzische Technische Universität Kaiserslautern-Landau (RPTU); Schoenergie GmbH; SCHOTT AG; SIMONA AG; Sparkassenverband Rheinland-Pfalz; Staatskanzlei des Landes Rheinland-Pfalz; Steuerberaterkammer Rheinland-Pfalz; Städtetag Rheinland-Pfalz; Technische Hochschule Bingen; thyssenkrupp Rasselstein GmbH; Transdev GmbH; TÜV Rheinland Berlin Brandenburg Pfalz e.V.; vero – Verband der Bau- und Rohstoffindustrie; Villa Musica Rheinland-Pfalz; Westenergie AG; Wilhelm Faber GmbH; Zahnen Technik GmbH</t>
        </is>
      </c>
    </row>
    <row r="5">
      <c r="A5" s="19" t="inlineStr">
        <is>
          <t>Gesundheit / Pflege / Sozialwirtschaft</t>
        </is>
      </c>
      <c r="B5" s="19" t="n">
        <v>37</v>
      </c>
      <c r="C5" s="19" t="inlineStr">
        <is>
          <t>AOK Rheinland-Pfalz/Saarland; Barmherzige Brüder Trier gGmbH; BASF SE; Boehringer Ingelheim Pharma GmbH &amp; Co. KG; Bundesagentur für Arbeit, Regionaldirektion Rheinland-Pfalz-Saarland; Caritasverband für die Diözese Speyer e.V.; Deutscher Gewerkschaftsbund (DGB) Rheinland-Pfalz/Saarland; Duale Hochschule Rheinland-Pfalz</t>
        </is>
      </c>
      <c r="D5" s="19" t="inlineStr">
        <is>
          <t>AOK Rheinland-Pfalz/Saarland; Barmherzige Brüder Trier gGmbH; BASF SE; Boehringer Ingelheim Pharma GmbH &amp; Co. KG; Bundesagentur für Arbeit, Regionaldirektion Rheinland-Pfalz-Saarland; Caritasverband für die Diözese Speyer e.V.; Deutscher Gewerkschaftsbund (DGB) Rheinland-Pfalz/Saarland; Duale Hochschule Rheinland-Pfalz; ENTEGA Plus GmbH; Evangelische Kirche der Pfalz; GLOBUS Markthallen Holding GmbH &amp; Co. KG; Hochschule für Gesellschaftsgestaltung (HfGG); Hochschule für Wirtschaft und Gesellschaft Ludwigshafen; IKK Südwest; in.betrieb gGmbH; Investitions- und Strukturbank Rheinland-Pfalz (ISB); JOBS FOR MOMS UG; JUWI GmbH; Kassenzahnärztliche Vereinigung Rheinland-Pfalz; Kassenärztliche Vereinigung Rheinland-Pfalz; Katholische Hochschule Mainz; KÜBLER GmbH; Landesbank Baden-Württemberg (LBBW); LandesPsychotherapeutenKammer Rheinland-Pfalz; Landesärztekammer Rheinland-Pfalz; Leonardo PersonalKonzept GmbH; Mainzer Stadtwerke AG; Michelin Reifenwerke AG &amp; Co. KGaA; Pfalzwerke AG; Schoenergie GmbH; SCHOTT AG; SIMONA AG; Techniker Krankenkasse; thyssenkrupp Rasselstein GmbH; Vinzenz Pallotti University gGmbH; Westenergie AG; Alexianer GmbH</t>
        </is>
      </c>
    </row>
    <row r="6">
      <c r="A6" s="19" t="inlineStr">
        <is>
          <t>Fachkräfte / Arbeit / Qualifizierung</t>
        </is>
      </c>
      <c r="B6" s="19" t="n">
        <v>47</v>
      </c>
      <c r="C6" s="19" t="inlineStr">
        <is>
          <t>AOK Rheinland-Pfalz/Saarland; Aturas GmbH; Barmherzige Brüder Trier gGmbH; BASF SE; Boehringer Ingelheim Pharma GmbH &amp; Co. KG; BRICKMAKERS AG; Bundesagentur für Arbeit, Regionaldirektion Rheinland-Pfalz-Saarland; Caritasverband für die Diözese Speyer e.V.</t>
        </is>
      </c>
      <c r="D6" s="19" t="inlineStr">
        <is>
          <t>AOK Rheinland-Pfalz/Saarland; Aturas GmbH; Barmherzige Brüder Trier gGmbH; BASF SE; Boehringer Ingelheim Pharma GmbH &amp; Co. KG; BRICKMAKERS AG; Bundesagentur für Arbeit, Regionaldirektion Rheinland-Pfalz-Saarland; Caritasverband für die Diözese Speyer e.V.; Deutsche Telekom AG; Deutscher Gewerkschaftsbund (DGB) Rheinland-Pfalz/Saarland; Duale Hochschule Rheinland-Pfalz; Empolis Information Management GmbH; Evangelische Kirche der Pfalz; GLOBUS Markthallen Holding GmbH &amp; Co. KG; Handwerkskammern Rheinland-Pfalz; Hochschule für Gesellschaftsgestaltung (HfGG); Hochschule für Musik Mainz; Hochschule für Wirtschaft und Gesellschaft Ludwigshafen; Hochschule Kaiserslautern; Hochschule Koblenz; Hochschule Mainz; Hochschule Trier; Hochschule Worms; IKK Südwest; in.betrieb gGmbH; IQIB - Institut für qualifizierende Innovationsforschung und -beratung GmbH; ITK Engineering GmbH; JOBS FOR MOMS UG; Joseph Vögele AG; Kassenärztliche Vereinigung Rheinland-Pfalz; Katholische Hochschule Mainz; KÜBLER GmbH; LandesPsychotherapeutenKammer Rheinland-Pfalz; Landesärztekammer Rheinland-Pfalz; Leonardo PersonalKonzept GmbH; Licharz GmbH; Ministerium für Wirtschaft, Verkehr, Landwirtschaft und Weinbau; PFAFF Industriesysteme und Maschinen GmbH; Rheinland-Pfälzische Technische Universität Kaiserslautern-Landau (RPTU); robotspaceship; SmartFactory KL e.V.; Sparkassenverband Rheinland-Pfalz; Techniker Krankenkasse; Technische Hochschule Bingen; Vinzenz Pallotti University gGmbH; WHU – Otto Beisheim School of Management; Alexianer GmbH</t>
        </is>
      </c>
    </row>
    <row r="7">
      <c r="A7" s="19" t="inlineStr">
        <is>
          <t>Bau / Raum / Infrastruktur</t>
        </is>
      </c>
      <c r="B7" s="19" t="n">
        <v>38</v>
      </c>
      <c r="C7" s="19" t="inlineStr">
        <is>
          <t>Architektenkammer Rheinland-Pfalz; Aturas GmbH; Bauern- und Winzerverband Rheinland-Pfalz Süd e.V.; Bauwirtschaft Rheinland-Pfalz e.V.; BRICKMAKERS AG; Debeka Versicherungsgruppe; Deutsche Bundesbank, Hauptverwaltung in Rheinland-Pfalz und dem Saarland; Deutsche Telekom AG</t>
        </is>
      </c>
      <c r="D7" s="19" t="inlineStr">
        <is>
          <t>Architektenkammer Rheinland-Pfalz; Aturas GmbH; Bauern- und Winzerverband Rheinland-Pfalz Süd e.V.; Bauwirtschaft Rheinland-Pfalz e.V.; BRICKMAKERS AG; Debeka Versicherungsgruppe; Deutsche Bundesbank, Hauptverwaltung in Rheinland-Pfalz und dem Saarland; Deutsche Telekom AG; Deutsche Universität für Verwaltungswissenschaften Speyer; Empolis Information Management GmbH; ENTEGA Plus GmbH; Entwicklungsagentur Rheinland-Pfalz e.V.; Heberger Gruppe; Hochschule für Gesellschaftsgestaltung (HfGG); Hochschule Mainz; Ingenieurkammer Rheinland-Pfalz; Investitions- und Strukturbank Rheinland-Pfalz (ISB); JUWI GmbH; Karl Gemünden GmbH &amp; Co. KG; KSB AG; Landesbank Baden-Württemberg (LBBW); Landkreistag Rheinland-Pfalz; Mainzer Stadtwerke AG; Ministerium für Wirtschaft, Verkehr, Landwirtschaft und Weinbau; Pfalzwerke AG; Provinzial Versicherung AG; Rheinland-Pfälzische Technische Universität Kaiserslautern-Landau (RPTU); Sparkassenverband Rheinland-Pfalz; Staatskanzlei des Landes Rheinland-Pfalz; Städtetag Rheinland-Pfalz; Technische Hochschule Bingen; Transdev GmbH; TÜV Rheinland Berlin Brandenburg Pfalz e.V.; Universität Trier; vero – Verband der Bau- und Rohstoffindustrie; Westenergie AG; Wilhelm Faber GmbH; Zahnen Technik GmbH</t>
        </is>
      </c>
    </row>
    <row r="8">
      <c r="A8" s="19" t="inlineStr">
        <is>
          <t>Wirtschaft / Mittelstand / Standort</t>
        </is>
      </c>
      <c r="B8" s="19" t="n">
        <v>87</v>
      </c>
      <c r="C8" s="19" t="inlineStr">
        <is>
          <t>1. FSV Mainz 05 e.V.; AOK Rheinland-Pfalz/Saarland; Architektenkammer Rheinland-Pfalz; Aturas GmbH; Barmherzige Brüder Trier gGmbH; BASF SE; Bauwirtschaft Rheinland-Pfalz e.V.; Bitburger Braugruppe GmbH</t>
        </is>
      </c>
      <c r="D8" s="19" t="inlineStr">
        <is>
          <t>1. FSV Mainz 05 e.V.; AOK Rheinland-Pfalz/Saarland; Architektenkammer Rheinland-Pfalz; Aturas GmbH; Barmherzige Brüder Trier gGmbH; BASF SE; Bauwirtschaft Rheinland-Pfalz e.V.; Bitburger Braugruppe GmbH; Boehringer Ingelheim Pharma GmbH &amp; Co. KG; BRICKMAKERS AG; Bundesagentur für Arbeit, Regionaldirektion Rheinland-Pfalz-Saarland; Caritasverband für die Diözese Speyer e.V.; Continental Automotive Technologies GmbH, Safety and Motion (SAM), Standort Rheinböllen; Debeka Versicherungsgruppe; Deutsche Telekom AG; Deutsche Universität für Verwaltungswissenschaften Speyer; Deutscher Gewerkschaftsbund (DGB) Rheinland-Pfalz/Saarland; Duale Hochschule Rheinland-Pfalz; Eckes-Granini Deutschland GmbH; Empolis Information Management GmbH; Entwicklungsagentur Rheinland-Pfalz e.V.; Ernst &amp; Young GmbH; Erster FC Kaiserslautern GmbH &amp; Co. KGaA; Evangelische Kirche der Pfalz; GLOBUS Markthallen Holding GmbH &amp; Co. KG; Handwerkskammern Rheinland-Pfalz; Heberger Gruppe; Hochschule für Gesellschaftsgestaltung (HfGG); Hochschule für Musik Mainz; Hochschule für Wirtschaft und Gesellschaft Ludwigshafen; Hochschule Kaiserslautern; Hochschule Koblenz; Hochschule Mainz; Hochschule Trier; Hochschule Worms; IKK Südwest; in.betrieb gGmbH; Ingenieurkammer Rheinland-Pfalz; Investitions- und Strukturbank Rheinland-Pfalz (ISB); IQIB - Institut für qualifizierende Innovationsforschung und -beratung GmbH; ITK Engineering GmbH; JOBS FOR MOMS UG; Johannes Gutenberg-Universität Mainz; Joseph Vögele AG; JUWI GmbH; Karl Gemünden GmbH &amp; Co. KG; Kassenärztliche Vereinigung Rheinland-Pfalz; Katholische Hochschule Mainz; KPMG AG Wirtschaftsprüfungsgesellschaft; KSB AG; KÜBLER GmbH; Landesbank Baden-Württemberg (LBBW); LandesPsychotherapeutenKammer Rheinland-Pfalz; Landesärztekammer Rheinland-Pfalz; Landkreistag Rheinland-Pfalz; Leonardo PersonalKonzept GmbH; Licharz GmbH; LOTTO Rheinland-Pfalz GmbH; Michelin Reifenwerke AG &amp; Co. KGaA; Ministerium für Wirtschaft, Verkehr, Landwirtschaft und Weinbau; PFAFF Industriesysteme und Maschinen GmbH; Pfalzwerke AG; Provinzial Versicherung AG; Rheinland-Pfälzische Technische Universität Kaiserslautern-Landau (RPTU); robotspaceship; RPR1.; SCHOTT AG; SIMONA AG; SmartFactory KL e.V.; Sparkassenverband Rheinland-Pfalz; Städtetag Rheinland-Pfalz; SWR – Südwestrundfunk; Techniker Krankenkasse; Technische Hochschule Bingen; thyssenkrupp Rasselstein GmbH; TÜV Rheinland Berlin Brandenburg Pfalz e.V.; Universität Koblenz; Universität Trier; Vereinigte VR Bank Kur- und Rheinpfalz eG; vero – Verband der Bau- und Rohstoffindustrie; Villa Musica Rheinland-Pfalz; Vinzenz Pallotti University gGmbH; Westenergie AG; WHU – Otto Beisheim School of Management; Wilhelm Faber GmbH; ZDF – Zweites Deutsches Fernsehen; Alexianer GmbH</t>
        </is>
      </c>
    </row>
    <row r="9">
      <c r="A9" s="19" t="inlineStr">
        <is>
          <t>Wissenschaft / Bildung / Hochschule</t>
        </is>
      </c>
      <c r="B9" s="19" t="n">
        <v>47</v>
      </c>
      <c r="C9" s="19" t="inlineStr">
        <is>
          <t>Aturas GmbH; Barmherzige Brüder Trier gGmbH; BASF SE; Boehringer Ingelheim Pharma GmbH &amp; Co. KG; BRICKMAKERS AG; Bundesagentur für Arbeit, Regionaldirektion Rheinland-Pfalz-Saarland; Caritasverband für die Diözese Speyer e.V.; Deutsche Universität für Verwaltungswissenschaften Speyer</t>
        </is>
      </c>
      <c r="D9" s="19" t="inlineStr">
        <is>
          <t>Aturas GmbH; Barmherzige Brüder Trier gGmbH; BASF SE; Boehringer Ingelheim Pharma GmbH &amp; Co. KG; BRICKMAKERS AG; Bundesagentur für Arbeit, Regionaldirektion Rheinland-Pfalz-Saarland; Caritasverband für die Diözese Speyer e.V.; Deutsche Universität für Verwaltungswissenschaften Speyer; Deutscher Gewerkschaftsbund (DGB) Rheinland-Pfalz/Saarland; Duale Hochschule Rheinland-Pfalz; Empolis Information Management GmbH; Evangelische Kirche der Pfalz; GLOBUS Markthallen Holding GmbH &amp; Co. KG; Handwerkskammern Rheinland-Pfalz; Hochschule für Gesellschaftsgestaltung (HfGG); Hochschule für Musik Mainz; Hochschule für Wirtschaft und Gesellschaft Ludwigshafen; Hochschule Kaiserslautern; Hochschule Koblenz; Hochschule Mainz; Hochschule Trier; Hochschule Worms; in.betrieb gGmbH; Investitions- und Strukturbank Rheinland-Pfalz (ISB); ITK Engineering GmbH; JOBS FOR MOMS UG; Johannes Gutenberg-Universität Mainz; Katholische Hochschule Mainz; Landkreistag Rheinland-Pfalz; Leonardo PersonalKonzept GmbH; Ministerium für Wirtschaft, Verkehr, Landwirtschaft und Weinbau; Rheinland-Pfälzische Technische Universität Kaiserslautern-Landau (RPTU); RPR1.; SCHOTT AG; SmartFactory KL e.V.; Sparkassenverband Rheinland-Pfalz; Staatskanzlei des Landes Rheinland-Pfalz; Städtetag Rheinland-Pfalz; SWR – Südwestrundfunk; Technische Hochschule Bingen; Universität Koblenz; Universität Trier; Villa Musica Rheinland-Pfalz; Vinzenz Pallotti University gGmbH; WHU – Otto Beisheim School of Management; ZDF – Zweites Deutsches Fernsehen; Alexianer GmbH</t>
        </is>
      </c>
    </row>
    <row r="10">
      <c r="A10" s="19" t="inlineStr">
        <is>
          <t>Dialog / Netzwerk / Verantwortung</t>
        </is>
      </c>
      <c r="B10" s="19" t="n">
        <v>24</v>
      </c>
      <c r="C10" s="19" t="inlineStr">
        <is>
          <t>1. FSV Mainz 05 e.V.; AOK Rheinland-Pfalz/Saarland; Caritasverband für die Diözese Speyer e.V.; Deutsche Universität für Verwaltungswissenschaften Speyer; Entwicklungsagentur Rheinland-Pfalz e.V.; Erster FC Kaiserslautern GmbH &amp; Co. KGaA; Evangelische Kirche der Pfalz; GLOBUS Markthallen Holding GmbH &amp; Co. KG</t>
        </is>
      </c>
      <c r="D10" s="19" t="inlineStr">
        <is>
          <t>1. FSV Mainz 05 e.V.; AOK Rheinland-Pfalz/Saarland; Caritasverband für die Diözese Speyer e.V.; Deutsche Universität für Verwaltungswissenschaften Speyer; Entwicklungsagentur Rheinland-Pfalz e.V.; Erster FC Kaiserslautern GmbH &amp; Co. KGaA; Evangelische Kirche der Pfalz; GLOBUS Markthallen Holding GmbH &amp; Co. KG; Hochschule für Gesellschaftsgestaltung (HfGG); Hochschule für Musik Mainz; IKK Südwest; Johannes Gutenberg-Universität Mainz; Katholische Hochschule Mainz; LOTTO Rheinland-Pfalz GmbH; RPR1.; Staatskanzlei des Landes Rheinland-Pfalz; SWR – Südwestrundfunk; Techniker Krankenkasse; Universität Koblenz; Universität Trier; Villa Musica Rheinland-Pfalz; Vinzenz Pallotti University gGmbH; ZDF – Zweites Deutsches Fernsehen; Alexianer GmbH</t>
        </is>
      </c>
    </row>
    <row r="11">
      <c r="A11" s="19" t="inlineStr">
        <is>
          <t>Kultur / Medien / Öffentlichkeit</t>
        </is>
      </c>
      <c r="B11" s="19" t="n">
        <v>28</v>
      </c>
      <c r="C11" s="19" t="inlineStr">
        <is>
          <t>1. FSV Mainz 05 e.V.; AOK Rheinland-Pfalz/Saarland; Bundesagentur für Arbeit, Regionaldirektion Rheinland-Pfalz-Saarland; Caritasverband für die Diözese Speyer e.V.; Deutsche Telekom AG; Deutsche Universität für Verwaltungswissenschaften Speyer; Entwicklungsagentur Rheinland-Pfalz e.V.; Erster FC Kaiserslautern GmbH &amp; Co. KGaA</t>
        </is>
      </c>
      <c r="D11" s="19" t="inlineStr">
        <is>
          <t>1. FSV Mainz 05 e.V.; AOK Rheinland-Pfalz/Saarland; Bundesagentur für Arbeit, Regionaldirektion Rheinland-Pfalz-Saarland; Caritasverband für die Diözese Speyer e.V.; Deutsche Telekom AG; Deutsche Universität für Verwaltungswissenschaften Speyer; Entwicklungsagentur Rheinland-Pfalz e.V.; Erster FC Kaiserslautern GmbH &amp; Co. KGaA; Evangelische Kirche der Pfalz; GLOBUS Markthallen Holding GmbH &amp; Co. KG; Hochschule für Gesellschaftsgestaltung (HfGG); Hochschule für Musik Mainz; Hochschule Mainz; IKK Südwest; Johannes Gutenberg-Universität Mainz; Katholische Hochschule Mainz; LOTTO Rheinland-Pfalz GmbH; robotspaceship; RPR1.; Staatskanzlei des Landes Rheinland-Pfalz; Städtetag Rheinland-Pfalz; SWR – Südwestrundfunk; Techniker Krankenkasse; Universität Koblenz; Universität Trier; Villa Musica Rheinland-Pfalz; Vinzenz Pallotti University gGmbH; ZDF – Zweites Deutsches Fernsehen</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0" customWidth="1" style="46" min="1" max="1"/>
    <col width="80" customWidth="1" style="46" min="2" max="2"/>
  </cols>
  <sheetData>
    <row r="1" ht="28" customHeight="1" s="46">
      <c r="A1" s="49" t="inlineStr">
        <is>
          <t>keyword_family</t>
        </is>
      </c>
      <c r="B1" s="49" t="inlineStr">
        <is>
          <t>keywords</t>
        </is>
      </c>
    </row>
    <row r="2">
      <c r="A2" s="19" t="inlineStr">
        <is>
          <t>KI / Digital</t>
        </is>
      </c>
      <c r="B2" s="19" t="inlineStr">
        <is>
          <t>KI; Künstliche Intelligenz; Artificial Intelligence; Digitalisierung; digital; Daten; Data; Software; IT; Technologie; Plattform; Cyber; Automatisierung; Industrie 4.0; Verwaltung</t>
        </is>
      </c>
    </row>
    <row r="3">
      <c r="A3" s="19" t="inlineStr">
        <is>
          <t>Innovation / Transfer</t>
        </is>
      </c>
      <c r="B3" s="19" t="inlineStr">
        <is>
          <t>Innovation; innovativ; Forschung; Entwicklung; Transfer; Zukunft; Pilot; Geschäftsmodell; Start-up; Startup; Expertise; Fortschritt; Fortschritte; Wissen</t>
        </is>
      </c>
    </row>
    <row r="4">
      <c r="A4" s="19" t="inlineStr">
        <is>
          <t>Nachhaltigkeit / Klima / Energie</t>
        </is>
      </c>
      <c r="B4" s="19" t="inlineStr">
        <is>
          <t>Nachhaltigkeit; nachhaltig; Klima; Klimaanpassung; Umwelt; Energie; Netze; Versorgungssicherheit; Greentech; Kreislauf; Ressourcenschonung; Ersatzbaustoff; Land; Stadt</t>
        </is>
      </c>
    </row>
    <row r="5">
      <c r="A5" s="19" t="inlineStr">
        <is>
          <t>Gesundheit / Pflege / Sozialwirtschaft</t>
        </is>
      </c>
      <c r="B5" s="19" t="inlineStr">
        <is>
          <t>Gesundheit; Gesundheitsversorgung; Medizin; Pflege; Sozialwirtschaft; Krankenhaus; Krankenhäuser; Prävention; Versorgung; Betreuung; Teilhabe; Patienten; Humanmedizin; Tiergesundheit; Senioren</t>
        </is>
      </c>
    </row>
    <row r="6">
      <c r="A6" s="19" t="inlineStr">
        <is>
          <t>Fachkräfte / Arbeit / Qualifizierung</t>
        </is>
      </c>
      <c r="B6" s="19" t="inlineStr">
        <is>
          <t>Fachkräfte; Qualifizierung; Ausbildung; Weiterbildung; Arbeitsmarkt; Beschäftigung; Personal; Mitarbeiter; Mitarbeitende; Arbeitgeber; Produktivität; lebenslanges Lernen</t>
        </is>
      </c>
    </row>
    <row r="7">
      <c r="A7" s="19" t="inlineStr">
        <is>
          <t>Bau / Raum / Infrastruktur</t>
        </is>
      </c>
      <c r="B7" s="19" t="inlineStr">
        <is>
          <t>Bau; Bauen; Architektur; Wohnraum; Stadt; Raum; Infrastruktur; Immobilien; Baukultur; Planung; Genehmigung; Ersatzbaustoff; Verkehr</t>
        </is>
      </c>
    </row>
    <row r="8">
      <c r="A8" s="19" t="inlineStr">
        <is>
          <t>Wirtschaft / Mittelstand / Standort</t>
        </is>
      </c>
      <c r="B8" s="19" t="inlineStr">
        <is>
          <t>Wirtschaft; Standort; Unternehmen; Mittelstand; Industrie; Wettbewerbsfähigkeit; Investition; Kapital; Wachstum; Produktivität; Transformation; Förderung; Finanzierung</t>
        </is>
      </c>
    </row>
    <row r="9">
      <c r="A9" s="19" t="inlineStr">
        <is>
          <t>Wissenschaft / Bildung / Hochschule</t>
        </is>
      </c>
      <c r="B9" s="19" t="inlineStr">
        <is>
          <t>Wissenschaft; Hochschule; Forschungseinrichtungen; Bildung; Studium; Universität; Weiterbildung; Wissen; Transfer; Qualifizierung</t>
        </is>
      </c>
    </row>
    <row r="10">
      <c r="A10" s="19" t="inlineStr">
        <is>
          <t>Dialog / Netzwerk / Verantwortung</t>
        </is>
      </c>
      <c r="B10" s="19" t="inlineStr">
        <is>
          <t>Dialog; Vernetzung; Austausch; Plattform; Kooperation; Zusammenarbeit; Verantwortung; Netzwerk; Meinungsaustausch; gesellschaftlich; Zusammenhalt</t>
        </is>
      </c>
    </row>
    <row r="11">
      <c r="A11" s="19" t="inlineStr">
        <is>
          <t>Kultur / Medien / Öffentlichkeit</t>
        </is>
      </c>
      <c r="B11" s="19" t="inlineStr">
        <is>
          <t>Kultur; Medien; Öffentlichkeit; Kreativwirtschaft; Musik; Standortidentität; Region; gesellschaftliche Identifikation; Demokratie; Zusammenhalt</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3" customWidth="1" style="46" min="1" max="1"/>
    <col width="80" customWidth="1" style="46" min="2" max="2"/>
  </cols>
  <sheetData>
    <row r="1">
      <c r="A1" s="55" t="inlineStr">
        <is>
          <t>Section</t>
        </is>
      </c>
      <c r="B1" s="56" t="inlineStr">
        <is>
          <t>Content</t>
        </is>
      </c>
    </row>
    <row r="2">
      <c r="A2" t="inlineStr">
        <is>
          <t>Goal</t>
        </is>
      </c>
      <c r="B2" t="inlineStr">
        <is>
          <t>Reduce university/academic dominance by giving each actor role one normalized total mass. If a role has n members, each member contributes 1/n. Therefore SUM(role member weights)=1 for every role.</t>
        </is>
      </c>
    </row>
    <row r="3">
      <c r="A3" t="inlineStr">
        <is>
          <t>Primary formula</t>
        </is>
      </c>
      <c r="B3" t="inlineStr">
        <is>
          <t>member_role_weight(r) = 1 / count_members_in_role(r)</t>
        </is>
      </c>
    </row>
    <row r="4">
      <c r="A4" t="inlineStr">
        <is>
          <t>Candidate formula</t>
        </is>
      </c>
      <c r="B4" t="inlineStr">
        <is>
          <t>candidate_pair_mass = 1/count(role_a) + 1/count(role_b)</t>
        </is>
      </c>
    </row>
    <row r="5">
      <c r="A5" t="inlineStr">
        <is>
          <t>Weighted objective option</t>
        </is>
      </c>
      <c r="B5" t="inlineStr">
        <is>
          <t>balanced_score = base_support_score * AVERAGE(role_multiplier(role_a), role_multiplier(role_b)), where role_multiplier = average_role_count / role_count. This downweights overrepresented roles and boosts underrepresented roles.</t>
        </is>
      </c>
    </row>
    <row r="6">
      <c r="A6" t="inlineStr">
        <is>
          <t>SCIP exposure constraint option</t>
        </is>
      </c>
      <c r="B6" t="inlineStr">
        <is>
          <t>For each role r: SUM(selected_x_c * (1[role_a=r] + 1[role_b=r]) / count_members_in_role(r)) &lt;= role_mass_budget. Default budget in Role_Weights is 1.0; tighten academic_support if needed.</t>
        </is>
      </c>
    </row>
    <row r="7">
      <c r="A7" t="inlineStr">
        <is>
          <t>Practical recommendation</t>
        </is>
      </c>
      <c r="B7" t="inlineStr">
        <is>
          <t>Use role_balanced_score in the objective AND add an academic/support share cap. The weighted score reduces generic university pull; the exposure constraint makes the portfolio auditable.</t>
        </is>
      </c>
    </row>
    <row r="8">
      <c r="A8" t="inlineStr">
        <is>
          <t>Code mapping</t>
        </is>
      </c>
      <c r="B8" t="inlineStr">
        <is>
          <t>Candidate_Role_Balance columns K/O can be used directly: K = pair_role_mass, M = role_balanced_score, O = selected_x * pair_role_mass.</t>
        </is>
      </c>
    </row>
    <row r="9">
      <c r="A9" t="inlineStr">
        <is>
          <t>Important warning</t>
        </is>
      </c>
      <c r="B9" t="inlineStr">
        <is>
          <t>If the solver treats lower coefficients as cheaper in a &lt;= constraint, inverse weights alone can make large roles easier to select. Use inverse weights for score balancing/reporting; use explicit role caps for hard limits.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cols>
    <col width="54" customWidth="1" style="46" min="1" max="1"/>
    <col width="80" customWidth="1" style="46" min="2" max="2"/>
    <col width="65" customWidth="1" style="46" min="3" max="3"/>
    <col width="16" customWidth="1" style="46" min="4" max="4"/>
    <col width="20" customWidth="1" style="46" min="5" max="5"/>
    <col width="80" customWidth="1" style="46" min="6" max="6"/>
    <col width="80" customWidth="1" style="46" min="7" max="7"/>
    <col width="80" customWidth="1" style="46" min="8" max="8"/>
    <col width="80" customWidth="1" style="46" min="9" max="9"/>
    <col width="80" customWidth="1" style="46" min="10" max="10"/>
    <col width="80" customWidth="1" style="46" min="11" max="11"/>
    <col width="12" customWidth="1" style="46" min="12" max="12"/>
    <col width="80" customWidth="1" style="46" min="13" max="13"/>
  </cols>
  <sheetData>
    <row r="1" ht="42" customHeight="1" s="46">
      <c r="A1" s="57" t="inlineStr">
        <is>
          <t>Member</t>
        </is>
      </c>
      <c r="B1" s="57" t="inlineStr">
        <is>
          <t>Source URL</t>
        </is>
      </c>
      <c r="C1" s="57" t="inlineStr">
        <is>
          <t>Source Type</t>
        </is>
      </c>
      <c r="D1" s="57" t="inlineStr">
        <is>
          <t>Crawl Priority</t>
        </is>
      </c>
      <c r="E1" s="57" t="inlineStr">
        <is>
          <t>Crawler Difficulty</t>
        </is>
      </c>
      <c r="F1" s="57" t="inlineStr">
        <is>
          <t>Why it matters for SOR</t>
        </is>
      </c>
      <c r="G1" s="57" t="inlineStr">
        <is>
          <t>Current crawler risk</t>
        </is>
      </c>
      <c r="H1" s="57" t="inlineStr">
        <is>
          <t>Recommended crawl strategy</t>
        </is>
      </c>
      <c r="I1" s="57" t="inlineStr">
        <is>
          <t>Follow patterns</t>
        </is>
      </c>
      <c r="J1" s="57" t="inlineStr">
        <is>
          <t>Extract sections / signals</t>
        </is>
      </c>
      <c r="K1" s="57" t="inlineStr">
        <is>
          <t>Keyword families</t>
        </is>
      </c>
      <c r="L1" s="57" t="inlineStr">
        <is>
          <t>Status</t>
        </is>
      </c>
      <c r="M1" s="57" t="inlineStr">
        <is>
          <t>Source notes</t>
        </is>
      </c>
    </row>
    <row r="2" ht="70" customHeight="1" s="46">
      <c r="A2" s="21" t="inlineStr">
        <is>
          <t>Continental AG</t>
        </is>
      </c>
      <c r="B2" s="21" t="inlineStr">
        <is>
          <t>https://www.continental.com/de/presse/?tabs%5B80284%5D=80285</t>
        </is>
      </c>
      <c r="C2" s="21" t="inlineStr">
        <is>
          <t>Corporate press portal / tabbed press overview</t>
        </is>
      </c>
      <c r="D2" s="21" t="inlineStr">
        <is>
          <t>Very high</t>
        </is>
      </c>
      <c r="E2" s="21" t="inlineStr">
        <is>
          <t>Medium</t>
        </is>
      </c>
      <c r="F2" s="21" t="inlineStr">
        <is>
          <t>Strong implementation actor; press portal links to press releases, events, studies, videos, mobility studies, technology/product topics.</t>
        </is>
      </c>
      <c r="G2" s="21" t="inlineStr">
        <is>
          <t>Naive crawler may read only the top navigation or miss tabbed/nested sections; useful content starts much lower on the page.</t>
        </is>
      </c>
      <c r="H2" s="21" t="inlineStr">
        <is>
          <t>Normalize away tab anchor/query when needed, then explicitly follow press-release, event, studies/publications, stories, sustainability, product/technology links. Depth 2.</t>
        </is>
      </c>
      <c r="I2" s="21" t="inlineStr">
        <is>
          <t>pressemitteilungen; konzernthemen; produkte-technologien; messen-events; studien-publikationen; stories; nachhaltigkeit; mobilitaetsstudien</t>
        </is>
      </c>
      <c r="J2" s="21" t="inlineStr">
        <is>
          <t>Pressemeldungen; Aktuelle Meldungen; Messen &amp; Events; Continental-Mobilitätsstudien; Bilder &amp; Videos; Pressekontakte</t>
        </is>
      </c>
      <c r="K2" s="21" t="inlineStr">
        <is>
          <t>Mobility; logistics; smart tires; sustainability; industry; digital; innovation; materials; events</t>
        </is>
      </c>
      <c r="L2" s="21" t="inlineStr">
        <is>
          <t>Added</t>
        </is>
      </c>
      <c r="M2" s="21" t="inlineStr">
        <is>
          <t>User supplied URL; visible page contains press portal structure and current press/event/study sections.</t>
        </is>
      </c>
    </row>
    <row r="3" ht="70" customHeight="1" s="46">
      <c r="A3" s="21" t="inlineStr">
        <is>
          <t>Boehringer Ingelheim</t>
        </is>
      </c>
      <c r="B3" s="21" t="inlineStr">
        <is>
          <t>https://www.boehringer-ingelheim.com/de/presse</t>
        </is>
      </c>
      <c r="C3" s="21" t="inlineStr">
        <is>
          <t>Pharma press portal / German press hub</t>
        </is>
      </c>
      <c r="D3" s="21" t="inlineStr">
        <is>
          <t>Very high</t>
        </is>
      </c>
      <c r="E3" s="21" t="inlineStr">
        <is>
          <t>High</t>
        </is>
      </c>
      <c r="F3" s="21" t="inlineStr">
        <is>
          <t>Major RLP pharma/research actor; relevant for health, life sciences, R&amp;D, animal health, innovation, Standortpolitik.</t>
        </is>
      </c>
      <c r="G3" s="21" t="inlineStr">
        <is>
          <t>Direct parsing may fail or return almost no text because of JS/bot protection; search engine snippets still show dated press releases.</t>
        </is>
      </c>
      <c r="H3" s="21" t="inlineStr">
        <is>
          <t>Use sitemap/search-index discovery, RSS if available, cached snippets only as fallback, and allow headless/browser rendering if compliant. Follow known press-release path.</t>
        </is>
      </c>
      <c r="I3" s="21" t="inlineStr">
        <is>
          <t>de/presse/pressemitteilungen; de/presse/pressematerial; pressemitteilungen; innovation; pharmastrategie; jugend-forscht; standort</t>
        </is>
      </c>
      <c r="J3" s="21" t="inlineStr">
        <is>
          <t>Pressemitteilungen; Pressematerial; German local/standort news; research/innovation policy signals</t>
        </is>
      </c>
      <c r="K3" s="21" t="inlineStr">
        <is>
          <t>Health; pharma; R&amp;D; innovation; education; Standort; animal health; patients; clinical pipeline</t>
        </is>
      </c>
      <c r="L3" s="21" t="inlineStr">
        <is>
          <t>Added</t>
        </is>
      </c>
      <c r="M3" s="21" t="inlineStr">
        <is>
          <t>Page is search-visible but hard for basic crawlers; should not be dropped just because HTML extraction is poor.</t>
        </is>
      </c>
    </row>
    <row r="4" ht="70" customHeight="1" s="46">
      <c r="A4" s="21" t="inlineStr">
        <is>
          <t>Boehringer Ingelheim</t>
        </is>
      </c>
      <c r="B4" s="21" t="inlineStr">
        <is>
          <t>https://www.boehringer-ingelheim.com/media-stories</t>
        </is>
      </c>
      <c r="C4" s="21" t="inlineStr">
        <is>
          <t>Global media &amp; stories hub</t>
        </is>
      </c>
      <c r="D4" s="21" t="inlineStr">
        <is>
          <t>High</t>
        </is>
      </c>
      <c r="E4" s="21" t="inlineStr">
        <is>
          <t>High</t>
        </is>
      </c>
      <c r="F4" s="21" t="inlineStr">
        <is>
          <t>Captures international narratives, press releases, stories, newsbits and downloadable press material; useful for broader strategic framing.</t>
        </is>
      </c>
      <c r="G4" s="21" t="inlineStr">
        <is>
          <t>Simple crawler may see blank/near-empty content or bot-protection incident; important links may be rendered dynamically.</t>
        </is>
      </c>
      <c r="H4" s="21" t="inlineStr">
        <is>
          <t>Use discovery paths for /media-stories/press-releases, /media-stories/stories, /media-stories/newsbits, /media-stories/press-material. Use title/date extraction.</t>
        </is>
      </c>
      <c r="I4" s="21" t="inlineStr">
        <is>
          <t>media-stories; press-releases; stories; newsbits; press-material; animal-health; prescription-medicine; partnering</t>
        </is>
      </c>
      <c r="J4" s="21" t="inlineStr">
        <is>
          <t>Press releases; Stories; Newsbits; Press Material; corporate news; partner signals</t>
        </is>
      </c>
      <c r="K4" s="21" t="inlineStr">
        <is>
          <t>Health; animal health; pharma; patients; partnering; research; integrated care; innovation</t>
        </is>
      </c>
      <c r="L4" s="21" t="inlineStr">
        <is>
          <t>Added</t>
        </is>
      </c>
      <c r="M4" s="21" t="inlineStr">
        <is>
          <t>User supplied URL; search results describe it as a hub for latest press releases, news, background stories and press material.</t>
        </is>
      </c>
    </row>
    <row r="5" ht="70" customHeight="1" s="46">
      <c r="A5" s="21" t="inlineStr">
        <is>
          <t>Bauern- und Winzerverband Rheinland-Pfalz Süd e.V.</t>
        </is>
      </c>
      <c r="B5" s="21" t="inlineStr">
        <is>
          <t>https://www.bwv-rlp.de/</t>
        </is>
      </c>
      <c r="C5" s="21" t="inlineStr">
        <is>
          <t>Association homepage / press + current affairs</t>
        </is>
      </c>
      <c r="D5" s="21" t="inlineStr">
        <is>
          <t>High</t>
        </is>
      </c>
      <c r="E5" s="21" t="inlineStr">
        <is>
          <t>Low to medium</t>
        </is>
      </c>
      <c r="F5" s="21" t="inlineStr">
        <is>
          <t>Strong sector/context actor for agriculture, wine, rural economy, regulation, subsidies, climate/soil, labor and seasonal workers.</t>
        </is>
      </c>
      <c r="G5" s="21" t="inlineStr">
        <is>
          <t>Homepage is easy HTML, but useful signals are distributed across press archive, Aktuelles, Fachabteilungen, Termine, downloads and member information.</t>
        </is>
      </c>
      <c r="H5" s="21" t="inlineStr">
        <is>
          <t>Crawl homepage plus menu categories. Follow Presse, Archiv, Aktuelles, Termine, Fachabteilungen, Download, Infodienst. Depth 2.</t>
        </is>
      </c>
      <c r="I5" s="21" t="inlineStr">
        <is>
          <t>presse; archiv; aktuelles; termine; fachabteilungen; lav; download; rundschreiben; infodienst; stellenangebote</t>
        </is>
      </c>
      <c r="J5" s="21" t="inlineStr">
        <is>
          <t>Aktuelles; Presse posts; Termine; Fachabteilungen; subsidies; minimum wage; animal welfare; soil management; alternative drives</t>
        </is>
      </c>
      <c r="K5" s="21" t="inlineStr">
        <is>
          <t>Agriculture; wine; rural space; labor; regulation; climate; soil; animal welfare; funding; energy/alternative drives</t>
        </is>
      </c>
      <c r="L5" s="21" t="inlineStr">
        <is>
          <t>Added</t>
        </is>
      </c>
      <c r="M5" s="21" t="inlineStr">
        <is>
          <t>Visible HTML includes current items and press/category structure.</t>
        </is>
      </c>
    </row>
    <row r="6" ht="70" customHeight="1" s="46">
      <c r="A6" s="21" t="inlineStr">
        <is>
          <t>JOBS FOR MOMS</t>
        </is>
      </c>
      <c r="B6" s="21" t="inlineStr">
        <is>
          <t>https://jobsformoms.de/de-de/blog-posts</t>
        </is>
      </c>
      <c r="C6" s="21" t="inlineStr">
        <is>
          <t>Blog / thought-leadership feed</t>
        </is>
      </c>
      <c r="D6" s="21" t="inlineStr">
        <is>
          <t>Medium to high</t>
        </is>
      </c>
      <c r="E6" s="21" t="inlineStr">
        <is>
          <t>High</t>
        </is>
      </c>
      <c r="F6" s="21" t="inlineStr">
        <is>
          <t>Useful for Fachkräfte, female talent, Vereinbarkeit, New Work and family-friendly labor-market innovation.</t>
        </is>
      </c>
      <c r="G6" s="21" t="inlineStr">
        <is>
          <t>Direct extraction may return zero lines; likely dynamic rendering or non-standard blog feed. A simple crawler may falsely mark it empty.</t>
        </is>
      </c>
      <c r="H6" s="21" t="inlineStr">
        <is>
          <t>Use rendered/headless extraction or sitemap discovery. Follow article links from blog feed; capture title, date, tags and full body when available.</t>
        </is>
      </c>
      <c r="I6" s="21" t="inlineStr">
        <is>
          <t>blog-posts; blog; news; artikel; jobs; moms; vereinbarkeit; neue-arbeit; fachkraefte; muetter; familienfreundlich</t>
        </is>
      </c>
      <c r="J6" s="21" t="inlineStr">
        <is>
          <t>Blog titles; labor-market opinions; employer practice; Vereinbarkeit; Delete Work/new work narratives</t>
        </is>
      </c>
      <c r="K6" s="21" t="inlineStr">
        <is>
          <t>Fachkräfte; labor market; women; mothers; work design; New Work; inclusion; employer branding</t>
        </is>
      </c>
      <c r="L6" s="21" t="inlineStr">
        <is>
          <t>Added</t>
        </is>
      </c>
      <c r="M6" s="21" t="inlineStr">
        <is>
          <t>User supplied URL; search index shows blog content even though direct HTML extraction is empty.</t>
        </is>
      </c>
    </row>
    <row r="7">
      <c r="A7" s="17" t="inlineStr">
        <is>
          <t>Bauern- und Winzerverband Rheinland-Pfalz Süd e.V.</t>
        </is>
      </c>
      <c r="B7" s="17" t="inlineStr">
        <is>
          <t>https://www.bwv-rlp.de/category/mitglieder/infodienst/</t>
        </is>
      </c>
      <c r="C7" s="17" t="inlineStr">
        <is>
          <t>Association member infodienst / category archive</t>
        </is>
      </c>
      <c r="D7" s="17" t="inlineStr">
        <is>
          <t>Very high</t>
        </is>
      </c>
      <c r="E7" s="17" t="inlineStr">
        <is>
          <t>Low</t>
        </is>
      </c>
      <c r="F7" s="17" t="inlineStr">
        <is>
          <t>Very strong live sector feed for agriculture and wine: regulations, animal welfare, organic market, EU wine policy, subsidies, liquidity, packaging law and farm operations.</t>
        </is>
      </c>
      <c r="G7" s="17" t="inlineStr">
        <is>
          <t>Crawler may stay on homepage or press archive and miss this member-only category archive; page has lots of navigation but the article list is clean and dated.</t>
        </is>
      </c>
      <c r="H7" s="17" t="inlineStr">
        <is>
          <t>Seed this category directly. Parse title, date, category and teaser; follow each article link; also follow older-post pagination and category tags such as Vieh und Fleisch, Öko, Weinbau, Aktuelle Agrarpolitik.</t>
        </is>
      </c>
      <c r="I7" s="17" t="inlineStr">
        <is>
          <t>category/mitglieder/infodienst; /category/; /page/; vieh-und-fleisch; oeko; weinbau; aktuelle-agrarpolitik; weiterlesen</t>
        </is>
      </c>
      <c r="J7" s="17" t="inlineStr">
        <is>
          <t>Infodienst posts; Rundschreiben; title/date/category/excerpt; full article pages; older-post pagination</t>
        </is>
      </c>
      <c r="K7" s="17" t="inlineStr">
        <is>
          <t>Agriculture; wine; regulation; subsidies; animal welfare; organic market; energy costs; EU policy; packaging; liquidity; rural economy</t>
        </is>
      </c>
      <c r="L7" s="17" t="inlineStr">
        <is>
          <t>Added</t>
        </is>
      </c>
      <c r="M7" s="17" t="inlineStr">
        <is>
          <t>User supplied URL; visible page contains dated Infodienst posts such as THKG, ASP zones, ITW, Bio-Markt, Rentenbank liquidity, Widerrufsbutton, EU wine package, PPWR and Ökoregelungen.</t>
        </is>
      </c>
    </row>
    <row r="8">
      <c r="A8" s="17" t="inlineStr">
        <is>
          <t>Investitions- und Strukturbank Rheinland-Pfalz (ISB)</t>
        </is>
      </c>
      <c r="B8" s="17" t="inlineStr">
        <is>
          <t>https://isb.rlp.de/aktuelles/news.html</t>
        </is>
      </c>
      <c r="C8" s="17" t="inlineStr">
        <is>
          <t>Public development bank / news + funding + venture capital feed</t>
        </is>
      </c>
      <c r="D8" s="17" t="inlineStr">
        <is>
          <t>Very high</t>
        </is>
      </c>
      <c r="E8" s="17" t="inlineStr">
        <is>
          <t>Medium</t>
        </is>
      </c>
      <c r="F8" s="17" t="inlineStr">
        <is>
          <t>Key financing and transformation anchor for RLP: venture capital, startup success stories, housing funding, reconstruction aid, mobility financing, infrastructure and innovation transfer.</t>
        </is>
      </c>
      <c r="G8" s="17" t="inlineStr">
        <is>
          <t>The page is very long and archive-heavy; naive crawlers may truncate, overread old entries or fail to isolate the current News card list.</t>
        </is>
      </c>
      <c r="H8" s="17" t="inlineStr">
        <is>
          <t>Start at the News section, keep the newest 12-18 months, parse each card headline/date/category/teaser, follow detail links, and weight categories such as Venture Capital, Success Story, Fördernews, Presse and Unwetterhilfen.</t>
        </is>
      </c>
      <c r="I8" s="17" t="inlineStr">
        <is>
          <t>aktuelles/news; venture-capital; success-story; foerdernews; presse; unwetterhilfen; gruenden; darlehen; beteiligung</t>
        </is>
      </c>
      <c r="J8" s="17" t="inlineStr">
        <is>
          <t>News cards; dates; categories; success stories; funding announcements; VC participations; housing/infrastructure projects; event/dialog formats</t>
        </is>
      </c>
      <c r="K8" s="17" t="inlineStr">
        <is>
          <t>Financing; venture capital; startups; innovation; KI; logistics; social housing; mobility; reconstruction; sustainability; infrastructure; Mittelstand</t>
        </is>
      </c>
      <c r="L8" s="17" t="inlineStr">
        <is>
          <t>Added</t>
        </is>
      </c>
      <c r="M8" s="17" t="inlineStr">
        <is>
          <t>User supplied URL; visible page lists current 2026 items such as KfW Award Gründen, ISB Beteiligung an Loady, LigniLabs, Wiederaufbau, Crateflow KI supply-chain planning and social housing.</t>
        </is>
      </c>
    </row>
    <row r="9" ht="92" customHeight="1" s="46">
      <c r="A9" s="21" t="inlineStr">
        <is>
          <t>ITK Engineering GmbH</t>
        </is>
      </c>
      <c r="B9" s="21" t="inlineStr">
        <is>
          <t>https://www.itk-engineering.de/unternehmen/events/</t>
        </is>
      </c>
      <c r="C9" s="21" t="inlineStr">
        <is>
          <t>Engineering / technology events feed</t>
        </is>
      </c>
      <c r="D9" s="21" t="inlineStr">
        <is>
          <t>High</t>
        </is>
      </c>
      <c r="E9" s="21" t="inlineStr">
        <is>
          <t>Low to medium</t>
        </is>
      </c>
      <c r="F9" s="21" t="inlineStr">
        <is>
          <t>Strong technology and implementation actor for mobility, medtech, robotics, software-defined vehicles, cyber security, data engineering, AI and industry events; useful for detecting where ITK is actively convening or presenting expertise.</t>
        </is>
      </c>
      <c r="G9" s="21" t="inlineStr">
        <is>
          <t>A crawler may read the navigation and miss the structured event cards, or stop after the first visible results; event pages may require following detail links and pagination / "Mehr anzeigen".</t>
        </is>
      </c>
      <c r="H9" s="21" t="inlineStr">
        <is>
          <t>Seed the events page directly. Parse event date range, event type, location, title and teaser; follow each event detail link; keep upcoming/current events and map them to technology domains.</t>
        </is>
      </c>
      <c r="I9" s="21" t="inlineStr">
        <is>
          <t>unternehmen/events; events; fachmesse; fachevent; vortrag; webinar; recruitingevent; medizintechnik; medical-robotics; innotrans; landtechnik; ivt-expo</t>
        </is>
      </c>
      <c r="J9" s="21" t="inlineStr">
        <is>
          <t>Events; Fachmesse; Fachevent; Vortrag; Webinar; date ranges; locations; industry domains; detail event pages; contact/event owner</t>
        </is>
      </c>
      <c r="K9" s="21" t="inlineStr">
        <is>
          <t>AI; data engineering; cyber security; digital twin; robotics; software-defined vehicle; medtech; digital health; mobility; industry; logistics; recruiting; events</t>
        </is>
      </c>
      <c r="L9" s="21" t="inlineStr">
        <is>
          <t>Added</t>
        </is>
      </c>
      <c r="M9" s="21" t="inlineStr">
        <is>
          <t>User supplied URL; visible page contains dated 2026 event cards including European Medical Device Summit, iVT Expo, Science for Lunch, Hamlyn Symposium Medical Robotics, FinnMETKO, InnoTrans, Innovation Forum Medizintechnik and VDI Land.Technik AgEng.</t>
        </is>
      </c>
    </row>
    <row r="10" ht="92" customHeight="1" s="46">
      <c r="A10" s="21" t="inlineStr">
        <is>
          <t>Handwerkskammer der Pfalz</t>
        </is>
      </c>
      <c r="B10" s="21" t="inlineStr">
        <is>
          <t>https://www.hwk-pfalz.de/artikel/aktuelle-pressemitteilungen-51,1383,5113.html</t>
        </is>
      </c>
      <c r="C10" s="21" t="inlineStr">
        <is>
          <t>Chamber press archive / current press releases</t>
        </is>
      </c>
      <c r="D10" s="21" t="inlineStr">
        <is>
          <t>Very high</t>
        </is>
      </c>
      <c r="E10" s="21" t="inlineStr">
        <is>
          <t>Low</t>
        </is>
      </c>
      <c r="F10" s="21" t="inlineStr">
        <is>
          <t>Very strong regional craft-sector signal feed for training, apprenticeships, Weiterbildungsprogramme, Konjunktur, innovation awards, Landtagswahl policy demands and Mittelstand competitiveness.</t>
        </is>
      </c>
      <c r="G10" s="21" t="inlineStr">
        <is>
          <t>Crawler may overread navigation, miss the article list region, or fail to follow "mehr lesen" links into full press releases; archive link and older entries need freshness filtering.</t>
        </is>
      </c>
      <c r="H10" s="21" t="inlineStr">
        <is>
          <t>Seed this press list directly. Extract date, headline, teaser and article URL; follow "mehr lesen" links; also crawl archive and events/newsletter only as secondary sources. Apply a 12-18 month freshness window.</t>
        </is>
      </c>
      <c r="I10" s="21" t="inlineStr">
        <is>
          <t>aktuelle-pressemitteilungen; pressemitteilungen; presse-medien; archiv-pressemitteilungen; mehr-lesen; ausbildung; weiterbildung; konjunktur; landtagswahl; innovation</t>
        </is>
      </c>
      <c r="J10" s="21" t="inlineStr">
        <is>
          <t>Aktuelle Pressemitteilungen; dates; teasers; full press releases; archive; Ausbildung; Weiterbildung; Konjunktur; policy demands; innovation awards</t>
        </is>
      </c>
      <c r="K10" s="21" t="inlineStr">
        <is>
          <t>Handwerk; Mittelstand; Ausbildung; Fachkräfte; Weiterbildung; Digitalisierung; Technik; Innovation; Konjunktur; Politik; Wettbewerbsfähigkeit; PV; Nachhaltigkeit</t>
        </is>
      </c>
      <c r="L10" s="21" t="inlineStr">
        <is>
          <t>Added</t>
        </is>
      </c>
      <c r="M10" s="21" t="inlineStr">
        <is>
          <t>User supplied URL; visible page contains 2026 press items on Ferienwerkstätten, Frühjahrsumfrage Konjunktur, Landtagswahl, SOLARco.shoe innovation award, Weiterbildung, Betriebswirt and Ausbildung.</t>
        </is>
      </c>
    </row>
    <row r="11">
      <c r="A11" t="inlineStr">
        <is>
          <t>1. FSV Mainz 05 e.V.</t>
        </is>
      </c>
      <c r="B11" t="inlineStr">
        <is>
          <t>https://www.mainz05.de/nachhaltigkeit</t>
        </is>
      </c>
      <c r="C11" t="inlineStr">
        <is>
          <t>Discovered source page</t>
        </is>
      </c>
      <c r="D11" t="inlineStr">
        <is>
          <t>Medium</t>
        </is>
      </c>
      <c r="E11" t="inlineStr">
        <is>
          <t>Medium</t>
        </is>
      </c>
      <c r="F11" t="inlineStr">
        <is>
          <t>Auto-discovered source-quality score 32; contains dated strategic/source-page signals.</t>
        </is>
      </c>
      <c r="G11" t="inlineStr">
        <is>
          <t>Auto-discovered; review after the next crawl.</t>
        </is>
      </c>
      <c r="H11" t="inlineStr">
        <is>
          <t>Crawl as ranked source first, follow dated article cards, publications and event links, then apply normal signal gates.</t>
        </is>
      </c>
      <c r="L11" t="inlineStr">
        <is>
          <t>Discovered</t>
        </is>
      </c>
    </row>
    <row r="12">
      <c r="A12" t="inlineStr">
        <is>
          <t>1. FSV Mainz 05 e.V.</t>
        </is>
      </c>
      <c r="B12" t="inlineStr">
        <is>
          <t>https://www.mainz05.de/EVENTS-IN-DER-MEWA-ARENA</t>
        </is>
      </c>
      <c r="C12" t="inlineStr">
        <is>
          <t>Discovered source page</t>
        </is>
      </c>
      <c r="D12" t="inlineStr">
        <is>
          <t>Medium</t>
        </is>
      </c>
      <c r="E12" t="inlineStr">
        <is>
          <t>Medium</t>
        </is>
      </c>
      <c r="F12" t="inlineStr">
        <is>
          <t>Auto-discovered source-quality score 34; contains dated strategic/source-page signals.</t>
        </is>
      </c>
      <c r="G12" t="inlineStr">
        <is>
          <t>Auto-discovered; review after the next crawl.</t>
        </is>
      </c>
      <c r="H12" t="inlineStr">
        <is>
          <t>Crawl as ranked source first, follow dated article cards, publications and event links, then apply normal signal gates.</t>
        </is>
      </c>
      <c r="L12" t="inlineStr">
        <is>
          <t>Discovered</t>
        </is>
      </c>
    </row>
    <row r="13">
      <c r="A13" t="inlineStr">
        <is>
          <t>1. FSV Mainz 05 e.V.</t>
        </is>
      </c>
      <c r="B13" t="inlineStr">
        <is>
          <t>https://www.mainz05.de/KLIMAFREUNDLICHE-EVENTS</t>
        </is>
      </c>
      <c r="C13" t="inlineStr">
        <is>
          <t>Discovered source page</t>
        </is>
      </c>
      <c r="D13" t="inlineStr">
        <is>
          <t>High</t>
        </is>
      </c>
      <c r="E13" t="inlineStr">
        <is>
          <t>Medium</t>
        </is>
      </c>
      <c r="F13" t="inlineStr">
        <is>
          <t>Auto-discovered source-quality score 44; contains dated strategic/source-page signals.</t>
        </is>
      </c>
      <c r="G13" t="inlineStr">
        <is>
          <t>Auto-discovered; review after the next crawl.</t>
        </is>
      </c>
      <c r="H13" t="inlineStr">
        <is>
          <t>Crawl as ranked source first, follow dated article cards, publications and event links, then apply normal signal gates.</t>
        </is>
      </c>
      <c r="L13" t="inlineStr">
        <is>
          <t>Discovered</t>
        </is>
      </c>
    </row>
    <row r="14">
      <c r="A14" t="inlineStr">
        <is>
          <t>Architektenkammer Rheinland-Pfalz</t>
        </is>
      </c>
      <c r="B14" t="inlineStr">
        <is>
          <t>https://www.diearchitekten.org/presse</t>
        </is>
      </c>
      <c r="C14" t="inlineStr">
        <is>
          <t>Discovered source page</t>
        </is>
      </c>
      <c r="D14" t="inlineStr">
        <is>
          <t>High</t>
        </is>
      </c>
      <c r="E14" t="inlineStr">
        <is>
          <t>Medium</t>
        </is>
      </c>
      <c r="F14" t="inlineStr">
        <is>
          <t>Auto-discovered source-quality score 48; contains dated strategic/source-page signals.</t>
        </is>
      </c>
      <c r="G14" t="inlineStr">
        <is>
          <t>Auto-discovered; review after the next crawl.</t>
        </is>
      </c>
      <c r="H14" t="inlineStr">
        <is>
          <t>Crawl as ranked source first, follow dated article cards, publications and event links, then apply normal signal gates.</t>
        </is>
      </c>
      <c r="L14" t="inlineStr">
        <is>
          <t>Discovered</t>
        </is>
      </c>
    </row>
    <row r="15">
      <c r="A15" t="inlineStr">
        <is>
          <t>Architektenkammer Rheinland-Pfalz</t>
        </is>
      </c>
      <c r="B15" t="inlineStr">
        <is>
          <t>https://www.diearchitekten.org/energie</t>
        </is>
      </c>
      <c r="C15" t="inlineStr">
        <is>
          <t>Discovered source page</t>
        </is>
      </c>
      <c r="D15" t="inlineStr">
        <is>
          <t>Medium</t>
        </is>
      </c>
      <c r="E15" t="inlineStr">
        <is>
          <t>Medium</t>
        </is>
      </c>
      <c r="F15" t="inlineStr">
        <is>
          <t>Auto-discovered source-quality score 26; contains dated strategic/source-page signals.</t>
        </is>
      </c>
      <c r="G15" t="inlineStr">
        <is>
          <t>Auto-discovered; review after the next crawl.</t>
        </is>
      </c>
      <c r="H15" t="inlineStr">
        <is>
          <t>Crawl as ranked source first, follow dated article cards, publications and event links, then apply normal signal gates.</t>
        </is>
      </c>
      <c r="L15" t="inlineStr">
        <is>
          <t>Discovered</t>
        </is>
      </c>
    </row>
    <row r="16">
      <c r="A16" t="inlineStr">
        <is>
          <t>Architektenkammer Rheinland-Pfalz</t>
        </is>
      </c>
      <c r="B16" t="inlineStr">
        <is>
          <t>https://www.diearchitekten.org</t>
        </is>
      </c>
      <c r="C16" t="inlineStr">
        <is>
          <t>Discovered source page</t>
        </is>
      </c>
      <c r="D16" t="inlineStr">
        <is>
          <t>High</t>
        </is>
      </c>
      <c r="E16" t="inlineStr">
        <is>
          <t>Medium</t>
        </is>
      </c>
      <c r="F16" t="inlineStr">
        <is>
          <t>Auto-discovered source-quality score 48; contains dated strategic/source-page signals.</t>
        </is>
      </c>
      <c r="G16" t="inlineStr">
        <is>
          <t>Auto-discovered; review after the next crawl.</t>
        </is>
      </c>
      <c r="H16" t="inlineStr">
        <is>
          <t>Crawl as ranked source first, follow dated article cards, publications and event links, then apply normal signal gates.</t>
        </is>
      </c>
      <c r="L16" t="inlineStr">
        <is>
          <t>Discovered</t>
        </is>
      </c>
    </row>
    <row r="17">
      <c r="A17" t="inlineStr">
        <is>
          <t>Barmherzige Brüder Trier gGmbH</t>
        </is>
      </c>
      <c r="B17" t="inlineStr">
        <is>
          <t>https://www.bbtgruppe.de/aktuelles</t>
        </is>
      </c>
      <c r="C17" t="inlineStr">
        <is>
          <t>Discovered source page</t>
        </is>
      </c>
      <c r="D17" t="inlineStr">
        <is>
          <t>High</t>
        </is>
      </c>
      <c r="E17" t="inlineStr">
        <is>
          <t>Medium</t>
        </is>
      </c>
      <c r="F17" t="inlineStr">
        <is>
          <t>Auto-discovered source-quality score 56; contains dated strategic/source-page signals.</t>
        </is>
      </c>
      <c r="G17" t="inlineStr">
        <is>
          <t>Auto-discovered; review after the next crawl.</t>
        </is>
      </c>
      <c r="H17" t="inlineStr">
        <is>
          <t>Crawl as ranked source first, follow dated article cards, publications and event links, then apply normal signal gates.</t>
        </is>
      </c>
      <c r="L17" t="inlineStr">
        <is>
          <t>Discovered</t>
        </is>
      </c>
    </row>
    <row r="18">
      <c r="A18" t="inlineStr">
        <is>
          <t>Barmherzige Brüder Trier gGmbH</t>
        </is>
      </c>
      <c r="B18" t="inlineStr">
        <is>
          <t>https://www.bbtgruppe.de/news</t>
        </is>
      </c>
      <c r="C18" t="inlineStr">
        <is>
          <t>Discovered source page</t>
        </is>
      </c>
      <c r="D18" t="inlineStr">
        <is>
          <t>High</t>
        </is>
      </c>
      <c r="E18" t="inlineStr">
        <is>
          <t>Medium</t>
        </is>
      </c>
      <c r="F18" t="inlineStr">
        <is>
          <t>Auto-discovered source-quality score 56; contains dated strategic/source-page signals.</t>
        </is>
      </c>
      <c r="G18" t="inlineStr">
        <is>
          <t>Auto-discovered; review after the next crawl.</t>
        </is>
      </c>
      <c r="H18" t="inlineStr">
        <is>
          <t>Crawl as ranked source first, follow dated article cards, publications and event links, then apply normal signal gates.</t>
        </is>
      </c>
      <c r="L18" t="inlineStr">
        <is>
          <t>Discovered</t>
        </is>
      </c>
    </row>
    <row r="19">
      <c r="A19" t="inlineStr">
        <is>
          <t>Barmherzige Brüder Trier gGmbH</t>
        </is>
      </c>
      <c r="B19" t="inlineStr">
        <is>
          <t>https://www.bbtgruppe.de/presse</t>
        </is>
      </c>
      <c r="C19" t="inlineStr">
        <is>
          <t>Discovered source page</t>
        </is>
      </c>
      <c r="D19" t="inlineStr">
        <is>
          <t>High</t>
        </is>
      </c>
      <c r="E19" t="inlineStr">
        <is>
          <t>Medium</t>
        </is>
      </c>
      <c r="F19" t="inlineStr">
        <is>
          <t>Auto-discovered source-quality score 56; contains dated strategic/source-page signals.</t>
        </is>
      </c>
      <c r="G19" t="inlineStr">
        <is>
          <t>Auto-discovered; review after the next crawl.</t>
        </is>
      </c>
      <c r="H19" t="inlineStr">
        <is>
          <t>Crawl as ranked source first, follow dated article cards, publications and event links, then apply normal signal gates.</t>
        </is>
      </c>
      <c r="L19" t="inlineStr">
        <is>
          <t>Discovered</t>
        </is>
      </c>
    </row>
    <row r="20">
      <c r="A20" t="inlineStr">
        <is>
          <t>Barmherzige Brüder Trier gGmbH</t>
        </is>
      </c>
      <c r="B20" t="inlineStr">
        <is>
          <t>https://www.bbtgruppe.de/termine</t>
        </is>
      </c>
      <c r="C20" t="inlineStr">
        <is>
          <t>Discovered source page</t>
        </is>
      </c>
      <c r="D20" t="inlineStr">
        <is>
          <t>High</t>
        </is>
      </c>
      <c r="E20" t="inlineStr">
        <is>
          <t>Medium</t>
        </is>
      </c>
      <c r="F20" t="inlineStr">
        <is>
          <t>Auto-discovered source-quality score 56; contains dated strategic/source-page signals.</t>
        </is>
      </c>
      <c r="G20" t="inlineStr">
        <is>
          <t>Auto-discovered; review after the next crawl.</t>
        </is>
      </c>
      <c r="H20" t="inlineStr">
        <is>
          <t>Crawl as ranked source first, follow dated article cards, publications and event links, then apply normal signal gates.</t>
        </is>
      </c>
      <c r="L20" t="inlineStr">
        <is>
          <t>Discovered</t>
        </is>
      </c>
    </row>
    <row r="21">
      <c r="A21" t="inlineStr">
        <is>
          <t>Barmherzige Brüder Trier gGmbH</t>
        </is>
      </c>
      <c r="B21" t="inlineStr">
        <is>
          <t>https://www.bbtgruppe.de/veranstaltungen</t>
        </is>
      </c>
      <c r="C21" t="inlineStr">
        <is>
          <t>Discovered source page</t>
        </is>
      </c>
      <c r="D21" t="inlineStr">
        <is>
          <t>High</t>
        </is>
      </c>
      <c r="E21" t="inlineStr">
        <is>
          <t>Medium</t>
        </is>
      </c>
      <c r="F21" t="inlineStr">
        <is>
          <t>Auto-discovered source-quality score 56; contains dated strategic/source-page signals.</t>
        </is>
      </c>
      <c r="G21" t="inlineStr">
        <is>
          <t>Auto-discovered; review after the next crawl.</t>
        </is>
      </c>
      <c r="H21" t="inlineStr">
        <is>
          <t>Crawl as ranked source first, follow dated article cards, publications and event links, then apply normal signal gates.</t>
        </is>
      </c>
      <c r="L21" t="inlineStr">
        <is>
          <t>Discovered</t>
        </is>
      </c>
    </row>
    <row r="22">
      <c r="A22" t="inlineStr">
        <is>
          <t>Barmherzige Brüder Trier gGmbH</t>
        </is>
      </c>
      <c r="B22" t="inlineStr">
        <is>
          <t>https://www.bbtgruppe.de/publikationen</t>
        </is>
      </c>
      <c r="C22" t="inlineStr">
        <is>
          <t>Discovered source page</t>
        </is>
      </c>
      <c r="D22" t="inlineStr">
        <is>
          <t>High</t>
        </is>
      </c>
      <c r="E22" t="inlineStr">
        <is>
          <t>Medium</t>
        </is>
      </c>
      <c r="F22" t="inlineStr">
        <is>
          <t>Auto-discovered source-quality score 56; contains dated strategic/source-page signals.</t>
        </is>
      </c>
      <c r="G22" t="inlineStr">
        <is>
          <t>Auto-discovered; review after the next crawl.</t>
        </is>
      </c>
      <c r="H22" t="inlineStr">
        <is>
          <t>Crawl as ranked source first, follow dated article cards, publications and event links, then apply normal signal gates.</t>
        </is>
      </c>
      <c r="L22" t="inlineStr">
        <is>
          <t>Discovered</t>
        </is>
      </c>
    </row>
    <row r="23">
      <c r="A23" t="inlineStr">
        <is>
          <t>Barmherzige Brüder Trier gGmbH</t>
        </is>
      </c>
      <c r="B23" t="inlineStr">
        <is>
          <t>https://www.bbtgruppe.de/projekte</t>
        </is>
      </c>
      <c r="C23" t="inlineStr">
        <is>
          <t>Discovered source page</t>
        </is>
      </c>
      <c r="D23" t="inlineStr">
        <is>
          <t>High</t>
        </is>
      </c>
      <c r="E23" t="inlineStr">
        <is>
          <t>Medium</t>
        </is>
      </c>
      <c r="F23" t="inlineStr">
        <is>
          <t>Auto-discovered source-quality score 56; contains dated strategic/source-page signals.</t>
        </is>
      </c>
      <c r="G23" t="inlineStr">
        <is>
          <t>Auto-discovered; review after the next crawl.</t>
        </is>
      </c>
      <c r="H23" t="inlineStr">
        <is>
          <t>Crawl as ranked source first, follow dated article cards, publications and event links, then apply normal signal gates.</t>
        </is>
      </c>
      <c r="L23" t="inlineStr">
        <is>
          <t>Discovered</t>
        </is>
      </c>
    </row>
    <row r="24">
      <c r="A24" t="inlineStr">
        <is>
          <t>Barmherzige Brüder Trier gGmbH</t>
        </is>
      </c>
      <c r="B24" t="inlineStr">
        <is>
          <t>https://www.bbtgruppe.de/aktuell</t>
        </is>
      </c>
      <c r="C24" t="inlineStr">
        <is>
          <t>Discovered source page</t>
        </is>
      </c>
      <c r="D24" t="inlineStr">
        <is>
          <t>High</t>
        </is>
      </c>
      <c r="E24" t="inlineStr">
        <is>
          <t>Medium</t>
        </is>
      </c>
      <c r="F24" t="inlineStr">
        <is>
          <t>Auto-discovered source-quality score 56; contains dated strategic/source-page signals.</t>
        </is>
      </c>
      <c r="G24" t="inlineStr">
        <is>
          <t>Auto-discovered; review after the next crawl.</t>
        </is>
      </c>
      <c r="H24" t="inlineStr">
        <is>
          <t>Crawl as ranked source first, follow dated article cards, publications and event links, then apply normal signal gates.</t>
        </is>
      </c>
      <c r="L24" t="inlineStr">
        <is>
          <t>Discovered</t>
        </is>
      </c>
    </row>
    <row r="25">
      <c r="A25" t="inlineStr">
        <is>
          <t>Barmherzige Brüder Trier gGmbH</t>
        </is>
      </c>
      <c r="B25" t="inlineStr">
        <is>
          <t>https://www.bbtgruppe.de/meldungen</t>
        </is>
      </c>
      <c r="C25" t="inlineStr">
        <is>
          <t>Discovered source page</t>
        </is>
      </c>
      <c r="D25" t="inlineStr">
        <is>
          <t>High</t>
        </is>
      </c>
      <c r="E25" t="inlineStr">
        <is>
          <t>Medium</t>
        </is>
      </c>
      <c r="F25" t="inlineStr">
        <is>
          <t>Auto-discovered source-quality score 56; contains dated strategic/source-page signals.</t>
        </is>
      </c>
      <c r="G25" t="inlineStr">
        <is>
          <t>Auto-discovered; review after the next crawl.</t>
        </is>
      </c>
      <c r="H25" t="inlineStr">
        <is>
          <t>Crawl as ranked source first, follow dated article cards, publications and event links, then apply normal signal gates.</t>
        </is>
      </c>
      <c r="L25" t="inlineStr">
        <is>
          <t>Discovered</t>
        </is>
      </c>
    </row>
    <row r="26">
      <c r="A26" t="inlineStr">
        <is>
          <t>Barmherzige Brüder Trier gGmbH</t>
        </is>
      </c>
      <c r="B26" t="inlineStr">
        <is>
          <t>https://www.bbtgruppe.de/pressemitteilungen</t>
        </is>
      </c>
      <c r="C26" t="inlineStr">
        <is>
          <t>Discovered source page</t>
        </is>
      </c>
      <c r="D26" t="inlineStr">
        <is>
          <t>High</t>
        </is>
      </c>
      <c r="E26" t="inlineStr">
        <is>
          <t>Medium</t>
        </is>
      </c>
      <c r="F26" t="inlineStr">
        <is>
          <t>Auto-discovered source-quality score 56; contains dated strategic/source-page signals.</t>
        </is>
      </c>
      <c r="G26" t="inlineStr">
        <is>
          <t>Auto-discovered; review after the next crawl.</t>
        </is>
      </c>
      <c r="H26" t="inlineStr">
        <is>
          <t>Crawl as ranked source first, follow dated article cards, publications and event links, then apply normal signal gates.</t>
        </is>
      </c>
      <c r="L26" t="inlineStr">
        <is>
          <t>Discovered</t>
        </is>
      </c>
    </row>
    <row r="27">
      <c r="A27" t="inlineStr">
        <is>
          <t>Barmherzige Brüder Trier gGmbH</t>
        </is>
      </c>
      <c r="B27" t="inlineStr">
        <is>
          <t>https://www.bbtgruppe.de/newsroom</t>
        </is>
      </c>
      <c r="C27" t="inlineStr">
        <is>
          <t>Discovered source page</t>
        </is>
      </c>
      <c r="D27" t="inlineStr">
        <is>
          <t>High</t>
        </is>
      </c>
      <c r="E27" t="inlineStr">
        <is>
          <t>Medium</t>
        </is>
      </c>
      <c r="F27" t="inlineStr">
        <is>
          <t>Auto-discovered source-quality score 56; contains dated strategic/source-page signals.</t>
        </is>
      </c>
      <c r="G27" t="inlineStr">
        <is>
          <t>Auto-discovered; review after the next crawl.</t>
        </is>
      </c>
      <c r="H27" t="inlineStr">
        <is>
          <t>Crawl as ranked source first, follow dated article cards, publications and event links, then apply normal signal gates.</t>
        </is>
      </c>
      <c r="L27" t="inlineStr">
        <is>
          <t>Discovered</t>
        </is>
      </c>
    </row>
    <row r="28">
      <c r="A28" t="inlineStr">
        <is>
          <t>Barmherzige Brüder Trier gGmbH</t>
        </is>
      </c>
      <c r="B28" t="inlineStr">
        <is>
          <t>https://www.bbtgruppe.de/unternehmen/presse</t>
        </is>
      </c>
      <c r="C28" t="inlineStr">
        <is>
          <t>Discovered source page</t>
        </is>
      </c>
      <c r="D28" t="inlineStr">
        <is>
          <t>High</t>
        </is>
      </c>
      <c r="E28" t="inlineStr">
        <is>
          <t>Medium</t>
        </is>
      </c>
      <c r="F28" t="inlineStr">
        <is>
          <t>Auto-discovered source-quality score 56; contains dated strategic/source-page signals.</t>
        </is>
      </c>
      <c r="G28" t="inlineStr">
        <is>
          <t>Auto-discovered; review after the next crawl.</t>
        </is>
      </c>
      <c r="H28" t="inlineStr">
        <is>
          <t>Crawl as ranked source first, follow dated article cards, publications and event links, then apply normal signal gates.</t>
        </is>
      </c>
      <c r="L28" t="inlineStr">
        <is>
          <t>Discovered</t>
        </is>
      </c>
    </row>
    <row r="29">
      <c r="A29" t="inlineStr">
        <is>
          <t>Barmherzige Brüder Trier gGmbH</t>
        </is>
      </c>
      <c r="B29" t="inlineStr">
        <is>
          <t>https://www.bbtgruppe.de/de/news</t>
        </is>
      </c>
      <c r="C29" t="inlineStr">
        <is>
          <t>Discovered source page</t>
        </is>
      </c>
      <c r="D29" t="inlineStr">
        <is>
          <t>High</t>
        </is>
      </c>
      <c r="E29" t="inlineStr">
        <is>
          <t>Medium</t>
        </is>
      </c>
      <c r="F29" t="inlineStr">
        <is>
          <t>Auto-discovered source-quality score 56; contains dated strategic/source-page signals.</t>
        </is>
      </c>
      <c r="G29" t="inlineStr">
        <is>
          <t>Auto-discovered; review after the next crawl.</t>
        </is>
      </c>
      <c r="H29" t="inlineStr">
        <is>
          <t>Crawl as ranked source first, follow dated article cards, publications and event links, then apply normal signal gates.</t>
        </is>
      </c>
      <c r="L29" t="inlineStr">
        <is>
          <t>Discovered</t>
        </is>
      </c>
    </row>
    <row r="30">
      <c r="A30" t="inlineStr">
        <is>
          <t>Barmherzige Brüder Trier gGmbH</t>
        </is>
      </c>
      <c r="B30" t="inlineStr">
        <is>
          <t>https://www.bbtgruppe.de/de/presse</t>
        </is>
      </c>
      <c r="C30" t="inlineStr">
        <is>
          <t>Discovered source page</t>
        </is>
      </c>
      <c r="D30" t="inlineStr">
        <is>
          <t>High</t>
        </is>
      </c>
      <c r="E30" t="inlineStr">
        <is>
          <t>Medium</t>
        </is>
      </c>
      <c r="F30" t="inlineStr">
        <is>
          <t>Auto-discovered source-quality score 56; contains dated strategic/source-page signals.</t>
        </is>
      </c>
      <c r="G30" t="inlineStr">
        <is>
          <t>Auto-discovered; review after the next crawl.</t>
        </is>
      </c>
      <c r="H30" t="inlineStr">
        <is>
          <t>Crawl as ranked source first, follow dated article cards, publications and event links, then apply normal signal gates.</t>
        </is>
      </c>
      <c r="L30" t="inlineStr">
        <is>
          <t>Discovered</t>
        </is>
      </c>
    </row>
    <row r="31">
      <c r="A31" t="inlineStr">
        <is>
          <t>Barmherzige Brüder Trier gGmbH</t>
        </is>
      </c>
      <c r="B31" t="inlineStr">
        <is>
          <t>https://www.bbtgruppe.de/de/aktuelles</t>
        </is>
      </c>
      <c r="C31" t="inlineStr">
        <is>
          <t>Discovered source page</t>
        </is>
      </c>
      <c r="D31" t="inlineStr">
        <is>
          <t>High</t>
        </is>
      </c>
      <c r="E31" t="inlineStr">
        <is>
          <t>Medium</t>
        </is>
      </c>
      <c r="F31" t="inlineStr">
        <is>
          <t>Auto-discovered source-quality score 56; contains dated strategic/source-page signals.</t>
        </is>
      </c>
      <c r="G31" t="inlineStr">
        <is>
          <t>Auto-discovered; review after the next crawl.</t>
        </is>
      </c>
      <c r="H31" t="inlineStr">
        <is>
          <t>Crawl as ranked source first, follow dated article cards, publications and event links, then apply normal signal gates.</t>
        </is>
      </c>
      <c r="L31" t="inlineStr">
        <is>
          <t>Discovered</t>
        </is>
      </c>
    </row>
    <row r="32">
      <c r="A32" t="inlineStr">
        <is>
          <t>Barmherzige Brüder Trier gGmbH</t>
        </is>
      </c>
      <c r="B32" t="inlineStr">
        <is>
          <t>https://www.bbtgruppe.de/de/newsroom</t>
        </is>
      </c>
      <c r="C32" t="inlineStr">
        <is>
          <t>Discovered source page</t>
        </is>
      </c>
      <c r="D32" t="inlineStr">
        <is>
          <t>High</t>
        </is>
      </c>
      <c r="E32" t="inlineStr">
        <is>
          <t>Medium</t>
        </is>
      </c>
      <c r="F32" t="inlineStr">
        <is>
          <t>Auto-discovered source-quality score 56; contains dated strategic/source-page signals.</t>
        </is>
      </c>
      <c r="G32" t="inlineStr">
        <is>
          <t>Auto-discovered; review after the next crawl.</t>
        </is>
      </c>
      <c r="H32" t="inlineStr">
        <is>
          <t>Crawl as ranked source first, follow dated article cards, publications and event links, then apply normal signal gates.</t>
        </is>
      </c>
      <c r="L32" t="inlineStr">
        <is>
          <t>Discovered</t>
        </is>
      </c>
    </row>
    <row r="33">
      <c r="A33" t="inlineStr">
        <is>
          <t>Barmherzige Brüder Trier gGmbH</t>
        </is>
      </c>
      <c r="B33" t="inlineStr">
        <is>
          <t>https://www.bbtgruppe.de/events</t>
        </is>
      </c>
      <c r="C33" t="inlineStr">
        <is>
          <t>Discovered source page</t>
        </is>
      </c>
      <c r="D33" t="inlineStr">
        <is>
          <t>High</t>
        </is>
      </c>
      <c r="E33" t="inlineStr">
        <is>
          <t>Medium</t>
        </is>
      </c>
      <c r="F33" t="inlineStr">
        <is>
          <t>Auto-discovered source-quality score 56; contains dated strategic/source-page signals.</t>
        </is>
      </c>
      <c r="G33" t="inlineStr">
        <is>
          <t>Auto-discovered; review after the next crawl.</t>
        </is>
      </c>
      <c r="H33" t="inlineStr">
        <is>
          <t>Crawl as ranked source first, follow dated article cards, publications and event links, then apply normal signal gates.</t>
        </is>
      </c>
      <c r="L33" t="inlineStr">
        <is>
          <t>Discovered</t>
        </is>
      </c>
    </row>
    <row r="34">
      <c r="A34" t="inlineStr">
        <is>
          <t>Barmherzige Brüder Trier gGmbH</t>
        </is>
      </c>
      <c r="B34" t="inlineStr">
        <is>
          <t>https://www.bbtgruppe.de/forschung</t>
        </is>
      </c>
      <c r="C34" t="inlineStr">
        <is>
          <t>Discovered source page</t>
        </is>
      </c>
      <c r="D34" t="inlineStr">
        <is>
          <t>High</t>
        </is>
      </c>
      <c r="E34" t="inlineStr">
        <is>
          <t>Medium</t>
        </is>
      </c>
      <c r="F34" t="inlineStr">
        <is>
          <t>Auto-discovered source-quality score 56; contains dated strategic/source-page signals.</t>
        </is>
      </c>
      <c r="G34" t="inlineStr">
        <is>
          <t>Auto-discovered; review after the next crawl.</t>
        </is>
      </c>
      <c r="H34" t="inlineStr">
        <is>
          <t>Crawl as ranked source first, follow dated article cards, publications and event links, then apply normal signal gates.</t>
        </is>
      </c>
      <c r="L34" t="inlineStr">
        <is>
          <t>Discovered</t>
        </is>
      </c>
    </row>
    <row r="35">
      <c r="A35" t="inlineStr">
        <is>
          <t>Barmherzige Brüder Trier gGmbH</t>
        </is>
      </c>
      <c r="B35" t="inlineStr">
        <is>
          <t>https://www.bbtgruppe.de/transfer</t>
        </is>
      </c>
      <c r="C35" t="inlineStr">
        <is>
          <t>Discovered source page</t>
        </is>
      </c>
      <c r="D35" t="inlineStr">
        <is>
          <t>High</t>
        </is>
      </c>
      <c r="E35" t="inlineStr">
        <is>
          <t>Medium</t>
        </is>
      </c>
      <c r="F35" t="inlineStr">
        <is>
          <t>Auto-discovered source-quality score 56; contains dated strategic/source-page signals.</t>
        </is>
      </c>
      <c r="G35" t="inlineStr">
        <is>
          <t>Auto-discovered; review after the next crawl.</t>
        </is>
      </c>
      <c r="H35" t="inlineStr">
        <is>
          <t>Crawl as ranked source first, follow dated article cards, publications and event links, then apply normal signal gates.</t>
        </is>
      </c>
      <c r="L35" t="inlineStr">
        <is>
          <t>Discovered</t>
        </is>
      </c>
    </row>
    <row r="36">
      <c r="A36" t="inlineStr">
        <is>
          <t>Barmherzige Brüder Trier gGmbH</t>
        </is>
      </c>
      <c r="B36" t="inlineStr">
        <is>
          <t>https://www.bbtgruppe.de/studien</t>
        </is>
      </c>
      <c r="C36" t="inlineStr">
        <is>
          <t>Discovered source page</t>
        </is>
      </c>
      <c r="D36" t="inlineStr">
        <is>
          <t>High</t>
        </is>
      </c>
      <c r="E36" t="inlineStr">
        <is>
          <t>Medium</t>
        </is>
      </c>
      <c r="F36" t="inlineStr">
        <is>
          <t>Auto-discovered source-quality score 56; contains dated strategic/source-page signals.</t>
        </is>
      </c>
      <c r="G36" t="inlineStr">
        <is>
          <t>Auto-discovered; review after the next crawl.</t>
        </is>
      </c>
      <c r="H36" t="inlineStr">
        <is>
          <t>Crawl as ranked source first, follow dated article cards, publications and event links, then apply normal signal gates.</t>
        </is>
      </c>
      <c r="L36" t="inlineStr">
        <is>
          <t>Discovered</t>
        </is>
      </c>
    </row>
    <row r="37">
      <c r="A37" t="inlineStr">
        <is>
          <t>Barmherzige Brüder Trier gGmbH</t>
        </is>
      </c>
      <c r="B37" t="inlineStr">
        <is>
          <t>https://www.bbtgruppe.de/research</t>
        </is>
      </c>
      <c r="C37" t="inlineStr">
        <is>
          <t>Discovered source page</t>
        </is>
      </c>
      <c r="D37" t="inlineStr">
        <is>
          <t>High</t>
        </is>
      </c>
      <c r="E37" t="inlineStr">
        <is>
          <t>Medium</t>
        </is>
      </c>
      <c r="F37" t="inlineStr">
        <is>
          <t>Auto-discovered source-quality score 56; contains dated strategic/source-page signals.</t>
        </is>
      </c>
      <c r="G37" t="inlineStr">
        <is>
          <t>Auto-discovered; review after the next crawl.</t>
        </is>
      </c>
      <c r="H37" t="inlineStr">
        <is>
          <t>Crawl as ranked source first, follow dated article cards, publications and event links, then apply normal signal gates.</t>
        </is>
      </c>
      <c r="L37" t="inlineStr">
        <is>
          <t>Discovered</t>
        </is>
      </c>
    </row>
    <row r="38">
      <c r="A38" t="inlineStr">
        <is>
          <t>Barmherzige Brüder Trier gGmbH</t>
        </is>
      </c>
      <c r="B38" t="inlineStr">
        <is>
          <t>https://www.bbtgruppe.de/analysen</t>
        </is>
      </c>
      <c r="C38" t="inlineStr">
        <is>
          <t>Discovered source page</t>
        </is>
      </c>
      <c r="D38" t="inlineStr">
        <is>
          <t>High</t>
        </is>
      </c>
      <c r="E38" t="inlineStr">
        <is>
          <t>Medium</t>
        </is>
      </c>
      <c r="F38" t="inlineStr">
        <is>
          <t>Auto-discovered source-quality score 56; contains dated strategic/source-page signals.</t>
        </is>
      </c>
      <c r="G38" t="inlineStr">
        <is>
          <t>Auto-discovered; review after the next crawl.</t>
        </is>
      </c>
      <c r="H38" t="inlineStr">
        <is>
          <t>Crawl as ranked source first, follow dated article cards, publications and event links, then apply normal signal gates.</t>
        </is>
      </c>
      <c r="L38" t="inlineStr">
        <is>
          <t>Discovered</t>
        </is>
      </c>
    </row>
    <row r="39">
      <c r="A39" t="inlineStr">
        <is>
          <t>Barmherzige Brüder Trier gGmbH</t>
        </is>
      </c>
      <c r="B39" t="inlineStr">
        <is>
          <t>https://www.bbtgruppe.de/downloads</t>
        </is>
      </c>
      <c r="C39" t="inlineStr">
        <is>
          <t>Discovered source page</t>
        </is>
      </c>
      <c r="D39" t="inlineStr">
        <is>
          <t>High</t>
        </is>
      </c>
      <c r="E39" t="inlineStr">
        <is>
          <t>Medium</t>
        </is>
      </c>
      <c r="F39" t="inlineStr">
        <is>
          <t>Auto-discovered source-quality score 56; contains dated strategic/source-page signals.</t>
        </is>
      </c>
      <c r="G39" t="inlineStr">
        <is>
          <t>Auto-discovered; review after the next crawl.</t>
        </is>
      </c>
      <c r="H39" t="inlineStr">
        <is>
          <t>Crawl as ranked source first, follow dated article cards, publications and event links, then apply normal signal gates.</t>
        </is>
      </c>
      <c r="L39" t="inlineStr">
        <is>
          <t>Discovered</t>
        </is>
      </c>
    </row>
    <row r="40">
      <c r="A40" t="inlineStr">
        <is>
          <t>Barmherzige Brüder Trier gGmbH</t>
        </is>
      </c>
      <c r="B40" t="inlineStr">
        <is>
          <t>https://www.bbtgruppe.de/innovation</t>
        </is>
      </c>
      <c r="C40" t="inlineStr">
        <is>
          <t>Discovered source page</t>
        </is>
      </c>
      <c r="D40" t="inlineStr">
        <is>
          <t>High</t>
        </is>
      </c>
      <c r="E40" t="inlineStr">
        <is>
          <t>Medium</t>
        </is>
      </c>
      <c r="F40" t="inlineStr">
        <is>
          <t>Auto-discovered source-quality score 56; contains dated strategic/source-page signals.</t>
        </is>
      </c>
      <c r="G40" t="inlineStr">
        <is>
          <t>Auto-discovered; review after the next crawl.</t>
        </is>
      </c>
      <c r="H40" t="inlineStr">
        <is>
          <t>Crawl as ranked source first, follow dated article cards, publications and event links, then apply normal signal gates.</t>
        </is>
      </c>
      <c r="L40" t="inlineStr">
        <is>
          <t>Discovered</t>
        </is>
      </c>
    </row>
    <row r="41">
      <c r="A41" t="inlineStr">
        <is>
          <t>Barmherzige Brüder Trier gGmbH</t>
        </is>
      </c>
      <c r="B41" t="inlineStr">
        <is>
          <t>https://www.bbtgruppe.de/feed</t>
        </is>
      </c>
      <c r="C41" t="inlineStr">
        <is>
          <t>Discovered source page</t>
        </is>
      </c>
      <c r="D41" t="inlineStr">
        <is>
          <t>High</t>
        </is>
      </c>
      <c r="E41" t="inlineStr">
        <is>
          <t>Medium</t>
        </is>
      </c>
      <c r="F41" t="inlineStr">
        <is>
          <t>Auto-discovered source-quality score 56; contains dated strategic/source-page signals.</t>
        </is>
      </c>
      <c r="G41" t="inlineStr">
        <is>
          <t>Auto-discovered; review after the next crawl.</t>
        </is>
      </c>
      <c r="H41" t="inlineStr">
        <is>
          <t>Crawl as ranked source first, follow dated article cards, publications and event links, then apply normal signal gates.</t>
        </is>
      </c>
      <c r="L41" t="inlineStr">
        <is>
          <t>Discovered</t>
        </is>
      </c>
    </row>
    <row r="42">
      <c r="A42" t="inlineStr">
        <is>
          <t>Barmherzige Brüder Trier gGmbH</t>
        </is>
      </c>
      <c r="B42" t="inlineStr">
        <is>
          <t>https://www.bbtgruppe.de/rss</t>
        </is>
      </c>
      <c r="C42" t="inlineStr">
        <is>
          <t>Discovered source page</t>
        </is>
      </c>
      <c r="D42" t="inlineStr">
        <is>
          <t>High</t>
        </is>
      </c>
      <c r="E42" t="inlineStr">
        <is>
          <t>Medium</t>
        </is>
      </c>
      <c r="F42" t="inlineStr">
        <is>
          <t>Auto-discovered source-quality score 56; contains dated strategic/source-page signals.</t>
        </is>
      </c>
      <c r="G42" t="inlineStr">
        <is>
          <t>Auto-discovered; review after the next crawl.</t>
        </is>
      </c>
      <c r="H42" t="inlineStr">
        <is>
          <t>Crawl as ranked source first, follow dated article cards, publications and event links, then apply normal signal gates.</t>
        </is>
      </c>
      <c r="L42" t="inlineStr">
        <is>
          <t>Discovered</t>
        </is>
      </c>
    </row>
    <row r="43">
      <c r="A43" t="inlineStr">
        <is>
          <t>Barmherzige Brüder Trier gGmbH</t>
        </is>
      </c>
      <c r="B43" t="inlineStr">
        <is>
          <t>https://www.bbtgruppe.de</t>
        </is>
      </c>
      <c r="C43" t="inlineStr">
        <is>
          <t>Discovered source page</t>
        </is>
      </c>
      <c r="D43" t="inlineStr">
        <is>
          <t>High</t>
        </is>
      </c>
      <c r="E43" t="inlineStr">
        <is>
          <t>Medium</t>
        </is>
      </c>
      <c r="F43" t="inlineStr">
        <is>
          <t>Auto-discovered source-quality score 56; contains dated strategic/source-page signals.</t>
        </is>
      </c>
      <c r="G43" t="inlineStr">
        <is>
          <t>Auto-discovered; review after the next crawl.</t>
        </is>
      </c>
      <c r="H43" t="inlineStr">
        <is>
          <t>Crawl as ranked source first, follow dated article cards, publications and event links, then apply normal signal gates.</t>
        </is>
      </c>
      <c r="L43" t="inlineStr">
        <is>
          <t>Discovered</t>
        </is>
      </c>
    </row>
    <row r="44">
      <c r="A44" t="inlineStr">
        <is>
          <t>BASF SE</t>
        </is>
      </c>
      <c r="B44" t="inlineStr">
        <is>
          <t>https://www.basf.com/innovation</t>
        </is>
      </c>
      <c r="C44" t="inlineStr">
        <is>
          <t>Discovered source page</t>
        </is>
      </c>
      <c r="D44" t="inlineStr">
        <is>
          <t>High</t>
        </is>
      </c>
      <c r="E44" t="inlineStr">
        <is>
          <t>Medium</t>
        </is>
      </c>
      <c r="F44" t="inlineStr">
        <is>
          <t>Auto-discovered source-quality score 42; contains dated strategic/source-page signals.</t>
        </is>
      </c>
      <c r="G44" t="inlineStr">
        <is>
          <t>Auto-discovered; review after the next crawl.</t>
        </is>
      </c>
      <c r="H44" t="inlineStr">
        <is>
          <t>Crawl as ranked source first, follow dated article cards, publications and event links, then apply normal signal gates.</t>
        </is>
      </c>
      <c r="L44" t="inlineStr">
        <is>
          <t>Discovered</t>
        </is>
      </c>
    </row>
    <row r="45">
      <c r="A45" t="inlineStr">
        <is>
          <t>BASF SE</t>
        </is>
      </c>
      <c r="B45" t="inlineStr">
        <is>
          <t>https://www.basf.com/nachhaltigkeit</t>
        </is>
      </c>
      <c r="C45" t="inlineStr">
        <is>
          <t>Discovered source page</t>
        </is>
      </c>
      <c r="D45" t="inlineStr">
        <is>
          <t>Medium</t>
        </is>
      </c>
      <c r="E45" t="inlineStr">
        <is>
          <t>Medium</t>
        </is>
      </c>
      <c r="F45" t="inlineStr">
        <is>
          <t>Auto-discovered source-quality score 32; contains dated strategic/source-page signals.</t>
        </is>
      </c>
      <c r="G45" t="inlineStr">
        <is>
          <t>Auto-discovered; review after the next crawl.</t>
        </is>
      </c>
      <c r="H45" t="inlineStr">
        <is>
          <t>Crawl as ranked source first, follow dated article cards, publications and event links, then apply normal signal gates.</t>
        </is>
      </c>
      <c r="L45" t="inlineStr">
        <is>
          <t>Discovered</t>
        </is>
      </c>
    </row>
    <row r="46">
      <c r="A46" t="inlineStr">
        <is>
          <t>BASF SE</t>
        </is>
      </c>
      <c r="B46" t="inlineStr">
        <is>
          <t>https://www.basf.com/forschung</t>
        </is>
      </c>
      <c r="C46" t="inlineStr">
        <is>
          <t>Discovered source page</t>
        </is>
      </c>
      <c r="D46" t="inlineStr">
        <is>
          <t>Medium</t>
        </is>
      </c>
      <c r="E46" t="inlineStr">
        <is>
          <t>Medium</t>
        </is>
      </c>
      <c r="F46" t="inlineStr">
        <is>
          <t>Auto-discovered source-quality score 32; contains dated strategic/source-page signals.</t>
        </is>
      </c>
      <c r="G46" t="inlineStr">
        <is>
          <t>Auto-discovered; review after the next crawl.</t>
        </is>
      </c>
      <c r="H46" t="inlineStr">
        <is>
          <t>Crawl as ranked source first, follow dated article cards, publications and event links, then apply normal signal gates.</t>
        </is>
      </c>
      <c r="L46" t="inlineStr">
        <is>
          <t>Discovered</t>
        </is>
      </c>
    </row>
    <row r="47">
      <c r="A47" t="inlineStr">
        <is>
          <t>BASF SE</t>
        </is>
      </c>
      <c r="B47" t="inlineStr">
        <is>
          <t>https://www.basf.com/publikationen</t>
        </is>
      </c>
      <c r="C47" t="inlineStr">
        <is>
          <t>Discovered source page</t>
        </is>
      </c>
      <c r="D47" t="inlineStr">
        <is>
          <t>Medium</t>
        </is>
      </c>
      <c r="E47" t="inlineStr">
        <is>
          <t>Medium</t>
        </is>
      </c>
      <c r="F47" t="inlineStr">
        <is>
          <t>Auto-discovered source-quality score 24; contains dated strategic/source-page signals.</t>
        </is>
      </c>
      <c r="G47" t="inlineStr">
        <is>
          <t>Auto-discovered; review after the next crawl.</t>
        </is>
      </c>
      <c r="H47" t="inlineStr">
        <is>
          <t>Crawl as ranked source first, follow dated article cards, publications and event links, then apply normal signal gates.</t>
        </is>
      </c>
      <c r="L47" t="inlineStr">
        <is>
          <t>Discovered</t>
        </is>
      </c>
    </row>
    <row r="48">
      <c r="A48" t="inlineStr">
        <is>
          <t>BASF SE</t>
        </is>
      </c>
      <c r="B48" t="inlineStr">
        <is>
          <t>https://www.basf.com/research</t>
        </is>
      </c>
      <c r="C48" t="inlineStr">
        <is>
          <t>Discovered source page</t>
        </is>
      </c>
      <c r="D48" t="inlineStr">
        <is>
          <t>High</t>
        </is>
      </c>
      <c r="E48" t="inlineStr">
        <is>
          <t>Medium</t>
        </is>
      </c>
      <c r="F48" t="inlineStr">
        <is>
          <t>Auto-discovered source-quality score 42; contains dated strategic/source-page signals.</t>
        </is>
      </c>
      <c r="G48" t="inlineStr">
        <is>
          <t>Auto-discovered; review after the next crawl.</t>
        </is>
      </c>
      <c r="H48" t="inlineStr">
        <is>
          <t>Crawl as ranked source first, follow dated article cards, publications and event links, then apply normal signal gates.</t>
        </is>
      </c>
      <c r="L48" t="inlineStr">
        <is>
          <t>Discovered</t>
        </is>
      </c>
    </row>
    <row r="49">
      <c r="A49" t="inlineStr">
        <is>
          <t>Bauern- und Winzerverband Rheinland-Pfalz Süd e.V.</t>
        </is>
      </c>
      <c r="B49" t="inlineStr">
        <is>
          <t>https://www.bwv-rlp.de/lav</t>
        </is>
      </c>
      <c r="C49" t="inlineStr">
        <is>
          <t>Discovered source page</t>
        </is>
      </c>
      <c r="D49" t="inlineStr">
        <is>
          <t>High</t>
        </is>
      </c>
      <c r="E49" t="inlineStr">
        <is>
          <t>Medium</t>
        </is>
      </c>
      <c r="F49" t="inlineStr">
        <is>
          <t>Auto-discovered source-quality score 58; contains dated strategic/source-page signals.</t>
        </is>
      </c>
      <c r="G49" t="inlineStr">
        <is>
          <t>Auto-discovered; review after the next crawl.</t>
        </is>
      </c>
      <c r="H49" t="inlineStr">
        <is>
          <t>Crawl as ranked source first, follow dated article cards, publications and event links, then apply normal signal gates.</t>
        </is>
      </c>
      <c r="L49" t="inlineStr">
        <is>
          <t>Discovered</t>
        </is>
      </c>
    </row>
    <row r="50">
      <c r="A50" t="inlineStr">
        <is>
          <t>Bauern- und Winzerverband Rheinland-Pfalz Süd e.V.</t>
        </is>
      </c>
      <c r="B50" t="inlineStr">
        <is>
          <t>https://www.bwv-rlp.de/nachhaltigkeit</t>
        </is>
      </c>
      <c r="C50" t="inlineStr">
        <is>
          <t>Discovered source page</t>
        </is>
      </c>
      <c r="D50" t="inlineStr">
        <is>
          <t>High</t>
        </is>
      </c>
      <c r="E50" t="inlineStr">
        <is>
          <t>Medium</t>
        </is>
      </c>
      <c r="F50" t="inlineStr">
        <is>
          <t>Auto-discovered source-quality score 54; contains dated strategic/source-page signals.</t>
        </is>
      </c>
      <c r="G50" t="inlineStr">
        <is>
          <t>Auto-discovered; review after the next crawl.</t>
        </is>
      </c>
      <c r="H50" t="inlineStr">
        <is>
          <t>Crawl as ranked source first, follow dated article cards, publications and event links, then apply normal signal gates.</t>
        </is>
      </c>
      <c r="L50" t="inlineStr">
        <is>
          <t>Discovered</t>
        </is>
      </c>
    </row>
    <row r="51">
      <c r="A51" t="inlineStr">
        <is>
          <t>Bitburger Braugruppe GmbH</t>
        </is>
      </c>
      <c r="B51" t="inlineStr">
        <is>
          <t>https://www.bitburger-braugruppe.de</t>
        </is>
      </c>
      <c r="C51" t="inlineStr">
        <is>
          <t>Discovered source page</t>
        </is>
      </c>
      <c r="D51" t="inlineStr">
        <is>
          <t>High</t>
        </is>
      </c>
      <c r="E51" t="inlineStr">
        <is>
          <t>Medium</t>
        </is>
      </c>
      <c r="F51" t="inlineStr">
        <is>
          <t>Auto-discovered source-quality score 56; contains dated strategic/source-page signals.</t>
        </is>
      </c>
      <c r="G51" t="inlineStr">
        <is>
          <t>Auto-discovered; review after the next crawl.</t>
        </is>
      </c>
      <c r="H51" t="inlineStr">
        <is>
          <t>Crawl as ranked source first, follow dated article cards, publications and event links, then apply normal signal gates.</t>
        </is>
      </c>
      <c r="L51" t="inlineStr">
        <is>
          <t>Discovered</t>
        </is>
      </c>
    </row>
    <row r="52">
      <c r="A52" t="inlineStr">
        <is>
          <t>Boehringer Ingelheim Pharma GmbH &amp; Co. KG</t>
        </is>
      </c>
      <c r="B52" t="inlineStr">
        <is>
          <t>https://www.boehringer-ingelheim.com/de/presse/pressemitteilungen</t>
        </is>
      </c>
      <c r="C52" t="inlineStr">
        <is>
          <t>Discovered source page</t>
        </is>
      </c>
      <c r="D52" t="inlineStr">
        <is>
          <t>Medium</t>
        </is>
      </c>
      <c r="E52" t="inlineStr">
        <is>
          <t>Medium</t>
        </is>
      </c>
      <c r="F52" t="inlineStr">
        <is>
          <t>Auto-discovered source-quality score 25; contains dated strategic/source-page signals.</t>
        </is>
      </c>
      <c r="G52" t="inlineStr">
        <is>
          <t>Auto-discovered; review after the next crawl.</t>
        </is>
      </c>
      <c r="H52" t="inlineStr">
        <is>
          <t>Crawl as ranked source first, follow dated article cards, publications and event links, then apply normal signal gates.</t>
        </is>
      </c>
      <c r="L52" t="inlineStr">
        <is>
          <t>Discovered</t>
        </is>
      </c>
    </row>
    <row r="53">
      <c r="A53" t="inlineStr">
        <is>
          <t>BRICKMAKERS AG</t>
        </is>
      </c>
      <c r="B53" t="inlineStr">
        <is>
          <t>http://www.brickmakers.de/nachhaltigkeit</t>
        </is>
      </c>
      <c r="C53" t="inlineStr">
        <is>
          <t>Discovered source page</t>
        </is>
      </c>
      <c r="D53" t="inlineStr">
        <is>
          <t>Medium</t>
        </is>
      </c>
      <c r="E53" t="inlineStr">
        <is>
          <t>Medium</t>
        </is>
      </c>
      <c r="F53" t="inlineStr">
        <is>
          <t>Auto-discovered source-quality score 32; contains dated strategic/source-page signals.</t>
        </is>
      </c>
      <c r="G53" t="inlineStr">
        <is>
          <t>Auto-discovered; review after the next crawl.</t>
        </is>
      </c>
      <c r="H53" t="inlineStr">
        <is>
          <t>Crawl as ranked source first, follow dated article cards, publications and event links, then apply normal signal gates.</t>
        </is>
      </c>
      <c r="L53" t="inlineStr">
        <is>
          <t>Discovered</t>
        </is>
      </c>
    </row>
    <row r="54">
      <c r="A54" t="inlineStr">
        <is>
          <t>BRICKMAKERS AG</t>
        </is>
      </c>
      <c r="B54" t="inlineStr">
        <is>
          <t>http://www.brickmakers.de</t>
        </is>
      </c>
      <c r="C54" t="inlineStr">
        <is>
          <t>Discovered source page</t>
        </is>
      </c>
      <c r="D54" t="inlineStr">
        <is>
          <t>Medium</t>
        </is>
      </c>
      <c r="E54" t="inlineStr">
        <is>
          <t>Medium</t>
        </is>
      </c>
      <c r="F54" t="inlineStr">
        <is>
          <t>Auto-discovered source-quality score 32; contains dated strategic/source-page signals.</t>
        </is>
      </c>
      <c r="G54" t="inlineStr">
        <is>
          <t>Auto-discovered; review after the next crawl.</t>
        </is>
      </c>
      <c r="H54" t="inlineStr">
        <is>
          <t>Crawl as ranked source first, follow dated article cards, publications and event links, then apply normal signal gates.</t>
        </is>
      </c>
      <c r="L54" t="inlineStr">
        <is>
          <t>Discovered</t>
        </is>
      </c>
    </row>
    <row r="55">
      <c r="A55" t="inlineStr">
        <is>
          <t>BRICKMAKERS AG</t>
        </is>
      </c>
      <c r="B55" t="inlineStr">
        <is>
          <t>https://www.brickmakers.de/blog/ki-programmieren-lassen</t>
        </is>
      </c>
      <c r="C55" t="inlineStr">
        <is>
          <t>Discovered source page</t>
        </is>
      </c>
      <c r="D55" t="inlineStr">
        <is>
          <t>Medium</t>
        </is>
      </c>
      <c r="E55" t="inlineStr">
        <is>
          <t>Medium</t>
        </is>
      </c>
      <c r="F55" t="inlineStr">
        <is>
          <t>Auto-discovered source-quality score 32; contains dated strategic/source-page signals.</t>
        </is>
      </c>
      <c r="G55" t="inlineStr">
        <is>
          <t>Auto-discovered; review after the next crawl.</t>
        </is>
      </c>
      <c r="H55" t="inlineStr">
        <is>
          <t>Crawl as ranked source first, follow dated article cards, publications and event links, then apply normal signal gates.</t>
        </is>
      </c>
      <c r="L55" t="inlineStr">
        <is>
          <t>Discovered</t>
        </is>
      </c>
    </row>
    <row r="56">
      <c r="A56" t="inlineStr">
        <is>
          <t>Bundesagentur für Arbeit, Regionaldirektion Rheinland-Pfalz-Saarland</t>
        </is>
      </c>
      <c r="B56" t="inlineStr">
        <is>
          <t>https://www.arbeitsagentur.de/presse</t>
        </is>
      </c>
      <c r="C56" t="inlineStr">
        <is>
          <t>Discovered source page</t>
        </is>
      </c>
      <c r="D56" t="inlineStr">
        <is>
          <t>Medium</t>
        </is>
      </c>
      <c r="E56" t="inlineStr">
        <is>
          <t>Medium</t>
        </is>
      </c>
      <c r="F56" t="inlineStr">
        <is>
          <t>Auto-discovered source-quality score 38; contains dated strategic/source-page signals.</t>
        </is>
      </c>
      <c r="G56" t="inlineStr">
        <is>
          <t>Auto-discovered; review after the next crawl.</t>
        </is>
      </c>
      <c r="H56" t="inlineStr">
        <is>
          <t>Crawl as ranked source first, follow dated article cards, publications and event links, then apply normal signal gates.</t>
        </is>
      </c>
      <c r="L56" t="inlineStr">
        <is>
          <t>Discovered</t>
        </is>
      </c>
    </row>
    <row r="57">
      <c r="A57" t="inlineStr">
        <is>
          <t>Bundesagentur für Arbeit, Regionaldirektion Rheinland-Pfalz-Saarland</t>
        </is>
      </c>
      <c r="B57" t="inlineStr">
        <is>
          <t>https://www.arbeitsagentur.de/news</t>
        </is>
      </c>
      <c r="C57" t="inlineStr">
        <is>
          <t>Discovered source page</t>
        </is>
      </c>
      <c r="D57" t="inlineStr">
        <is>
          <t>High</t>
        </is>
      </c>
      <c r="E57" t="inlineStr">
        <is>
          <t>Medium</t>
        </is>
      </c>
      <c r="F57" t="inlineStr">
        <is>
          <t>Auto-discovered source-quality score 44; contains dated strategic/source-page signals.</t>
        </is>
      </c>
      <c r="G57" t="inlineStr">
        <is>
          <t>Auto-discovered; review after the next crawl.</t>
        </is>
      </c>
      <c r="H57" t="inlineStr">
        <is>
          <t>Crawl as ranked source first, follow dated article cards, publications and event links, then apply normal signal gates.</t>
        </is>
      </c>
      <c r="L57" t="inlineStr">
        <is>
          <t>Discovered</t>
        </is>
      </c>
    </row>
    <row r="58">
      <c r="A58" t="inlineStr">
        <is>
          <t>Bundesagentur für Arbeit, Regionaldirektion Rheinland-Pfalz-Saarland</t>
        </is>
      </c>
      <c r="B58" t="inlineStr">
        <is>
          <t>https://www.arbeitsagentur.de</t>
        </is>
      </c>
      <c r="C58" t="inlineStr">
        <is>
          <t>Discovered source page</t>
        </is>
      </c>
      <c r="D58" t="inlineStr">
        <is>
          <t>High</t>
        </is>
      </c>
      <c r="E58" t="inlineStr">
        <is>
          <t>Medium</t>
        </is>
      </c>
      <c r="F58" t="inlineStr">
        <is>
          <t>Auto-discovered source-quality score 48; contains dated strategic/source-page signals.</t>
        </is>
      </c>
      <c r="G58" t="inlineStr">
        <is>
          <t>Auto-discovered; review after the next crawl.</t>
        </is>
      </c>
      <c r="H58" t="inlineStr">
        <is>
          <t>Crawl as ranked source first, follow dated article cards, publications and event links, then apply normal signal gates.</t>
        </is>
      </c>
      <c r="L58" t="inlineStr">
        <is>
          <t>Discovered</t>
        </is>
      </c>
    </row>
    <row r="59">
      <c r="A59" t="inlineStr">
        <is>
          <t>Bundesagentur für Arbeit, Regionaldirektion Rheinland-Pfalz-Saarland</t>
        </is>
      </c>
      <c r="B59" t="inlineStr">
        <is>
          <t>https://www.arbeitsagentur.de/institutionen/bildungstraeger/foerderung-jugendwohnheime</t>
        </is>
      </c>
      <c r="C59" t="inlineStr">
        <is>
          <t>Discovered source page</t>
        </is>
      </c>
      <c r="D59" t="inlineStr">
        <is>
          <t>Medium</t>
        </is>
      </c>
      <c r="E59" t="inlineStr">
        <is>
          <t>Medium</t>
        </is>
      </c>
      <c r="F59" t="inlineStr">
        <is>
          <t>Auto-discovered source-quality score 32; contains dated strategic/source-page signals.</t>
        </is>
      </c>
      <c r="G59" t="inlineStr">
        <is>
          <t>Auto-discovered; review after the next crawl.</t>
        </is>
      </c>
      <c r="H59" t="inlineStr">
        <is>
          <t>Crawl as ranked source first, follow dated article cards, publications and event links, then apply normal signal gates.</t>
        </is>
      </c>
      <c r="L59" t="inlineStr">
        <is>
          <t>Discovered</t>
        </is>
      </c>
    </row>
    <row r="60">
      <c r="A60" t="inlineStr">
        <is>
          <t>Bundesagentur für Arbeit, Regionaldirektion Rheinland-Pfalz-Saarland</t>
        </is>
      </c>
      <c r="B60" t="inlineStr">
        <is>
          <t>https://www.arbeitsagentur.de/ueber-uns/messe-veranstaltungsmanagement</t>
        </is>
      </c>
      <c r="C60" t="inlineStr">
        <is>
          <t>Discovered source page</t>
        </is>
      </c>
      <c r="D60" t="inlineStr">
        <is>
          <t>Medium</t>
        </is>
      </c>
      <c r="E60" t="inlineStr">
        <is>
          <t>Medium</t>
        </is>
      </c>
      <c r="F60" t="inlineStr">
        <is>
          <t>Auto-discovered source-quality score 32; contains dated strategic/source-page signals.</t>
        </is>
      </c>
      <c r="G60" t="inlineStr">
        <is>
          <t>Auto-discovered; review after the next crawl.</t>
        </is>
      </c>
      <c r="H60" t="inlineStr">
        <is>
          <t>Crawl as ranked source first, follow dated article cards, publications and event links, then apply normal signal gates.</t>
        </is>
      </c>
      <c r="L60" t="inlineStr">
        <is>
          <t>Discovered</t>
        </is>
      </c>
    </row>
    <row r="61">
      <c r="A61" t="inlineStr">
        <is>
          <t>Caritasverband für die Diözese Speyer e.V.</t>
        </is>
      </c>
      <c r="B61" t="inlineStr">
        <is>
          <t>https://www.caritas-speyer.de/nachhaltigkeit</t>
        </is>
      </c>
      <c r="C61" t="inlineStr">
        <is>
          <t>Discovered source page</t>
        </is>
      </c>
      <c r="D61" t="inlineStr">
        <is>
          <t>High</t>
        </is>
      </c>
      <c r="E61" t="inlineStr">
        <is>
          <t>Medium</t>
        </is>
      </c>
      <c r="F61" t="inlineStr">
        <is>
          <t>Auto-discovered source-quality score 60; contains dated strategic/source-page signals.</t>
        </is>
      </c>
      <c r="G61" t="inlineStr">
        <is>
          <t>Auto-discovered; review after the next crawl.</t>
        </is>
      </c>
      <c r="H61" t="inlineStr">
        <is>
          <t>Crawl as ranked source first, follow dated article cards, publications and event links, then apply normal signal gates.</t>
        </is>
      </c>
      <c r="L61" t="inlineStr">
        <is>
          <t>Discovered</t>
        </is>
      </c>
    </row>
    <row r="62">
      <c r="A62" t="inlineStr">
        <is>
          <t>Caritasverband für die Diözese Speyer e.V.</t>
        </is>
      </c>
      <c r="B62" t="inlineStr">
        <is>
          <t>https://www.caritas-speyer.de</t>
        </is>
      </c>
      <c r="C62" t="inlineStr">
        <is>
          <t>Discovered source page</t>
        </is>
      </c>
      <c r="D62" t="inlineStr">
        <is>
          <t>Medium</t>
        </is>
      </c>
      <c r="E62" t="inlineStr">
        <is>
          <t>Medium</t>
        </is>
      </c>
      <c r="F62" t="inlineStr">
        <is>
          <t>Auto-discovered source-quality score 32; contains dated strategic/source-page signals.</t>
        </is>
      </c>
      <c r="G62" t="inlineStr">
        <is>
          <t>Auto-discovered; review after the next crawl.</t>
        </is>
      </c>
      <c r="H62" t="inlineStr">
        <is>
          <t>Crawl as ranked source first, follow dated article cards, publications and event links, then apply normal signal gates.</t>
        </is>
      </c>
      <c r="L62" t="inlineStr">
        <is>
          <t>Discovered</t>
        </is>
      </c>
    </row>
    <row r="63">
      <c r="A63" t="inlineStr">
        <is>
          <t>Caritasverband für die Diözese Speyer e.V.</t>
        </is>
      </c>
      <c r="B63" t="inlineStr">
        <is>
          <t>https://www.caritas-speyer.de/angebote/fruehfoerderung-diagnostik-und-fruehe-hilfen</t>
        </is>
      </c>
      <c r="C63" t="inlineStr">
        <is>
          <t>Discovered source page</t>
        </is>
      </c>
      <c r="D63" t="inlineStr">
        <is>
          <t>High</t>
        </is>
      </c>
      <c r="E63" t="inlineStr">
        <is>
          <t>Medium</t>
        </is>
      </c>
      <c r="F63" t="inlineStr">
        <is>
          <t>Auto-discovered source-quality score 44; contains dated strategic/source-page signals.</t>
        </is>
      </c>
      <c r="G63" t="inlineStr">
        <is>
          <t>Auto-discovered; review after the next crawl.</t>
        </is>
      </c>
      <c r="H63" t="inlineStr">
        <is>
          <t>Crawl as ranked source first, follow dated article cards, publications and event links, then apply normal signal gates.</t>
        </is>
      </c>
      <c r="L63" t="inlineStr">
        <is>
          <t>Discovered</t>
        </is>
      </c>
    </row>
    <row r="64">
      <c r="A64" t="inlineStr">
        <is>
          <t>Caritasverband für die Diözese Speyer e.V.</t>
        </is>
      </c>
      <c r="B64" t="inlineStr">
        <is>
          <t>https://www.caritas-speyer.de/angebote/tagesfoerderung-fuer-menschen-mit-behinderung</t>
        </is>
      </c>
      <c r="C64" t="inlineStr">
        <is>
          <t>Discovered source page</t>
        </is>
      </c>
      <c r="D64" t="inlineStr">
        <is>
          <t>Medium</t>
        </is>
      </c>
      <c r="E64" t="inlineStr">
        <is>
          <t>Medium</t>
        </is>
      </c>
      <c r="F64" t="inlineStr">
        <is>
          <t>Auto-discovered source-quality score 32; contains dated strategic/source-page signals.</t>
        </is>
      </c>
      <c r="G64" t="inlineStr">
        <is>
          <t>Auto-discovered; review after the next crawl.</t>
        </is>
      </c>
      <c r="H64" t="inlineStr">
        <is>
          <t>Crawl as ranked source first, follow dated article cards, publications and event links, then apply normal signal gates.</t>
        </is>
      </c>
      <c r="L64" t="inlineStr">
        <is>
          <t>Discovered</t>
        </is>
      </c>
    </row>
    <row r="65">
      <c r="A65" t="inlineStr">
        <is>
          <t>Caritasverband für die Diözese Speyer e.V.</t>
        </is>
      </c>
      <c r="B65" t="inlineStr">
        <is>
          <t>https://www.caritas-speyer.de/caritas-zentren/saarpfalz/lernfoerderung-und-hausaufgabenhilfe</t>
        </is>
      </c>
      <c r="C65" t="inlineStr">
        <is>
          <t>Discovered source page</t>
        </is>
      </c>
      <c r="D65" t="inlineStr">
        <is>
          <t>Medium</t>
        </is>
      </c>
      <c r="E65" t="inlineStr">
        <is>
          <t>Medium</t>
        </is>
      </c>
      <c r="F65" t="inlineStr">
        <is>
          <t>Auto-discovered source-quality score 32; contains dated strategic/source-page signals.</t>
        </is>
      </c>
      <c r="G65" t="inlineStr">
        <is>
          <t>Auto-discovered; review after the next crawl.</t>
        </is>
      </c>
      <c r="H65" t="inlineStr">
        <is>
          <t>Crawl as ranked source first, follow dated article cards, publications and event links, then apply normal signal gates.</t>
        </is>
      </c>
      <c r="L65" t="inlineStr">
        <is>
          <t>Discovered</t>
        </is>
      </c>
    </row>
    <row r="66">
      <c r="A66" t="inlineStr">
        <is>
          <t>Continental Automotive Technologies GmbH, Safety and Motion (SAM), Standort Rheinböllen</t>
        </is>
      </c>
      <c r="B66" t="inlineStr">
        <is>
          <t>https://www.continental-corporation.de/presse</t>
        </is>
      </c>
      <c r="C66" t="inlineStr">
        <is>
          <t>Discovered source page</t>
        </is>
      </c>
      <c r="D66" t="inlineStr">
        <is>
          <t>High</t>
        </is>
      </c>
      <c r="E66" t="inlineStr">
        <is>
          <t>Medium</t>
        </is>
      </c>
      <c r="F66" t="inlineStr">
        <is>
          <t>Auto-discovered source-quality score 78; contains dated strategic/source-page signals.</t>
        </is>
      </c>
      <c r="G66" t="inlineStr">
        <is>
          <t>Auto-discovered; review after the next crawl.</t>
        </is>
      </c>
      <c r="H66" t="inlineStr">
        <is>
          <t>Crawl as ranked source first, follow dated article cards, publications and event links, then apply normal signal gates.</t>
        </is>
      </c>
      <c r="L66" t="inlineStr">
        <is>
          <t>Discovered</t>
        </is>
      </c>
    </row>
    <row r="67">
      <c r="A67" t="inlineStr">
        <is>
          <t>Continental Automotive Technologies GmbH, Safety and Motion (SAM), Standort Rheinböllen</t>
        </is>
      </c>
      <c r="B67" t="inlineStr">
        <is>
          <t>https://www.continental-corporation.de/newsroom</t>
        </is>
      </c>
      <c r="C67" t="inlineStr">
        <is>
          <t>Discovered source page</t>
        </is>
      </c>
      <c r="D67" t="inlineStr">
        <is>
          <t>High</t>
        </is>
      </c>
      <c r="E67" t="inlineStr">
        <is>
          <t>Medium</t>
        </is>
      </c>
      <c r="F67" t="inlineStr">
        <is>
          <t>Auto-discovered source-quality score 78; contains dated strategic/source-page signals.</t>
        </is>
      </c>
      <c r="G67" t="inlineStr">
        <is>
          <t>Auto-discovered; review after the next crawl.</t>
        </is>
      </c>
      <c r="H67" t="inlineStr">
        <is>
          <t>Crawl as ranked source first, follow dated article cards, publications and event links, then apply normal signal gates.</t>
        </is>
      </c>
      <c r="L67" t="inlineStr">
        <is>
          <t>Discovered</t>
        </is>
      </c>
    </row>
    <row r="68">
      <c r="A68" t="inlineStr">
        <is>
          <t>Continental Automotive Technologies GmbH, Safety and Motion (SAM), Standort Rheinböllen</t>
        </is>
      </c>
      <c r="B68" t="inlineStr">
        <is>
          <t>https://www.continental-corporation.de/news</t>
        </is>
      </c>
      <c r="C68" t="inlineStr">
        <is>
          <t>Discovered source page</t>
        </is>
      </c>
      <c r="D68" t="inlineStr">
        <is>
          <t>High</t>
        </is>
      </c>
      <c r="E68" t="inlineStr">
        <is>
          <t>Medium</t>
        </is>
      </c>
      <c r="F68" t="inlineStr">
        <is>
          <t>Auto-discovered source-quality score 78; contains dated strategic/source-page signals.</t>
        </is>
      </c>
      <c r="G68" t="inlineStr">
        <is>
          <t>Auto-discovered; review after the next crawl.</t>
        </is>
      </c>
      <c r="H68" t="inlineStr">
        <is>
          <t>Crawl as ranked source first, follow dated article cards, publications and event links, then apply normal signal gates.</t>
        </is>
      </c>
      <c r="L68" t="inlineStr">
        <is>
          <t>Discovered</t>
        </is>
      </c>
    </row>
    <row r="69">
      <c r="A69" t="inlineStr">
        <is>
          <t>Continental Automotive Technologies GmbH, Safety and Motion (SAM), Standort Rheinböllen</t>
        </is>
      </c>
      <c r="B69" t="inlineStr">
        <is>
          <t>https://www.continental-corporation.de/innovation</t>
        </is>
      </c>
      <c r="C69" t="inlineStr">
        <is>
          <t>Discovered source page</t>
        </is>
      </c>
      <c r="D69" t="inlineStr">
        <is>
          <t>High</t>
        </is>
      </c>
      <c r="E69" t="inlineStr">
        <is>
          <t>Medium</t>
        </is>
      </c>
      <c r="F69" t="inlineStr">
        <is>
          <t>Auto-discovered source-quality score 78; contains dated strategic/source-page signals.</t>
        </is>
      </c>
      <c r="G69" t="inlineStr">
        <is>
          <t>Auto-discovered; review after the next crawl.</t>
        </is>
      </c>
      <c r="H69" t="inlineStr">
        <is>
          <t>Crawl as ranked source first, follow dated article cards, publications and event links, then apply normal signal gates.</t>
        </is>
      </c>
      <c r="L69" t="inlineStr">
        <is>
          <t>Discovered</t>
        </is>
      </c>
    </row>
    <row r="70">
      <c r="A70" t="inlineStr">
        <is>
          <t>Continental Automotive Technologies GmbH, Safety and Motion (SAM), Standort Rheinböllen</t>
        </is>
      </c>
      <c r="B70" t="inlineStr">
        <is>
          <t>https://www.continental-corporation.de/nachhaltigkeit</t>
        </is>
      </c>
      <c r="C70" t="inlineStr">
        <is>
          <t>Discovered source page</t>
        </is>
      </c>
      <c r="D70" t="inlineStr">
        <is>
          <t>High</t>
        </is>
      </c>
      <c r="E70" t="inlineStr">
        <is>
          <t>Medium</t>
        </is>
      </c>
      <c r="F70" t="inlineStr">
        <is>
          <t>Auto-discovered source-quality score 78; contains dated strategic/source-page signals.</t>
        </is>
      </c>
      <c r="G70" t="inlineStr">
        <is>
          <t>Auto-discovered; review after the next crawl.</t>
        </is>
      </c>
      <c r="H70" t="inlineStr">
        <is>
          <t>Crawl as ranked source first, follow dated article cards, publications and event links, then apply normal signal gates.</t>
        </is>
      </c>
      <c r="L70" t="inlineStr">
        <is>
          <t>Discovered</t>
        </is>
      </c>
    </row>
    <row r="71">
      <c r="A71" t="inlineStr">
        <is>
          <t>Continental Automotive Technologies GmbH, Safety and Motion (SAM), Standort Rheinböllen</t>
        </is>
      </c>
      <c r="B71" t="inlineStr">
        <is>
          <t>https://www.continental-corporation.de/events</t>
        </is>
      </c>
      <c r="C71" t="inlineStr">
        <is>
          <t>Discovered source page</t>
        </is>
      </c>
      <c r="D71" t="inlineStr">
        <is>
          <t>High</t>
        </is>
      </c>
      <c r="E71" t="inlineStr">
        <is>
          <t>Medium</t>
        </is>
      </c>
      <c r="F71" t="inlineStr">
        <is>
          <t>Auto-discovered source-quality score 78; contains dated strategic/source-page signals.</t>
        </is>
      </c>
      <c r="G71" t="inlineStr">
        <is>
          <t>Auto-discovered; review after the next crawl.</t>
        </is>
      </c>
      <c r="H71" t="inlineStr">
        <is>
          <t>Crawl as ranked source first, follow dated article cards, publications and event links, then apply normal signal gates.</t>
        </is>
      </c>
      <c r="L71" t="inlineStr">
        <is>
          <t>Discovered</t>
        </is>
      </c>
    </row>
    <row r="72">
      <c r="A72" t="inlineStr">
        <is>
          <t>Continental Automotive Technologies GmbH, Safety and Motion (SAM), Standort Rheinböllen</t>
        </is>
      </c>
      <c r="B72" t="inlineStr">
        <is>
          <t>https://www.continental-corporation.de/digitalisierung</t>
        </is>
      </c>
      <c r="C72" t="inlineStr">
        <is>
          <t>Discovered source page</t>
        </is>
      </c>
      <c r="D72" t="inlineStr">
        <is>
          <t>High</t>
        </is>
      </c>
      <c r="E72" t="inlineStr">
        <is>
          <t>Medium</t>
        </is>
      </c>
      <c r="F72" t="inlineStr">
        <is>
          <t>Auto-discovered source-quality score 78; contains dated strategic/source-page signals.</t>
        </is>
      </c>
      <c r="G72" t="inlineStr">
        <is>
          <t>Auto-discovered; review after the next crawl.</t>
        </is>
      </c>
      <c r="H72" t="inlineStr">
        <is>
          <t>Crawl as ranked source first, follow dated article cards, publications and event links, then apply normal signal gates.</t>
        </is>
      </c>
      <c r="L72" t="inlineStr">
        <is>
          <t>Discovered</t>
        </is>
      </c>
    </row>
    <row r="73">
      <c r="A73" t="inlineStr">
        <is>
          <t>Continental Automotive Technologies GmbH, Safety and Motion (SAM), Standort Rheinböllen</t>
        </is>
      </c>
      <c r="B73" t="inlineStr">
        <is>
          <t>https://www.continental-corporation.de/forschung</t>
        </is>
      </c>
      <c r="C73" t="inlineStr">
        <is>
          <t>Discovered source page</t>
        </is>
      </c>
      <c r="D73" t="inlineStr">
        <is>
          <t>High</t>
        </is>
      </c>
      <c r="E73" t="inlineStr">
        <is>
          <t>Medium</t>
        </is>
      </c>
      <c r="F73" t="inlineStr">
        <is>
          <t>Auto-discovered source-quality score 78; contains dated strategic/source-page signals.</t>
        </is>
      </c>
      <c r="G73" t="inlineStr">
        <is>
          <t>Auto-discovered; review after the next crawl.</t>
        </is>
      </c>
      <c r="H73" t="inlineStr">
        <is>
          <t>Crawl as ranked source first, follow dated article cards, publications and event links, then apply normal signal gates.</t>
        </is>
      </c>
      <c r="L73" t="inlineStr">
        <is>
          <t>Discovered</t>
        </is>
      </c>
    </row>
    <row r="74">
      <c r="A74" t="inlineStr">
        <is>
          <t>Continental Automotive Technologies GmbH, Safety and Motion (SAM), Standort Rheinböllen</t>
        </is>
      </c>
      <c r="B74" t="inlineStr">
        <is>
          <t>https://www.continental-corporation.de/aktuelles</t>
        </is>
      </c>
      <c r="C74" t="inlineStr">
        <is>
          <t>Discovered source page</t>
        </is>
      </c>
      <c r="D74" t="inlineStr">
        <is>
          <t>High</t>
        </is>
      </c>
      <c r="E74" t="inlineStr">
        <is>
          <t>Medium</t>
        </is>
      </c>
      <c r="F74" t="inlineStr">
        <is>
          <t>Auto-discovered source-quality score 78; contains dated strategic/source-page signals.</t>
        </is>
      </c>
      <c r="G74" t="inlineStr">
        <is>
          <t>Auto-discovered; review after the next crawl.</t>
        </is>
      </c>
      <c r="H74" t="inlineStr">
        <is>
          <t>Crawl as ranked source first, follow dated article cards, publications and event links, then apply normal signal gates.</t>
        </is>
      </c>
      <c r="L74" t="inlineStr">
        <is>
          <t>Discovered</t>
        </is>
      </c>
    </row>
    <row r="75">
      <c r="A75" t="inlineStr">
        <is>
          <t>Continental Automotive Technologies GmbH, Safety and Motion (SAM), Standort Rheinböllen</t>
        </is>
      </c>
      <c r="B75" t="inlineStr">
        <is>
          <t>https://www.continental-corporation.de/aktuell</t>
        </is>
      </c>
      <c r="C75" t="inlineStr">
        <is>
          <t>Discovered source page</t>
        </is>
      </c>
      <c r="D75" t="inlineStr">
        <is>
          <t>High</t>
        </is>
      </c>
      <c r="E75" t="inlineStr">
        <is>
          <t>Medium</t>
        </is>
      </c>
      <c r="F75" t="inlineStr">
        <is>
          <t>Auto-discovered source-quality score 78; contains dated strategic/source-page signals.</t>
        </is>
      </c>
      <c r="G75" t="inlineStr">
        <is>
          <t>Auto-discovered; review after the next crawl.</t>
        </is>
      </c>
      <c r="H75" t="inlineStr">
        <is>
          <t>Crawl as ranked source first, follow dated article cards, publications and event links, then apply normal signal gates.</t>
        </is>
      </c>
      <c r="L75" t="inlineStr">
        <is>
          <t>Discovered</t>
        </is>
      </c>
    </row>
    <row r="76">
      <c r="A76" t="inlineStr">
        <is>
          <t>Continental Automotive Technologies GmbH, Safety and Motion (SAM), Standort Rheinböllen</t>
        </is>
      </c>
      <c r="B76" t="inlineStr">
        <is>
          <t>https://www.continental-corporation.de/meldungen</t>
        </is>
      </c>
      <c r="C76" t="inlineStr">
        <is>
          <t>Discovered source page</t>
        </is>
      </c>
      <c r="D76" t="inlineStr">
        <is>
          <t>High</t>
        </is>
      </c>
      <c r="E76" t="inlineStr">
        <is>
          <t>Medium</t>
        </is>
      </c>
      <c r="F76" t="inlineStr">
        <is>
          <t>Auto-discovered source-quality score 78; contains dated strategic/source-page signals.</t>
        </is>
      </c>
      <c r="G76" t="inlineStr">
        <is>
          <t>Auto-discovered; review after the next crawl.</t>
        </is>
      </c>
      <c r="H76" t="inlineStr">
        <is>
          <t>Crawl as ranked source first, follow dated article cards, publications and event links, then apply normal signal gates.</t>
        </is>
      </c>
      <c r="L76" t="inlineStr">
        <is>
          <t>Discovered</t>
        </is>
      </c>
    </row>
    <row r="77">
      <c r="A77" t="inlineStr">
        <is>
          <t>Continental Automotive Technologies GmbH, Safety and Motion (SAM), Standort Rheinböllen</t>
        </is>
      </c>
      <c r="B77" t="inlineStr">
        <is>
          <t>https://www.continental-corporation.de/pressemitteilungen</t>
        </is>
      </c>
      <c r="C77" t="inlineStr">
        <is>
          <t>Discovered source page</t>
        </is>
      </c>
      <c r="D77" t="inlineStr">
        <is>
          <t>High</t>
        </is>
      </c>
      <c r="E77" t="inlineStr">
        <is>
          <t>Medium</t>
        </is>
      </c>
      <c r="F77" t="inlineStr">
        <is>
          <t>Auto-discovered source-quality score 78; contains dated strategic/source-page signals.</t>
        </is>
      </c>
      <c r="G77" t="inlineStr">
        <is>
          <t>Auto-discovered; review after the next crawl.</t>
        </is>
      </c>
      <c r="H77" t="inlineStr">
        <is>
          <t>Crawl as ranked source first, follow dated article cards, publications and event links, then apply normal signal gates.</t>
        </is>
      </c>
      <c r="L77" t="inlineStr">
        <is>
          <t>Discovered</t>
        </is>
      </c>
    </row>
    <row r="78">
      <c r="A78" t="inlineStr">
        <is>
          <t>Continental Automotive Technologies GmbH, Safety and Motion (SAM), Standort Rheinböllen</t>
        </is>
      </c>
      <c r="B78" t="inlineStr">
        <is>
          <t>https://www.continental-corporation.de/unternehmen/presse</t>
        </is>
      </c>
      <c r="C78" t="inlineStr">
        <is>
          <t>Discovered source page</t>
        </is>
      </c>
      <c r="D78" t="inlineStr">
        <is>
          <t>High</t>
        </is>
      </c>
      <c r="E78" t="inlineStr">
        <is>
          <t>Medium</t>
        </is>
      </c>
      <c r="F78" t="inlineStr">
        <is>
          <t>Auto-discovered source-quality score 78; contains dated strategic/source-page signals.</t>
        </is>
      </c>
      <c r="G78" t="inlineStr">
        <is>
          <t>Auto-discovered; review after the next crawl.</t>
        </is>
      </c>
      <c r="H78" t="inlineStr">
        <is>
          <t>Crawl as ranked source first, follow dated article cards, publications and event links, then apply normal signal gates.</t>
        </is>
      </c>
      <c r="L78" t="inlineStr">
        <is>
          <t>Discovered</t>
        </is>
      </c>
    </row>
    <row r="79">
      <c r="A79" t="inlineStr">
        <is>
          <t>Continental Automotive Technologies GmbH, Safety and Motion (SAM), Standort Rheinböllen</t>
        </is>
      </c>
      <c r="B79" t="inlineStr">
        <is>
          <t>https://www.continental-corporation.de/de/news</t>
        </is>
      </c>
      <c r="C79" t="inlineStr">
        <is>
          <t>Discovered source page</t>
        </is>
      </c>
      <c r="D79" t="inlineStr">
        <is>
          <t>High</t>
        </is>
      </c>
      <c r="E79" t="inlineStr">
        <is>
          <t>Medium</t>
        </is>
      </c>
      <c r="F79" t="inlineStr">
        <is>
          <t>Auto-discovered source-quality score 78; contains dated strategic/source-page signals.</t>
        </is>
      </c>
      <c r="G79" t="inlineStr">
        <is>
          <t>Auto-discovered; review after the next crawl.</t>
        </is>
      </c>
      <c r="H79" t="inlineStr">
        <is>
          <t>Crawl as ranked source first, follow dated article cards, publications and event links, then apply normal signal gates.</t>
        </is>
      </c>
      <c r="L79" t="inlineStr">
        <is>
          <t>Discovered</t>
        </is>
      </c>
    </row>
    <row r="80">
      <c r="A80" t="inlineStr">
        <is>
          <t>Continental Automotive Technologies GmbH, Safety and Motion (SAM), Standort Rheinböllen</t>
        </is>
      </c>
      <c r="B80" t="inlineStr">
        <is>
          <t>https://www.continental-corporation.de/de/presse</t>
        </is>
      </c>
      <c r="C80" t="inlineStr">
        <is>
          <t>Discovered source page</t>
        </is>
      </c>
      <c r="D80" t="inlineStr">
        <is>
          <t>High</t>
        </is>
      </c>
      <c r="E80" t="inlineStr">
        <is>
          <t>Medium</t>
        </is>
      </c>
      <c r="F80" t="inlineStr">
        <is>
          <t>Auto-discovered source-quality score 78; contains dated strategic/source-page signals.</t>
        </is>
      </c>
      <c r="G80" t="inlineStr">
        <is>
          <t>Auto-discovered; review after the next crawl.</t>
        </is>
      </c>
      <c r="H80" t="inlineStr">
        <is>
          <t>Crawl as ranked source first, follow dated article cards, publications and event links, then apply normal signal gates.</t>
        </is>
      </c>
      <c r="L80" t="inlineStr">
        <is>
          <t>Discovered</t>
        </is>
      </c>
    </row>
    <row r="81">
      <c r="A81" t="inlineStr">
        <is>
          <t>Continental Automotive Technologies GmbH, Safety and Motion (SAM), Standort Rheinböllen</t>
        </is>
      </c>
      <c r="B81" t="inlineStr">
        <is>
          <t>https://www.continental-corporation.de/de/aktuelles</t>
        </is>
      </c>
      <c r="C81" t="inlineStr">
        <is>
          <t>Discovered source page</t>
        </is>
      </c>
      <c r="D81" t="inlineStr">
        <is>
          <t>High</t>
        </is>
      </c>
      <c r="E81" t="inlineStr">
        <is>
          <t>Medium</t>
        </is>
      </c>
      <c r="F81" t="inlineStr">
        <is>
          <t>Auto-discovered source-quality score 78; contains dated strategic/source-page signals.</t>
        </is>
      </c>
      <c r="G81" t="inlineStr">
        <is>
          <t>Auto-discovered; review after the next crawl.</t>
        </is>
      </c>
      <c r="H81" t="inlineStr">
        <is>
          <t>Crawl as ranked source first, follow dated article cards, publications and event links, then apply normal signal gates.</t>
        </is>
      </c>
      <c r="L81" t="inlineStr">
        <is>
          <t>Discovered</t>
        </is>
      </c>
    </row>
    <row r="82">
      <c r="A82" t="inlineStr">
        <is>
          <t>Continental Automotive Technologies GmbH, Safety and Motion (SAM), Standort Rheinböllen</t>
        </is>
      </c>
      <c r="B82" t="inlineStr">
        <is>
          <t>https://www.continental-corporation.de/de/newsroom</t>
        </is>
      </c>
      <c r="C82" t="inlineStr">
        <is>
          <t>Discovered source page</t>
        </is>
      </c>
      <c r="D82" t="inlineStr">
        <is>
          <t>High</t>
        </is>
      </c>
      <c r="E82" t="inlineStr">
        <is>
          <t>Medium</t>
        </is>
      </c>
      <c r="F82" t="inlineStr">
        <is>
          <t>Auto-discovered source-quality score 78; contains dated strategic/source-page signals.</t>
        </is>
      </c>
      <c r="G82" t="inlineStr">
        <is>
          <t>Auto-discovered; review after the next crawl.</t>
        </is>
      </c>
      <c r="H82" t="inlineStr">
        <is>
          <t>Crawl as ranked source first, follow dated article cards, publications and event links, then apply normal signal gates.</t>
        </is>
      </c>
      <c r="L82" t="inlineStr">
        <is>
          <t>Discovered</t>
        </is>
      </c>
    </row>
    <row r="83">
      <c r="A83" t="inlineStr">
        <is>
          <t>Continental Automotive Technologies GmbH, Safety and Motion (SAM), Standort Rheinböllen</t>
        </is>
      </c>
      <c r="B83" t="inlineStr">
        <is>
          <t>https://www.continental-corporation.de/veranstaltungen</t>
        </is>
      </c>
      <c r="C83" t="inlineStr">
        <is>
          <t>Discovered source page</t>
        </is>
      </c>
      <c r="D83" t="inlineStr">
        <is>
          <t>High</t>
        </is>
      </c>
      <c r="E83" t="inlineStr">
        <is>
          <t>Medium</t>
        </is>
      </c>
      <c r="F83" t="inlineStr">
        <is>
          <t>Auto-discovered source-quality score 78; contains dated strategic/source-page signals.</t>
        </is>
      </c>
      <c r="G83" t="inlineStr">
        <is>
          <t>Auto-discovered; review after the next crawl.</t>
        </is>
      </c>
      <c r="H83" t="inlineStr">
        <is>
          <t>Crawl as ranked source first, follow dated article cards, publications and event links, then apply normal signal gates.</t>
        </is>
      </c>
      <c r="L83" t="inlineStr">
        <is>
          <t>Discovered</t>
        </is>
      </c>
    </row>
    <row r="84">
      <c r="A84" t="inlineStr">
        <is>
          <t>Continental Automotive Technologies GmbH, Safety and Motion (SAM), Standort Rheinböllen</t>
        </is>
      </c>
      <c r="B84" t="inlineStr">
        <is>
          <t>https://www.continental-corporation.de/termine</t>
        </is>
      </c>
      <c r="C84" t="inlineStr">
        <is>
          <t>Discovered source page</t>
        </is>
      </c>
      <c r="D84" t="inlineStr">
        <is>
          <t>High</t>
        </is>
      </c>
      <c r="E84" t="inlineStr">
        <is>
          <t>Medium</t>
        </is>
      </c>
      <c r="F84" t="inlineStr">
        <is>
          <t>Auto-discovered source-quality score 78; contains dated strategic/source-page signals.</t>
        </is>
      </c>
      <c r="G84" t="inlineStr">
        <is>
          <t>Auto-discovered; review after the next crawl.</t>
        </is>
      </c>
      <c r="H84" t="inlineStr">
        <is>
          <t>Crawl as ranked source first, follow dated article cards, publications and event links, then apply normal signal gates.</t>
        </is>
      </c>
      <c r="L84" t="inlineStr">
        <is>
          <t>Discovered</t>
        </is>
      </c>
    </row>
    <row r="85">
      <c r="A85" t="inlineStr">
        <is>
          <t>Continental Automotive Technologies GmbH, Safety and Motion (SAM), Standort Rheinböllen</t>
        </is>
      </c>
      <c r="B85" t="inlineStr">
        <is>
          <t>https://www.continental-corporation.de/transfer</t>
        </is>
      </c>
      <c r="C85" t="inlineStr">
        <is>
          <t>Discovered source page</t>
        </is>
      </c>
      <c r="D85" t="inlineStr">
        <is>
          <t>High</t>
        </is>
      </c>
      <c r="E85" t="inlineStr">
        <is>
          <t>Medium</t>
        </is>
      </c>
      <c r="F85" t="inlineStr">
        <is>
          <t>Auto-discovered source-quality score 78; contains dated strategic/source-page signals.</t>
        </is>
      </c>
      <c r="G85" t="inlineStr">
        <is>
          <t>Auto-discovered; review after the next crawl.</t>
        </is>
      </c>
      <c r="H85" t="inlineStr">
        <is>
          <t>Crawl as ranked source first, follow dated article cards, publications and event links, then apply normal signal gates.</t>
        </is>
      </c>
      <c r="L85" t="inlineStr">
        <is>
          <t>Discovered</t>
        </is>
      </c>
    </row>
    <row r="86">
      <c r="A86" t="inlineStr">
        <is>
          <t>Continental Automotive Technologies GmbH, Safety and Motion (SAM), Standort Rheinböllen</t>
        </is>
      </c>
      <c r="B86" t="inlineStr">
        <is>
          <t>https://www.continental-corporation.de/publikationen</t>
        </is>
      </c>
      <c r="C86" t="inlineStr">
        <is>
          <t>Discovered source page</t>
        </is>
      </c>
      <c r="D86" t="inlineStr">
        <is>
          <t>High</t>
        </is>
      </c>
      <c r="E86" t="inlineStr">
        <is>
          <t>Medium</t>
        </is>
      </c>
      <c r="F86" t="inlineStr">
        <is>
          <t>Auto-discovered source-quality score 78; contains dated strategic/source-page signals.</t>
        </is>
      </c>
      <c r="G86" t="inlineStr">
        <is>
          <t>Auto-discovered; review after the next crawl.</t>
        </is>
      </c>
      <c r="H86" t="inlineStr">
        <is>
          <t>Crawl as ranked source first, follow dated article cards, publications and event links, then apply normal signal gates.</t>
        </is>
      </c>
      <c r="L86" t="inlineStr">
        <is>
          <t>Discovered</t>
        </is>
      </c>
    </row>
    <row r="87">
      <c r="A87" t="inlineStr">
        <is>
          <t>Continental Automotive Technologies GmbH, Safety and Motion (SAM), Standort Rheinböllen</t>
        </is>
      </c>
      <c r="B87" t="inlineStr">
        <is>
          <t>https://www.continental-corporation.de/studien</t>
        </is>
      </c>
      <c r="C87" t="inlineStr">
        <is>
          <t>Discovered source page</t>
        </is>
      </c>
      <c r="D87" t="inlineStr">
        <is>
          <t>High</t>
        </is>
      </c>
      <c r="E87" t="inlineStr">
        <is>
          <t>Medium</t>
        </is>
      </c>
      <c r="F87" t="inlineStr">
        <is>
          <t>Auto-discovered source-quality score 78; contains dated strategic/source-page signals.</t>
        </is>
      </c>
      <c r="G87" t="inlineStr">
        <is>
          <t>Auto-discovered; review after the next crawl.</t>
        </is>
      </c>
      <c r="H87" t="inlineStr">
        <is>
          <t>Crawl as ranked source first, follow dated article cards, publications and event links, then apply normal signal gates.</t>
        </is>
      </c>
      <c r="L87" t="inlineStr">
        <is>
          <t>Discovered</t>
        </is>
      </c>
    </row>
    <row r="88">
      <c r="A88" t="inlineStr">
        <is>
          <t>Continental Automotive Technologies GmbH, Safety and Motion (SAM), Standort Rheinböllen</t>
        </is>
      </c>
      <c r="B88" t="inlineStr">
        <is>
          <t>https://www.continental-corporation.de/research</t>
        </is>
      </c>
      <c r="C88" t="inlineStr">
        <is>
          <t>Discovered source page</t>
        </is>
      </c>
      <c r="D88" t="inlineStr">
        <is>
          <t>High</t>
        </is>
      </c>
      <c r="E88" t="inlineStr">
        <is>
          <t>Medium</t>
        </is>
      </c>
      <c r="F88" t="inlineStr">
        <is>
          <t>Auto-discovered source-quality score 78; contains dated strategic/source-page signals.</t>
        </is>
      </c>
      <c r="G88" t="inlineStr">
        <is>
          <t>Auto-discovered; review after the next crawl.</t>
        </is>
      </c>
      <c r="H88" t="inlineStr">
        <is>
          <t>Crawl as ranked source first, follow dated article cards, publications and event links, then apply normal signal gates.</t>
        </is>
      </c>
      <c r="L88" t="inlineStr">
        <is>
          <t>Discovered</t>
        </is>
      </c>
    </row>
    <row r="89">
      <c r="A89" t="inlineStr">
        <is>
          <t>Continental Automotive Technologies GmbH, Safety and Motion (SAM), Standort Rheinböllen</t>
        </is>
      </c>
      <c r="B89" t="inlineStr">
        <is>
          <t>https://www.continental-corporation.de/analysen</t>
        </is>
      </c>
      <c r="C89" t="inlineStr">
        <is>
          <t>Discovered source page</t>
        </is>
      </c>
      <c r="D89" t="inlineStr">
        <is>
          <t>High</t>
        </is>
      </c>
      <c r="E89" t="inlineStr">
        <is>
          <t>Medium</t>
        </is>
      </c>
      <c r="F89" t="inlineStr">
        <is>
          <t>Auto-discovered source-quality score 78; contains dated strategic/source-page signals.</t>
        </is>
      </c>
      <c r="G89" t="inlineStr">
        <is>
          <t>Auto-discovered; review after the next crawl.</t>
        </is>
      </c>
      <c r="H89" t="inlineStr">
        <is>
          <t>Crawl as ranked source first, follow dated article cards, publications and event links, then apply normal signal gates.</t>
        </is>
      </c>
      <c r="L89" t="inlineStr">
        <is>
          <t>Discovered</t>
        </is>
      </c>
    </row>
    <row r="90">
      <c r="A90" t="inlineStr">
        <is>
          <t>Continental Automotive Technologies GmbH, Safety and Motion (SAM), Standort Rheinböllen</t>
        </is>
      </c>
      <c r="B90" t="inlineStr">
        <is>
          <t>https://www.continental-corporation.de/downloads</t>
        </is>
      </c>
      <c r="C90" t="inlineStr">
        <is>
          <t>Discovered source page</t>
        </is>
      </c>
      <c r="D90" t="inlineStr">
        <is>
          <t>High</t>
        </is>
      </c>
      <c r="E90" t="inlineStr">
        <is>
          <t>Medium</t>
        </is>
      </c>
      <c r="F90" t="inlineStr">
        <is>
          <t>Auto-discovered source-quality score 78; contains dated strategic/source-page signals.</t>
        </is>
      </c>
      <c r="G90" t="inlineStr">
        <is>
          <t>Auto-discovered; review after the next crawl.</t>
        </is>
      </c>
      <c r="H90" t="inlineStr">
        <is>
          <t>Crawl as ranked source first, follow dated article cards, publications and event links, then apply normal signal gates.</t>
        </is>
      </c>
      <c r="L90" t="inlineStr">
        <is>
          <t>Discovered</t>
        </is>
      </c>
    </row>
    <row r="91">
      <c r="A91" t="inlineStr">
        <is>
          <t>Continental Automotive Technologies GmbH, Safety and Motion (SAM), Standort Rheinböllen</t>
        </is>
      </c>
      <c r="B91" t="inlineStr">
        <is>
          <t>https://www.continental-corporation.de/feed</t>
        </is>
      </c>
      <c r="C91" t="inlineStr">
        <is>
          <t>Discovered source page</t>
        </is>
      </c>
      <c r="D91" t="inlineStr">
        <is>
          <t>High</t>
        </is>
      </c>
      <c r="E91" t="inlineStr">
        <is>
          <t>Medium</t>
        </is>
      </c>
      <c r="F91" t="inlineStr">
        <is>
          <t>Auto-discovered source-quality score 78; contains dated strategic/source-page signals.</t>
        </is>
      </c>
      <c r="G91" t="inlineStr">
        <is>
          <t>Auto-discovered; review after the next crawl.</t>
        </is>
      </c>
      <c r="H91" t="inlineStr">
        <is>
          <t>Crawl as ranked source first, follow dated article cards, publications and event links, then apply normal signal gates.</t>
        </is>
      </c>
      <c r="L91" t="inlineStr">
        <is>
          <t>Discovered</t>
        </is>
      </c>
    </row>
    <row r="92">
      <c r="A92" t="inlineStr">
        <is>
          <t>Continental Automotive Technologies GmbH, Safety and Motion (SAM), Standort Rheinböllen</t>
        </is>
      </c>
      <c r="B92" t="inlineStr">
        <is>
          <t>https://www.continental-corporation.de/rss</t>
        </is>
      </c>
      <c r="C92" t="inlineStr">
        <is>
          <t>Discovered source page</t>
        </is>
      </c>
      <c r="D92" t="inlineStr">
        <is>
          <t>High</t>
        </is>
      </c>
      <c r="E92" t="inlineStr">
        <is>
          <t>Medium</t>
        </is>
      </c>
      <c r="F92" t="inlineStr">
        <is>
          <t>Auto-discovered source-quality score 78; contains dated strategic/source-page signals.</t>
        </is>
      </c>
      <c r="G92" t="inlineStr">
        <is>
          <t>Auto-discovered; review after the next crawl.</t>
        </is>
      </c>
      <c r="H92" t="inlineStr">
        <is>
          <t>Crawl as ranked source first, follow dated article cards, publications and event links, then apply normal signal gates.</t>
        </is>
      </c>
      <c r="L92" t="inlineStr">
        <is>
          <t>Discovered</t>
        </is>
      </c>
    </row>
    <row r="93">
      <c r="A93" t="inlineStr">
        <is>
          <t>Continental Automotive Technologies GmbH, Safety and Motion (SAM), Standort Rheinböllen</t>
        </is>
      </c>
      <c r="B93" t="inlineStr">
        <is>
          <t>https://www.continental-corporation.de</t>
        </is>
      </c>
      <c r="C93" t="inlineStr">
        <is>
          <t>Discovered source page</t>
        </is>
      </c>
      <c r="D93" t="inlineStr">
        <is>
          <t>High</t>
        </is>
      </c>
      <c r="E93" t="inlineStr">
        <is>
          <t>Medium</t>
        </is>
      </c>
      <c r="F93" t="inlineStr">
        <is>
          <t>Auto-discovered source-quality score 78; contains dated strategic/source-page signals.</t>
        </is>
      </c>
      <c r="G93" t="inlineStr">
        <is>
          <t>Auto-discovered; review after the next crawl.</t>
        </is>
      </c>
      <c r="H93" t="inlineStr">
        <is>
          <t>Crawl as ranked source first, follow dated article cards, publications and event links, then apply normal signal gates.</t>
        </is>
      </c>
      <c r="L93" t="inlineStr">
        <is>
          <t>Discovered</t>
        </is>
      </c>
    </row>
    <row r="94">
      <c r="A94" t="inlineStr">
        <is>
          <t>Debeka Versicherungsgruppe</t>
        </is>
      </c>
      <c r="B94" t="inlineStr">
        <is>
          <t>https://www.debeka.de/presse</t>
        </is>
      </c>
      <c r="C94" t="inlineStr">
        <is>
          <t>Discovered source page</t>
        </is>
      </c>
      <c r="D94" t="inlineStr">
        <is>
          <t>Medium</t>
        </is>
      </c>
      <c r="E94" t="inlineStr">
        <is>
          <t>Medium</t>
        </is>
      </c>
      <c r="F94" t="inlineStr">
        <is>
          <t>Auto-discovered source-quality score 26; contains dated strategic/source-page signals.</t>
        </is>
      </c>
      <c r="G94" t="inlineStr">
        <is>
          <t>Auto-discovered; review after the next crawl.</t>
        </is>
      </c>
      <c r="H94" t="inlineStr">
        <is>
          <t>Crawl as ranked source first, follow dated article cards, publications and event links, then apply normal signal gates.</t>
        </is>
      </c>
      <c r="L94" t="inlineStr">
        <is>
          <t>Discovered</t>
        </is>
      </c>
    </row>
    <row r="95">
      <c r="A95" t="inlineStr">
        <is>
          <t>Debeka Versicherungsgruppe</t>
        </is>
      </c>
      <c r="B95" t="inlineStr">
        <is>
          <t>https://www.debeka.de/newsroom</t>
        </is>
      </c>
      <c r="C95" t="inlineStr">
        <is>
          <t>Discovered source page</t>
        </is>
      </c>
      <c r="D95" t="inlineStr">
        <is>
          <t>High</t>
        </is>
      </c>
      <c r="E95" t="inlineStr">
        <is>
          <t>Medium</t>
        </is>
      </c>
      <c r="F95" t="inlineStr">
        <is>
          <t>Auto-discovered source-quality score 58; contains dated strategic/source-page signals.</t>
        </is>
      </c>
      <c r="G95" t="inlineStr">
        <is>
          <t>Auto-discovered; review after the next crawl.</t>
        </is>
      </c>
      <c r="H95" t="inlineStr">
        <is>
          <t>Crawl as ranked source first, follow dated article cards, publications and event links, then apply normal signal gates.</t>
        </is>
      </c>
      <c r="L95" t="inlineStr">
        <is>
          <t>Discovered</t>
        </is>
      </c>
    </row>
    <row r="96">
      <c r="A96" t="inlineStr">
        <is>
          <t>Debeka Versicherungsgruppe</t>
        </is>
      </c>
      <c r="B96" t="inlineStr">
        <is>
          <t>https://www.debeka.de/nachhaltigkeit</t>
        </is>
      </c>
      <c r="C96" t="inlineStr">
        <is>
          <t>Discovered source page</t>
        </is>
      </c>
      <c r="D96" t="inlineStr">
        <is>
          <t>High</t>
        </is>
      </c>
      <c r="E96" t="inlineStr">
        <is>
          <t>Medium</t>
        </is>
      </c>
      <c r="F96" t="inlineStr">
        <is>
          <t>Auto-discovered source-quality score 70; contains dated strategic/source-page signals.</t>
        </is>
      </c>
      <c r="G96" t="inlineStr">
        <is>
          <t>Auto-discovered; review after the next crawl.</t>
        </is>
      </c>
      <c r="H96" t="inlineStr">
        <is>
          <t>Crawl as ranked source first, follow dated article cards, publications and event links, then apply normal signal gates.</t>
        </is>
      </c>
      <c r="L96" t="inlineStr">
        <is>
          <t>Discovered</t>
        </is>
      </c>
    </row>
    <row r="97">
      <c r="A97" t="inlineStr">
        <is>
          <t>Debeka Versicherungsgruppe</t>
        </is>
      </c>
      <c r="B97" t="inlineStr">
        <is>
          <t>https://www.debeka.de</t>
        </is>
      </c>
      <c r="C97" t="inlineStr">
        <is>
          <t>Discovered source page</t>
        </is>
      </c>
      <c r="D97" t="inlineStr">
        <is>
          <t>High</t>
        </is>
      </c>
      <c r="E97" t="inlineStr">
        <is>
          <t>Medium</t>
        </is>
      </c>
      <c r="F97" t="inlineStr">
        <is>
          <t>Auto-discovered source-quality score 48; contains dated strategic/source-page signals.</t>
        </is>
      </c>
      <c r="G97" t="inlineStr">
        <is>
          <t>Auto-discovered; review after the next crawl.</t>
        </is>
      </c>
      <c r="H97" t="inlineStr">
        <is>
          <t>Crawl as ranked source first, follow dated article cards, publications and event links, then apply normal signal gates.</t>
        </is>
      </c>
      <c r="L97" t="inlineStr">
        <is>
          <t>Discovered</t>
        </is>
      </c>
    </row>
    <row r="98">
      <c r="A98" t="inlineStr">
        <is>
          <t>Deutsche Bundesbank, Hauptverwaltung in Rheinland-Pfalz und dem Saarland</t>
        </is>
      </c>
      <c r="B98" t="inlineStr">
        <is>
          <t>https://www.bundesbank.de/termine</t>
        </is>
      </c>
      <c r="C98" t="inlineStr">
        <is>
          <t>Discovered source page</t>
        </is>
      </c>
      <c r="D98" t="inlineStr">
        <is>
          <t>High</t>
        </is>
      </c>
      <c r="E98" t="inlineStr">
        <is>
          <t>Medium</t>
        </is>
      </c>
      <c r="F98" t="inlineStr">
        <is>
          <t>Auto-discovered source-quality score 48; contains dated strategic/source-page signals.</t>
        </is>
      </c>
      <c r="G98" t="inlineStr">
        <is>
          <t>Auto-discovered; review after the next crawl.</t>
        </is>
      </c>
      <c r="H98" t="inlineStr">
        <is>
          <t>Crawl as ranked source first, follow dated article cards, publications and event links, then apply normal signal gates.</t>
        </is>
      </c>
      <c r="L98" t="inlineStr">
        <is>
          <t>Discovered</t>
        </is>
      </c>
    </row>
    <row r="99">
      <c r="A99" t="inlineStr">
        <is>
          <t>Deutsche Bundesbank, Hauptverwaltung in Rheinland-Pfalz und dem Saarland</t>
        </is>
      </c>
      <c r="B99" t="inlineStr">
        <is>
          <t>https://www.bundesbank.de</t>
        </is>
      </c>
      <c r="C99" t="inlineStr">
        <is>
          <t>Discovered source page</t>
        </is>
      </c>
      <c r="D99" t="inlineStr">
        <is>
          <t>Medium</t>
        </is>
      </c>
      <c r="E99" t="inlineStr">
        <is>
          <t>Medium</t>
        </is>
      </c>
      <c r="F99" t="inlineStr">
        <is>
          <t>Auto-discovered source-quality score 38; contains dated strategic/source-page signals.</t>
        </is>
      </c>
      <c r="G99" t="inlineStr">
        <is>
          <t>Auto-discovered; review after the next crawl.</t>
        </is>
      </c>
      <c r="H99" t="inlineStr">
        <is>
          <t>Crawl as ranked source first, follow dated article cards, publications and event links, then apply normal signal gates.</t>
        </is>
      </c>
      <c r="L99" t="inlineStr">
        <is>
          <t>Discovered</t>
        </is>
      </c>
    </row>
    <row r="100">
      <c r="A100" t="inlineStr">
        <is>
          <t>Deutsche Telekom AG</t>
        </is>
      </c>
      <c r="B100" t="inlineStr">
        <is>
          <t>https://www.telekom.de/nachhaltigkeit</t>
        </is>
      </c>
      <c r="C100" t="inlineStr">
        <is>
          <t>Discovered source page</t>
        </is>
      </c>
      <c r="D100" t="inlineStr">
        <is>
          <t>Medium</t>
        </is>
      </c>
      <c r="E100" t="inlineStr">
        <is>
          <t>Medium</t>
        </is>
      </c>
      <c r="F100" t="inlineStr">
        <is>
          <t>Auto-discovered source-quality score 32; contains dated strategic/source-page signals.</t>
        </is>
      </c>
      <c r="G100" t="inlineStr">
        <is>
          <t>Auto-discovered; review after the next crawl.</t>
        </is>
      </c>
      <c r="H100" t="inlineStr">
        <is>
          <t>Crawl as ranked source first, follow dated article cards, publications and event links, then apply normal signal gates.</t>
        </is>
      </c>
      <c r="L100" t="inlineStr">
        <is>
          <t>Discovered</t>
        </is>
      </c>
    </row>
    <row r="101">
      <c r="A101" t="inlineStr">
        <is>
          <t>Deutsche Telekom AG</t>
        </is>
      </c>
      <c r="B101" t="inlineStr">
        <is>
          <t>https://www.telekom.de/downloads</t>
        </is>
      </c>
      <c r="C101" t="inlineStr">
        <is>
          <t>Discovered source page</t>
        </is>
      </c>
      <c r="D101" t="inlineStr">
        <is>
          <t>Medium</t>
        </is>
      </c>
      <c r="E101" t="inlineStr">
        <is>
          <t>Medium</t>
        </is>
      </c>
      <c r="F101" t="inlineStr">
        <is>
          <t>Auto-discovered source-quality score 32; contains dated strategic/source-page signals.</t>
        </is>
      </c>
      <c r="G101" t="inlineStr">
        <is>
          <t>Auto-discovered; review after the next crawl.</t>
        </is>
      </c>
      <c r="H101" t="inlineStr">
        <is>
          <t>Crawl as ranked source first, follow dated article cards, publications and event links, then apply normal signal gates.</t>
        </is>
      </c>
      <c r="L101" t="inlineStr">
        <is>
          <t>Discovered</t>
        </is>
      </c>
    </row>
    <row r="102">
      <c r="A102" t="inlineStr">
        <is>
          <t>Deutsche Telekom AG</t>
        </is>
      </c>
      <c r="B102" t="inlineStr">
        <is>
          <t>https://www.telekom.de</t>
        </is>
      </c>
      <c r="C102" t="inlineStr">
        <is>
          <t>Discovered source page</t>
        </is>
      </c>
      <c r="D102" t="inlineStr">
        <is>
          <t>High</t>
        </is>
      </c>
      <c r="E102" t="inlineStr">
        <is>
          <t>Medium</t>
        </is>
      </c>
      <c r="F102" t="inlineStr">
        <is>
          <t>Auto-discovered source-quality score 44; contains dated strategic/source-page signals.</t>
        </is>
      </c>
      <c r="G102" t="inlineStr">
        <is>
          <t>Auto-discovered; review after the next crawl.</t>
        </is>
      </c>
      <c r="H102" t="inlineStr">
        <is>
          <t>Crawl as ranked source first, follow dated article cards, publications and event links, then apply normal signal gates.</t>
        </is>
      </c>
      <c r="L102" t="inlineStr">
        <is>
          <t>Discovered</t>
        </is>
      </c>
    </row>
    <row r="103">
      <c r="A103" t="inlineStr">
        <is>
          <t>Deutsche Universität für Verwaltungswissenschaften Speyer</t>
        </is>
      </c>
      <c r="B103" t="inlineStr">
        <is>
          <t>https://www.uni-speyer.de/forschung</t>
        </is>
      </c>
      <c r="C103" t="inlineStr">
        <is>
          <t>Discovered source page</t>
        </is>
      </c>
      <c r="D103" t="inlineStr">
        <is>
          <t>Medium</t>
        </is>
      </c>
      <c r="E103" t="inlineStr">
        <is>
          <t>Medium</t>
        </is>
      </c>
      <c r="F103" t="inlineStr">
        <is>
          <t>Auto-discovered source-quality score 32; contains dated strategic/source-page signals.</t>
        </is>
      </c>
      <c r="G103" t="inlineStr">
        <is>
          <t>Auto-discovered; review after the next crawl.</t>
        </is>
      </c>
      <c r="H103" t="inlineStr">
        <is>
          <t>Crawl as ranked source first, follow dated article cards, publications and event links, then apply normal signal gates.</t>
        </is>
      </c>
      <c r="L103" t="inlineStr">
        <is>
          <t>Discovered</t>
        </is>
      </c>
    </row>
    <row r="104">
      <c r="A104" t="inlineStr">
        <is>
          <t>Deutsche Universität für Verwaltungswissenschaften Speyer</t>
        </is>
      </c>
      <c r="B104" t="inlineStr">
        <is>
          <t>https://www.uni-speyer.de</t>
        </is>
      </c>
      <c r="C104" t="inlineStr">
        <is>
          <t>Discovered source page</t>
        </is>
      </c>
      <c r="D104" t="inlineStr">
        <is>
          <t>High</t>
        </is>
      </c>
      <c r="E104" t="inlineStr">
        <is>
          <t>Medium</t>
        </is>
      </c>
      <c r="F104" t="inlineStr">
        <is>
          <t>Auto-discovered source-quality score 50; contains dated strategic/source-page signals.</t>
        </is>
      </c>
      <c r="G104" t="inlineStr">
        <is>
          <t>Auto-discovered; review after the next crawl.</t>
        </is>
      </c>
      <c r="H104" t="inlineStr">
        <is>
          <t>Crawl as ranked source first, follow dated article cards, publications and event links, then apply normal signal gates.</t>
        </is>
      </c>
      <c r="L104" t="inlineStr">
        <is>
          <t>Discovered</t>
        </is>
      </c>
    </row>
    <row r="105">
      <c r="A105" t="inlineStr">
        <is>
          <t>Eckes-Granini Deutschland GmbH</t>
        </is>
      </c>
      <c r="B105" t="inlineStr">
        <is>
          <t>https://www.eckes-granini.de/nachhaltigkeit</t>
        </is>
      </c>
      <c r="C105" t="inlineStr">
        <is>
          <t>Discovered source page</t>
        </is>
      </c>
      <c r="D105" t="inlineStr">
        <is>
          <t>High</t>
        </is>
      </c>
      <c r="E105" t="inlineStr">
        <is>
          <t>Medium</t>
        </is>
      </c>
      <c r="F105" t="inlineStr">
        <is>
          <t>Auto-discovered source-quality score 50; contains dated strategic/source-page signals.</t>
        </is>
      </c>
      <c r="G105" t="inlineStr">
        <is>
          <t>Auto-discovered; review after the next crawl.</t>
        </is>
      </c>
      <c r="H105" t="inlineStr">
        <is>
          <t>Crawl as ranked source first, follow dated article cards, publications and event links, then apply normal signal gates.</t>
        </is>
      </c>
      <c r="L105" t="inlineStr">
        <is>
          <t>Discovered</t>
        </is>
      </c>
    </row>
    <row r="106">
      <c r="A106" t="inlineStr">
        <is>
          <t>Empolis Information Management GmbH</t>
        </is>
      </c>
      <c r="B106" t="inlineStr">
        <is>
          <t>https://www.empolis.com/news</t>
        </is>
      </c>
      <c r="C106" t="inlineStr">
        <is>
          <t>Discovered source page</t>
        </is>
      </c>
      <c r="D106" t="inlineStr">
        <is>
          <t>Medium</t>
        </is>
      </c>
      <c r="E106" t="inlineStr">
        <is>
          <t>Medium</t>
        </is>
      </c>
      <c r="F106" t="inlineStr">
        <is>
          <t>Auto-discovered source-quality score 32; contains dated strategic/source-page signals.</t>
        </is>
      </c>
      <c r="G106" t="inlineStr">
        <is>
          <t>Auto-discovered; review after the next crawl.</t>
        </is>
      </c>
      <c r="H106" t="inlineStr">
        <is>
          <t>Crawl as ranked source first, follow dated article cards, publications and event links, then apply normal signal gates.</t>
        </is>
      </c>
      <c r="L106" t="inlineStr">
        <is>
          <t>Discovered</t>
        </is>
      </c>
    </row>
    <row r="107">
      <c r="A107" t="inlineStr">
        <is>
          <t>Empolis Information Management GmbH</t>
        </is>
      </c>
      <c r="B107" t="inlineStr">
        <is>
          <t>https://www.empolis.com</t>
        </is>
      </c>
      <c r="C107" t="inlineStr">
        <is>
          <t>Discovered source page</t>
        </is>
      </c>
      <c r="D107" t="inlineStr">
        <is>
          <t>Medium</t>
        </is>
      </c>
      <c r="E107" t="inlineStr">
        <is>
          <t>Medium</t>
        </is>
      </c>
      <c r="F107" t="inlineStr">
        <is>
          <t>Auto-discovered source-quality score 32; contains dated strategic/source-page signals.</t>
        </is>
      </c>
      <c r="G107" t="inlineStr">
        <is>
          <t>Auto-discovered; review after the next crawl.</t>
        </is>
      </c>
      <c r="H107" t="inlineStr">
        <is>
          <t>Crawl as ranked source first, follow dated article cards, publications and event links, then apply normal signal gates.</t>
        </is>
      </c>
      <c r="L107" t="inlineStr">
        <is>
          <t>Discovered</t>
        </is>
      </c>
    </row>
    <row r="108">
      <c r="A108" t="inlineStr">
        <is>
          <t>Empolis Information Management GmbH</t>
        </is>
      </c>
      <c r="B108" t="inlineStr">
        <is>
          <t>https://empolis.com/de/blog/die-produktion-der-zukunft-wie-ai-basierte-wissenssysteme-den-shopfloor-revolutionieren</t>
        </is>
      </c>
      <c r="C108" t="inlineStr">
        <is>
          <t>Discovered source page</t>
        </is>
      </c>
      <c r="D108" t="inlineStr">
        <is>
          <t>High</t>
        </is>
      </c>
      <c r="E108" t="inlineStr">
        <is>
          <t>Medium</t>
        </is>
      </c>
      <c r="F108" t="inlineStr">
        <is>
          <t>Auto-discovered source-quality score 48; contains dated strategic/source-page signals.</t>
        </is>
      </c>
      <c r="G108" t="inlineStr">
        <is>
          <t>Auto-discovered; review after the next crawl.</t>
        </is>
      </c>
      <c r="H108" t="inlineStr">
        <is>
          <t>Crawl as ranked source first, follow dated article cards, publications and event links, then apply normal signal gates.</t>
        </is>
      </c>
      <c r="L108" t="inlineStr">
        <is>
          <t>Discovered</t>
        </is>
      </c>
    </row>
    <row r="109">
      <c r="A109" t="inlineStr">
        <is>
          <t>Empolis Information Management GmbH</t>
        </is>
      </c>
      <c r="B109" t="inlineStr">
        <is>
          <t>https://empolis.com/en/blog/expertise-and-innovation-power-in-service</t>
        </is>
      </c>
      <c r="C109" t="inlineStr">
        <is>
          <t>Discovered source page</t>
        </is>
      </c>
      <c r="D109" t="inlineStr">
        <is>
          <t>Medium</t>
        </is>
      </c>
      <c r="E109" t="inlineStr">
        <is>
          <t>Medium</t>
        </is>
      </c>
      <c r="F109" t="inlineStr">
        <is>
          <t>Auto-discovered source-quality score 32; contains dated strategic/source-page signals.</t>
        </is>
      </c>
      <c r="G109" t="inlineStr">
        <is>
          <t>Auto-discovered; review after the next crawl.</t>
        </is>
      </c>
      <c r="H109" t="inlineStr">
        <is>
          <t>Crawl as ranked source first, follow dated article cards, publications and event links, then apply normal signal gates.</t>
        </is>
      </c>
      <c r="L109" t="inlineStr">
        <is>
          <t>Discovered</t>
        </is>
      </c>
    </row>
    <row r="110">
      <c r="A110" t="inlineStr">
        <is>
          <t>ENTEGA Plus GmbH</t>
        </is>
      </c>
      <c r="B110" t="inlineStr">
        <is>
          <t>https://www.entega.de/presse</t>
        </is>
      </c>
      <c r="C110" t="inlineStr">
        <is>
          <t>Discovered source page</t>
        </is>
      </c>
      <c r="D110" t="inlineStr">
        <is>
          <t>High</t>
        </is>
      </c>
      <c r="E110" t="inlineStr">
        <is>
          <t>Medium</t>
        </is>
      </c>
      <c r="F110" t="inlineStr">
        <is>
          <t>Auto-discovered source-quality score 50; contains dated strategic/source-page signals.</t>
        </is>
      </c>
      <c r="G110" t="inlineStr">
        <is>
          <t>Auto-discovered; review after the next crawl.</t>
        </is>
      </c>
      <c r="H110" t="inlineStr">
        <is>
          <t>Crawl as ranked source first, follow dated article cards, publications and event links, then apply normal signal gates.</t>
        </is>
      </c>
      <c r="L110" t="inlineStr">
        <is>
          <t>Discovered</t>
        </is>
      </c>
    </row>
    <row r="111">
      <c r="A111" t="inlineStr">
        <is>
          <t>Entwicklungsagentur Rheinland-Pfalz e.V.</t>
        </is>
      </c>
      <c r="B111" t="inlineStr">
        <is>
          <t>https://www.ea-rlp.de/innovation</t>
        </is>
      </c>
      <c r="C111" t="inlineStr">
        <is>
          <t>Discovered source page</t>
        </is>
      </c>
      <c r="D111" t="inlineStr">
        <is>
          <t>High</t>
        </is>
      </c>
      <c r="E111" t="inlineStr">
        <is>
          <t>Medium</t>
        </is>
      </c>
      <c r="F111" t="inlineStr">
        <is>
          <t>Auto-discovered source-quality score 42; contains dated strategic/source-page signals.</t>
        </is>
      </c>
      <c r="G111" t="inlineStr">
        <is>
          <t>Auto-discovered; review after the next crawl.</t>
        </is>
      </c>
      <c r="H111" t="inlineStr">
        <is>
          <t>Crawl as ranked source first, follow dated article cards, publications and event links, then apply normal signal gates.</t>
        </is>
      </c>
      <c r="L111" t="inlineStr">
        <is>
          <t>Discovered</t>
        </is>
      </c>
    </row>
    <row r="112">
      <c r="A112" t="inlineStr">
        <is>
          <t>Entwicklungsagentur Rheinland-Pfalz e.V.</t>
        </is>
      </c>
      <c r="B112" t="inlineStr">
        <is>
          <t>https://www.ea-rlp.de/forschung</t>
        </is>
      </c>
      <c r="C112" t="inlineStr">
        <is>
          <t>Discovered source page</t>
        </is>
      </c>
      <c r="D112" t="inlineStr">
        <is>
          <t>High</t>
        </is>
      </c>
      <c r="E112" t="inlineStr">
        <is>
          <t>Medium</t>
        </is>
      </c>
      <c r="F112" t="inlineStr">
        <is>
          <t>Auto-discovered source-quality score 58; contains dated strategic/source-page signals.</t>
        </is>
      </c>
      <c r="G112" t="inlineStr">
        <is>
          <t>Auto-discovered; review after the next crawl.</t>
        </is>
      </c>
      <c r="H112" t="inlineStr">
        <is>
          <t>Crawl as ranked source first, follow dated article cards, publications and event links, then apply normal signal gates.</t>
        </is>
      </c>
      <c r="L112" t="inlineStr">
        <is>
          <t>Discovered</t>
        </is>
      </c>
    </row>
    <row r="113">
      <c r="A113" t="inlineStr">
        <is>
          <t>Entwicklungsagentur Rheinland-Pfalz e.V.</t>
        </is>
      </c>
      <c r="B113" t="inlineStr">
        <is>
          <t>https://www.ea-rlp.de/projekte</t>
        </is>
      </c>
      <c r="C113" t="inlineStr">
        <is>
          <t>Discovered source page</t>
        </is>
      </c>
      <c r="D113" t="inlineStr">
        <is>
          <t>Medium</t>
        </is>
      </c>
      <c r="E113" t="inlineStr">
        <is>
          <t>Medium</t>
        </is>
      </c>
      <c r="F113" t="inlineStr">
        <is>
          <t>Auto-discovered source-quality score 24; contains dated strategic/source-page signals.</t>
        </is>
      </c>
      <c r="G113" t="inlineStr">
        <is>
          <t>Auto-discovered; review after the next crawl.</t>
        </is>
      </c>
      <c r="H113" t="inlineStr">
        <is>
          <t>Crawl as ranked source first, follow dated article cards, publications and event links, then apply normal signal gates.</t>
        </is>
      </c>
      <c r="L113" t="inlineStr">
        <is>
          <t>Discovered</t>
        </is>
      </c>
    </row>
    <row r="114">
      <c r="A114" t="inlineStr">
        <is>
          <t>Entwicklungsagentur Rheinland-Pfalz e.V.</t>
        </is>
      </c>
      <c r="B114" t="inlineStr">
        <is>
          <t>https://www.ea-rlp.de/studien</t>
        </is>
      </c>
      <c r="C114" t="inlineStr">
        <is>
          <t>Discovered source page</t>
        </is>
      </c>
      <c r="D114" t="inlineStr">
        <is>
          <t>High</t>
        </is>
      </c>
      <c r="E114" t="inlineStr">
        <is>
          <t>Medium</t>
        </is>
      </c>
      <c r="F114" t="inlineStr">
        <is>
          <t>Auto-discovered source-quality score 42; contains dated strategic/source-page signals.</t>
        </is>
      </c>
      <c r="G114" t="inlineStr">
        <is>
          <t>Auto-discovered; review after the next crawl.</t>
        </is>
      </c>
      <c r="H114" t="inlineStr">
        <is>
          <t>Crawl as ranked source first, follow dated article cards, publications and event links, then apply normal signal gates.</t>
        </is>
      </c>
      <c r="L114" t="inlineStr">
        <is>
          <t>Discovered</t>
        </is>
      </c>
    </row>
    <row r="115">
      <c r="A115" t="inlineStr">
        <is>
          <t>Entwicklungsagentur Rheinland-Pfalz e.V.</t>
        </is>
      </c>
      <c r="B115" t="inlineStr">
        <is>
          <t>https://www.ea-rlp.de</t>
        </is>
      </c>
      <c r="C115" t="inlineStr">
        <is>
          <t>Discovered source page</t>
        </is>
      </c>
      <c r="D115" t="inlineStr">
        <is>
          <t>Medium</t>
        </is>
      </c>
      <c r="E115" t="inlineStr">
        <is>
          <t>Medium</t>
        </is>
      </c>
      <c r="F115" t="inlineStr">
        <is>
          <t>Auto-discovered source-quality score 26; contains dated strategic/source-page signals.</t>
        </is>
      </c>
      <c r="G115" t="inlineStr">
        <is>
          <t>Auto-discovered; review after the next crawl.</t>
        </is>
      </c>
      <c r="H115" t="inlineStr">
        <is>
          <t>Crawl as ranked source first, follow dated article cards, publications and event links, then apply normal signal gates.</t>
        </is>
      </c>
      <c r="L115" t="inlineStr">
        <is>
          <t>Discovered</t>
        </is>
      </c>
    </row>
    <row r="116">
      <c r="A116" t="inlineStr">
        <is>
          <t>Ernst &amp; Young GmbH</t>
        </is>
      </c>
      <c r="B116" t="inlineStr">
        <is>
          <t>https://www.ey.com/presse</t>
        </is>
      </c>
      <c r="C116" t="inlineStr">
        <is>
          <t>Discovered source page</t>
        </is>
      </c>
      <c r="D116" t="inlineStr">
        <is>
          <t>High</t>
        </is>
      </c>
      <c r="E116" t="inlineStr">
        <is>
          <t>Medium</t>
        </is>
      </c>
      <c r="F116" t="inlineStr">
        <is>
          <t>Auto-discovered source-quality score 58; contains dated strategic/source-page signals.</t>
        </is>
      </c>
      <c r="G116" t="inlineStr">
        <is>
          <t>Auto-discovered; review after the next crawl.</t>
        </is>
      </c>
      <c r="H116" t="inlineStr">
        <is>
          <t>Crawl as ranked source first, follow dated article cards, publications and event links, then apply normal signal gates.</t>
        </is>
      </c>
      <c r="L116" t="inlineStr">
        <is>
          <t>Discovered</t>
        </is>
      </c>
    </row>
    <row r="117">
      <c r="A117" t="inlineStr">
        <is>
          <t>Ernst &amp; Young GmbH</t>
        </is>
      </c>
      <c r="B117" t="inlineStr">
        <is>
          <t>https://www.ey.com/newsroom</t>
        </is>
      </c>
      <c r="C117" t="inlineStr">
        <is>
          <t>Discovered source page</t>
        </is>
      </c>
      <c r="D117" t="inlineStr">
        <is>
          <t>High</t>
        </is>
      </c>
      <c r="E117" t="inlineStr">
        <is>
          <t>Medium</t>
        </is>
      </c>
      <c r="F117" t="inlineStr">
        <is>
          <t>Auto-discovered source-quality score 58; contains dated strategic/source-page signals.</t>
        </is>
      </c>
      <c r="G117" t="inlineStr">
        <is>
          <t>Auto-discovered; review after the next crawl.</t>
        </is>
      </c>
      <c r="H117" t="inlineStr">
        <is>
          <t>Crawl as ranked source first, follow dated article cards, publications and event links, then apply normal signal gates.</t>
        </is>
      </c>
      <c r="L117" t="inlineStr">
        <is>
          <t>Discovered</t>
        </is>
      </c>
    </row>
    <row r="118">
      <c r="A118" t="inlineStr">
        <is>
          <t>Ernst &amp; Young GmbH</t>
        </is>
      </c>
      <c r="B118" t="inlineStr">
        <is>
          <t>https://www.ey.com/news</t>
        </is>
      </c>
      <c r="C118" t="inlineStr">
        <is>
          <t>Discovered source page</t>
        </is>
      </c>
      <c r="D118" t="inlineStr">
        <is>
          <t>High</t>
        </is>
      </c>
      <c r="E118" t="inlineStr">
        <is>
          <t>Medium</t>
        </is>
      </c>
      <c r="F118" t="inlineStr">
        <is>
          <t>Auto-discovered source-quality score 58; contains dated strategic/source-page signals.</t>
        </is>
      </c>
      <c r="G118" t="inlineStr">
        <is>
          <t>Auto-discovered; review after the next crawl.</t>
        </is>
      </c>
      <c r="H118" t="inlineStr">
        <is>
          <t>Crawl as ranked source first, follow dated article cards, publications and event links, then apply normal signal gates.</t>
        </is>
      </c>
      <c r="L118" t="inlineStr">
        <is>
          <t>Discovered</t>
        </is>
      </c>
    </row>
    <row r="119">
      <c r="A119" t="inlineStr">
        <is>
          <t>Ernst &amp; Young GmbH</t>
        </is>
      </c>
      <c r="B119" t="inlineStr">
        <is>
          <t>https://www.ey.com/innovation</t>
        </is>
      </c>
      <c r="C119" t="inlineStr">
        <is>
          <t>Discovered source page</t>
        </is>
      </c>
      <c r="D119" t="inlineStr">
        <is>
          <t>High</t>
        </is>
      </c>
      <c r="E119" t="inlineStr">
        <is>
          <t>Medium</t>
        </is>
      </c>
      <c r="F119" t="inlineStr">
        <is>
          <t>Auto-discovered source-quality score 70; contains dated strategic/source-page signals.</t>
        </is>
      </c>
      <c r="G119" t="inlineStr">
        <is>
          <t>Auto-discovered; review after the next crawl.</t>
        </is>
      </c>
      <c r="H119" t="inlineStr">
        <is>
          <t>Crawl as ranked source first, follow dated article cards, publications and event links, then apply normal signal gates.</t>
        </is>
      </c>
      <c r="L119" t="inlineStr">
        <is>
          <t>Discovered</t>
        </is>
      </c>
    </row>
    <row r="120">
      <c r="A120" t="inlineStr">
        <is>
          <t>Ernst &amp; Young GmbH</t>
        </is>
      </c>
      <c r="B120" t="inlineStr">
        <is>
          <t>https://www.ey.com/events</t>
        </is>
      </c>
      <c r="C120" t="inlineStr">
        <is>
          <t>Discovered source page</t>
        </is>
      </c>
      <c r="D120" t="inlineStr">
        <is>
          <t>High</t>
        </is>
      </c>
      <c r="E120" t="inlineStr">
        <is>
          <t>Medium</t>
        </is>
      </c>
      <c r="F120" t="inlineStr">
        <is>
          <t>Auto-discovered source-quality score 42; contains dated strategic/source-page signals.</t>
        </is>
      </c>
      <c r="G120" t="inlineStr">
        <is>
          <t>Auto-discovered; review after the next crawl.</t>
        </is>
      </c>
      <c r="H120" t="inlineStr">
        <is>
          <t>Crawl as ranked source first, follow dated article cards, publications and event links, then apply normal signal gates.</t>
        </is>
      </c>
      <c r="L120" t="inlineStr">
        <is>
          <t>Discovered</t>
        </is>
      </c>
    </row>
    <row r="121">
      <c r="A121" t="inlineStr">
        <is>
          <t>Ernst &amp; Young GmbH</t>
        </is>
      </c>
      <c r="B121" t="inlineStr">
        <is>
          <t>https://www.ey.com</t>
        </is>
      </c>
      <c r="C121" t="inlineStr">
        <is>
          <t>Discovered source page</t>
        </is>
      </c>
      <c r="D121" t="inlineStr">
        <is>
          <t>High</t>
        </is>
      </c>
      <c r="E121" t="inlineStr">
        <is>
          <t>Medium</t>
        </is>
      </c>
      <c r="F121" t="inlineStr">
        <is>
          <t>Auto-discovered source-quality score 48; contains dated strategic/source-page signals.</t>
        </is>
      </c>
      <c r="G121" t="inlineStr">
        <is>
          <t>Auto-discovered; review after the next crawl.</t>
        </is>
      </c>
      <c r="H121" t="inlineStr">
        <is>
          <t>Crawl as ranked source first, follow dated article cards, publications and event links, then apply normal signal gates.</t>
        </is>
      </c>
      <c r="L121" t="inlineStr">
        <is>
          <t>Discovered</t>
        </is>
      </c>
    </row>
    <row r="122">
      <c r="A122" t="inlineStr">
        <is>
          <t>Erster FC Kaiserslautern GmbH &amp; Co. KGaA</t>
        </is>
      </c>
      <c r="B122" t="inlineStr">
        <is>
          <t>https://fck.de/news</t>
        </is>
      </c>
      <c r="C122" t="inlineStr">
        <is>
          <t>Discovered source page</t>
        </is>
      </c>
      <c r="D122" t="inlineStr">
        <is>
          <t>Medium</t>
        </is>
      </c>
      <c r="E122" t="inlineStr">
        <is>
          <t>Medium</t>
        </is>
      </c>
      <c r="F122" t="inlineStr">
        <is>
          <t>Auto-discovered source-quality score 24; contains dated strategic/source-page signals.</t>
        </is>
      </c>
      <c r="G122" t="inlineStr">
        <is>
          <t>Auto-discovered; review after the next crawl.</t>
        </is>
      </c>
      <c r="H122" t="inlineStr">
        <is>
          <t>Crawl as ranked source first, follow dated article cards, publications and event links, then apply normal signal gates.</t>
        </is>
      </c>
      <c r="L122" t="inlineStr">
        <is>
          <t>Discovered</t>
        </is>
      </c>
    </row>
    <row r="123">
      <c r="A123" t="inlineStr">
        <is>
          <t>Erster FC Kaiserslautern GmbH &amp; Co. KGaA</t>
        </is>
      </c>
      <c r="B123" t="inlineStr">
        <is>
          <t>https://fck.de/de/news</t>
        </is>
      </c>
      <c r="C123" t="inlineStr">
        <is>
          <t>Discovered source page</t>
        </is>
      </c>
      <c r="D123" t="inlineStr">
        <is>
          <t>Medium</t>
        </is>
      </c>
      <c r="E123" t="inlineStr">
        <is>
          <t>Medium</t>
        </is>
      </c>
      <c r="F123" t="inlineStr">
        <is>
          <t>Auto-discovered source-quality score 24; contains dated strategic/source-page signals.</t>
        </is>
      </c>
      <c r="G123" t="inlineStr">
        <is>
          <t>Auto-discovered; review after the next crawl.</t>
        </is>
      </c>
      <c r="H123" t="inlineStr">
        <is>
          <t>Crawl as ranked source first, follow dated article cards, publications and event links, then apply normal signal gates.</t>
        </is>
      </c>
      <c r="L123" t="inlineStr">
        <is>
          <t>Discovered</t>
        </is>
      </c>
    </row>
    <row r="124">
      <c r="A124" t="inlineStr">
        <is>
          <t>Erster FC Kaiserslautern GmbH &amp; Co. KGaA</t>
        </is>
      </c>
      <c r="B124" t="inlineStr">
        <is>
          <t>https://fck.de</t>
        </is>
      </c>
      <c r="C124" t="inlineStr">
        <is>
          <t>Discovered source page</t>
        </is>
      </c>
      <c r="D124" t="inlineStr">
        <is>
          <t>High</t>
        </is>
      </c>
      <c r="E124" t="inlineStr">
        <is>
          <t>Medium</t>
        </is>
      </c>
      <c r="F124" t="inlineStr">
        <is>
          <t>Auto-discovered source-quality score 44; contains dated strategic/source-page signals.</t>
        </is>
      </c>
      <c r="G124" t="inlineStr">
        <is>
          <t>Auto-discovered; review after the next crawl.</t>
        </is>
      </c>
      <c r="H124" t="inlineStr">
        <is>
          <t>Crawl as ranked source first, follow dated article cards, publications and event links, then apply normal signal gates.</t>
        </is>
      </c>
      <c r="L124" t="inlineStr">
        <is>
          <t>Discovered</t>
        </is>
      </c>
    </row>
    <row r="125">
      <c r="A125" t="inlineStr">
        <is>
          <t>Evangelische Kirche der Pfalz</t>
        </is>
      </c>
      <c r="B125" t="inlineStr">
        <is>
          <t>https://www.evkirchepfalz.de</t>
        </is>
      </c>
      <c r="C125" t="inlineStr">
        <is>
          <t>Discovered source page</t>
        </is>
      </c>
      <c r="D125" t="inlineStr">
        <is>
          <t>Medium</t>
        </is>
      </c>
      <c r="E125" t="inlineStr">
        <is>
          <t>Medium</t>
        </is>
      </c>
      <c r="F125" t="inlineStr">
        <is>
          <t>Auto-discovered source-quality score 32; contains dated strategic/source-page signals.</t>
        </is>
      </c>
      <c r="G125" t="inlineStr">
        <is>
          <t>Auto-discovered; review after the next crawl.</t>
        </is>
      </c>
      <c r="H125" t="inlineStr">
        <is>
          <t>Crawl as ranked source first, follow dated article cards, publications and event links, then apply normal signal gates.</t>
        </is>
      </c>
      <c r="L125" t="inlineStr">
        <is>
          <t>Discovered</t>
        </is>
      </c>
    </row>
    <row r="126">
      <c r="A126" t="inlineStr">
        <is>
          <t>Fachingen Heil- und Mineralbrunnen GmbH</t>
        </is>
      </c>
      <c r="B126" t="inlineStr">
        <is>
          <t>https://www.fachingen.de/nachhaltigkeit</t>
        </is>
      </c>
      <c r="C126" t="inlineStr">
        <is>
          <t>Discovered source page</t>
        </is>
      </c>
      <c r="D126" t="inlineStr">
        <is>
          <t>Medium</t>
        </is>
      </c>
      <c r="E126" t="inlineStr">
        <is>
          <t>Medium</t>
        </is>
      </c>
      <c r="F126" t="inlineStr">
        <is>
          <t>Auto-discovered source-quality score 38; contains dated strategic/source-page signals.</t>
        </is>
      </c>
      <c r="G126" t="inlineStr">
        <is>
          <t>Auto-discovered; review after the next crawl.</t>
        </is>
      </c>
      <c r="H126" t="inlineStr">
        <is>
          <t>Crawl as ranked source first, follow dated article cards, publications and event links, then apply normal signal gates.</t>
        </is>
      </c>
      <c r="L126" t="inlineStr">
        <is>
          <t>Discovered</t>
        </is>
      </c>
    </row>
    <row r="127">
      <c r="A127" t="inlineStr">
        <is>
          <t>Fachingen Heil- und Mineralbrunnen GmbH</t>
        </is>
      </c>
      <c r="B127" t="inlineStr">
        <is>
          <t>https://www.fachingen.de</t>
        </is>
      </c>
      <c r="C127" t="inlineStr">
        <is>
          <t>Discovered source page</t>
        </is>
      </c>
      <c r="D127" t="inlineStr">
        <is>
          <t>Medium</t>
        </is>
      </c>
      <c r="E127" t="inlineStr">
        <is>
          <t>Medium</t>
        </is>
      </c>
      <c r="F127" t="inlineStr">
        <is>
          <t>Auto-discovered source-quality score 26; contains dated strategic/source-page signals.</t>
        </is>
      </c>
      <c r="G127" t="inlineStr">
        <is>
          <t>Auto-discovered; review after the next crawl.</t>
        </is>
      </c>
      <c r="H127" t="inlineStr">
        <is>
          <t>Crawl as ranked source first, follow dated article cards, publications and event links, then apply normal signal gates.</t>
        </is>
      </c>
      <c r="L127" t="inlineStr">
        <is>
          <t>Discovered</t>
        </is>
      </c>
    </row>
    <row r="128">
      <c r="A128" t="inlineStr">
        <is>
          <t>Gerolsteiner Brunnen GmbH &amp; Co. KG</t>
        </is>
      </c>
      <c r="B128" t="inlineStr">
        <is>
          <t>https://www.gerolsteiner.de/newsroom</t>
        </is>
      </c>
      <c r="C128" t="inlineStr">
        <is>
          <t>Discovered source page</t>
        </is>
      </c>
      <c r="D128" t="inlineStr">
        <is>
          <t>High</t>
        </is>
      </c>
      <c r="E128" t="inlineStr">
        <is>
          <t>Medium</t>
        </is>
      </c>
      <c r="F128" t="inlineStr">
        <is>
          <t>Auto-discovered source-quality score 60; contains dated strategic/source-page signals.</t>
        </is>
      </c>
      <c r="G128" t="inlineStr">
        <is>
          <t>Auto-discovered; review after the next crawl.</t>
        </is>
      </c>
      <c r="H128" t="inlineStr">
        <is>
          <t>Crawl as ranked source first, follow dated article cards, publications and event links, then apply normal signal gates.</t>
        </is>
      </c>
      <c r="L128" t="inlineStr">
        <is>
          <t>Discovered</t>
        </is>
      </c>
    </row>
    <row r="129">
      <c r="A129" t="inlineStr">
        <is>
          <t>Gerolsteiner Brunnen GmbH &amp; Co. KG</t>
        </is>
      </c>
      <c r="B129" t="inlineStr">
        <is>
          <t>https://www.gerolsteiner.de/nachhaltigkeit</t>
        </is>
      </c>
      <c r="C129" t="inlineStr">
        <is>
          <t>Discovered source page</t>
        </is>
      </c>
      <c r="D129" t="inlineStr">
        <is>
          <t>High</t>
        </is>
      </c>
      <c r="E129" t="inlineStr">
        <is>
          <t>Medium</t>
        </is>
      </c>
      <c r="F129" t="inlineStr">
        <is>
          <t>Auto-discovered source-quality score 58; contains dated strategic/source-page signals.</t>
        </is>
      </c>
      <c r="G129" t="inlineStr">
        <is>
          <t>Auto-discovered; review after the next crawl.</t>
        </is>
      </c>
      <c r="H129" t="inlineStr">
        <is>
          <t>Crawl as ranked source first, follow dated article cards, publications and event links, then apply normal signal gates.</t>
        </is>
      </c>
      <c r="L129" t="inlineStr">
        <is>
          <t>Discovered</t>
        </is>
      </c>
    </row>
    <row r="130">
      <c r="A130" t="inlineStr">
        <is>
          <t>Gerolsteiner Brunnen GmbH &amp; Co. KG</t>
        </is>
      </c>
      <c r="B130" t="inlineStr">
        <is>
          <t>https://www.gerolsteiner.de/meldungen</t>
        </is>
      </c>
      <c r="C130" t="inlineStr">
        <is>
          <t>Discovered source page</t>
        </is>
      </c>
      <c r="D130" t="inlineStr">
        <is>
          <t>Medium</t>
        </is>
      </c>
      <c r="E130" t="inlineStr">
        <is>
          <t>Medium</t>
        </is>
      </c>
      <c r="F130" t="inlineStr">
        <is>
          <t>Auto-discovered source-quality score 30; contains dated strategic/source-page signals.</t>
        </is>
      </c>
      <c r="G130" t="inlineStr">
        <is>
          <t>Auto-discovered; review after the next crawl.</t>
        </is>
      </c>
      <c r="H130" t="inlineStr">
        <is>
          <t>Crawl as ranked source first, follow dated article cards, publications and event links, then apply normal signal gates.</t>
        </is>
      </c>
      <c r="L130" t="inlineStr">
        <is>
          <t>Discovered</t>
        </is>
      </c>
    </row>
    <row r="131">
      <c r="A131" t="inlineStr">
        <is>
          <t>Gerolsteiner Brunnen GmbH &amp; Co. KG</t>
        </is>
      </c>
      <c r="B131" t="inlineStr">
        <is>
          <t>https://www.gerolsteiner.de/unternehmen/presse</t>
        </is>
      </c>
      <c r="C131" t="inlineStr">
        <is>
          <t>Discovered source page</t>
        </is>
      </c>
      <c r="D131" t="inlineStr">
        <is>
          <t>High</t>
        </is>
      </c>
      <c r="E131" t="inlineStr">
        <is>
          <t>Medium</t>
        </is>
      </c>
      <c r="F131" t="inlineStr">
        <is>
          <t>Auto-discovered source-quality score 60; contains dated strategic/source-page signals.</t>
        </is>
      </c>
      <c r="G131" t="inlineStr">
        <is>
          <t>Auto-discovered; review after the next crawl.</t>
        </is>
      </c>
      <c r="H131" t="inlineStr">
        <is>
          <t>Crawl as ranked source first, follow dated article cards, publications and event links, then apply normal signal gates.</t>
        </is>
      </c>
      <c r="L131" t="inlineStr">
        <is>
          <t>Discovered</t>
        </is>
      </c>
    </row>
    <row r="132">
      <c r="A132" t="inlineStr">
        <is>
          <t>Gerolsteiner Brunnen GmbH &amp; Co. KG</t>
        </is>
      </c>
      <c r="B132" t="inlineStr">
        <is>
          <t>https://www.gerolsteiner.de/de/newsroom</t>
        </is>
      </c>
      <c r="C132" t="inlineStr">
        <is>
          <t>Discovered source page</t>
        </is>
      </c>
      <c r="D132" t="inlineStr">
        <is>
          <t>High</t>
        </is>
      </c>
      <c r="E132" t="inlineStr">
        <is>
          <t>Medium</t>
        </is>
      </c>
      <c r="F132" t="inlineStr">
        <is>
          <t>Auto-discovered source-quality score 60; contains dated strategic/source-page signals.</t>
        </is>
      </c>
      <c r="G132" t="inlineStr">
        <is>
          <t>Auto-discovered; review after the next crawl.</t>
        </is>
      </c>
      <c r="H132" t="inlineStr">
        <is>
          <t>Crawl as ranked source first, follow dated article cards, publications and event links, then apply normal signal gates.</t>
        </is>
      </c>
      <c r="L132" t="inlineStr">
        <is>
          <t>Discovered</t>
        </is>
      </c>
    </row>
    <row r="133">
      <c r="A133" t="inlineStr">
        <is>
          <t>Gerolsteiner Brunnen GmbH &amp; Co. KG</t>
        </is>
      </c>
      <c r="B133" t="inlineStr">
        <is>
          <t>https://www.gerolsteiner.de</t>
        </is>
      </c>
      <c r="C133" t="inlineStr">
        <is>
          <t>Discovered source page</t>
        </is>
      </c>
      <c r="D133" t="inlineStr">
        <is>
          <t>Medium</t>
        </is>
      </c>
      <c r="E133" t="inlineStr">
        <is>
          <t>Medium</t>
        </is>
      </c>
      <c r="F133" t="inlineStr">
        <is>
          <t>Auto-discovered source-quality score 26; contains dated strategic/source-page signals.</t>
        </is>
      </c>
      <c r="G133" t="inlineStr">
        <is>
          <t>Auto-discovered; review after the next crawl.</t>
        </is>
      </c>
      <c r="H133" t="inlineStr">
        <is>
          <t>Crawl as ranked source first, follow dated article cards, publications and event links, then apply normal signal gates.</t>
        </is>
      </c>
      <c r="L133" t="inlineStr">
        <is>
          <t>Discovered</t>
        </is>
      </c>
    </row>
    <row r="134">
      <c r="A134" t="inlineStr">
        <is>
          <t>Gerolsteiner Brunnen GmbH &amp; Co. KG</t>
        </is>
      </c>
      <c r="B134" t="inlineStr">
        <is>
          <t>https://www.gerolsteiner.de/nachhaltigkeit/nachhaltigkeitsstrategie</t>
        </is>
      </c>
      <c r="C134" t="inlineStr">
        <is>
          <t>Discovered source page</t>
        </is>
      </c>
      <c r="D134" t="inlineStr">
        <is>
          <t>High</t>
        </is>
      </c>
      <c r="E134" t="inlineStr">
        <is>
          <t>Medium</t>
        </is>
      </c>
      <c r="F134" t="inlineStr">
        <is>
          <t>Auto-discovered source-quality score 58; contains dated strategic/source-page signals.</t>
        </is>
      </c>
      <c r="G134" t="inlineStr">
        <is>
          <t>Auto-discovered; review after the next crawl.</t>
        </is>
      </c>
      <c r="H134" t="inlineStr">
        <is>
          <t>Crawl as ranked source first, follow dated article cards, publications and event links, then apply normal signal gates.</t>
        </is>
      </c>
      <c r="L134" t="inlineStr">
        <is>
          <t>Discovered</t>
        </is>
      </c>
    </row>
    <row r="135">
      <c r="A135" t="inlineStr">
        <is>
          <t>Gerolsteiner Brunnen GmbH &amp; Co. KG</t>
        </is>
      </c>
      <c r="B135" t="inlineStr">
        <is>
          <t>https://www.gerolsteiner.de/nachhaltigkeit/nachhaltigkeitsstrategie/1-5-grad-ziel</t>
        </is>
      </c>
      <c r="C135" t="inlineStr">
        <is>
          <t>Discovered source page</t>
        </is>
      </c>
      <c r="D135" t="inlineStr">
        <is>
          <t>Medium</t>
        </is>
      </c>
      <c r="E135" t="inlineStr">
        <is>
          <t>Medium</t>
        </is>
      </c>
      <c r="F135" t="inlineStr">
        <is>
          <t>Auto-discovered source-quality score 38; contains dated strategic/source-page signals.</t>
        </is>
      </c>
      <c r="G135" t="inlineStr">
        <is>
          <t>Auto-discovered; review after the next crawl.</t>
        </is>
      </c>
      <c r="H135" t="inlineStr">
        <is>
          <t>Crawl as ranked source first, follow dated article cards, publications and event links, then apply normal signal gates.</t>
        </is>
      </c>
      <c r="L135" t="inlineStr">
        <is>
          <t>Discovered</t>
        </is>
      </c>
    </row>
    <row r="136">
      <c r="A136" t="inlineStr">
        <is>
          <t>Gerolsteiner Brunnen GmbH &amp; Co. KG</t>
        </is>
      </c>
      <c r="B136" t="inlineStr">
        <is>
          <t>https://www.gerolsteiner.de/nachhaltigkeit/nachhaltigkeitsstrategie/beschaffung</t>
        </is>
      </c>
      <c r="C136" t="inlineStr">
        <is>
          <t>Discovered source page</t>
        </is>
      </c>
      <c r="D136" t="inlineStr">
        <is>
          <t>High</t>
        </is>
      </c>
      <c r="E136" t="inlineStr">
        <is>
          <t>Medium</t>
        </is>
      </c>
      <c r="F136" t="inlineStr">
        <is>
          <t>Auto-discovered source-quality score 60; contains dated strategic/source-page signals.</t>
        </is>
      </c>
      <c r="G136" t="inlineStr">
        <is>
          <t>Auto-discovered; review after the next crawl.</t>
        </is>
      </c>
      <c r="H136" t="inlineStr">
        <is>
          <t>Crawl as ranked source first, follow dated article cards, publications and event links, then apply normal signal gates.</t>
        </is>
      </c>
      <c r="L136" t="inlineStr">
        <is>
          <t>Discovered</t>
        </is>
      </c>
    </row>
    <row r="137">
      <c r="A137" t="inlineStr">
        <is>
          <t>Gerolsteiner Brunnen GmbH &amp; Co. KG</t>
        </is>
      </c>
      <c r="B137" t="inlineStr">
        <is>
          <t>https://www.gerolsteiner.de/nachhaltigkeit/nachhaltigkeitsstrategie/dialog-und-netzwerk-staerken</t>
        </is>
      </c>
      <c r="C137" t="inlineStr">
        <is>
          <t>Discovered source page</t>
        </is>
      </c>
      <c r="D137" t="inlineStr">
        <is>
          <t>High</t>
        </is>
      </c>
      <c r="E137" t="inlineStr">
        <is>
          <t>Medium</t>
        </is>
      </c>
      <c r="F137" t="inlineStr">
        <is>
          <t>Auto-discovered source-quality score 58; contains dated strategic/source-page signals.</t>
        </is>
      </c>
      <c r="G137" t="inlineStr">
        <is>
          <t>Auto-discovered; review after the next crawl.</t>
        </is>
      </c>
      <c r="H137" t="inlineStr">
        <is>
          <t>Crawl as ranked source first, follow dated article cards, publications and event links, then apply normal signal gates.</t>
        </is>
      </c>
      <c r="L137" t="inlineStr">
        <is>
          <t>Discovered</t>
        </is>
      </c>
    </row>
    <row r="138">
      <c r="A138" t="inlineStr">
        <is>
          <t>Gerolsteiner Brunnen GmbH &amp; Co. KG</t>
        </is>
      </c>
      <c r="B138" t="inlineStr">
        <is>
          <t>https://www.gerolsteiner.de/nachhaltigkeit/soziale-verantwortung</t>
        </is>
      </c>
      <c r="C138" t="inlineStr">
        <is>
          <t>Discovered source page</t>
        </is>
      </c>
      <c r="D138" t="inlineStr">
        <is>
          <t>High</t>
        </is>
      </c>
      <c r="E138" t="inlineStr">
        <is>
          <t>Medium</t>
        </is>
      </c>
      <c r="F138" t="inlineStr">
        <is>
          <t>Auto-discovered source-quality score 48; contains dated strategic/source-page signals.</t>
        </is>
      </c>
      <c r="G138" t="inlineStr">
        <is>
          <t>Auto-discovered; review after the next crawl.</t>
        </is>
      </c>
      <c r="H138" t="inlineStr">
        <is>
          <t>Crawl as ranked source first, follow dated article cards, publications and event links, then apply normal signal gates.</t>
        </is>
      </c>
      <c r="L138" t="inlineStr">
        <is>
          <t>Discovered</t>
        </is>
      </c>
    </row>
    <row r="139">
      <c r="A139" t="inlineStr">
        <is>
          <t>GLOBUS Markthallen Holding GmbH &amp; Co. KG</t>
        </is>
      </c>
      <c r="B139" t="inlineStr">
        <is>
          <t>https://www.globus.de/presse</t>
        </is>
      </c>
      <c r="C139" t="inlineStr">
        <is>
          <t>Discovered source page</t>
        </is>
      </c>
      <c r="D139" t="inlineStr">
        <is>
          <t>High</t>
        </is>
      </c>
      <c r="E139" t="inlineStr">
        <is>
          <t>Medium</t>
        </is>
      </c>
      <c r="F139" t="inlineStr">
        <is>
          <t>Auto-discovered source-quality score 88; contains dated strategic/source-page signals.</t>
        </is>
      </c>
      <c r="G139" t="inlineStr">
        <is>
          <t>Auto-discovered; review after the next crawl.</t>
        </is>
      </c>
      <c r="H139" t="inlineStr">
        <is>
          <t>Crawl as ranked source first, follow dated article cards, publications and event links, then apply normal signal gates.</t>
        </is>
      </c>
      <c r="L139" t="inlineStr">
        <is>
          <t>Discovered</t>
        </is>
      </c>
    </row>
    <row r="140">
      <c r="A140" t="inlineStr">
        <is>
          <t>GLOBUS Markthallen Holding GmbH &amp; Co. KG</t>
        </is>
      </c>
      <c r="B140" t="inlineStr">
        <is>
          <t>https://www.globus.de/nachhaltigkeit</t>
        </is>
      </c>
      <c r="C140" t="inlineStr">
        <is>
          <t>Discovered source page</t>
        </is>
      </c>
      <c r="D140" t="inlineStr">
        <is>
          <t>High</t>
        </is>
      </c>
      <c r="E140" t="inlineStr">
        <is>
          <t>Medium</t>
        </is>
      </c>
      <c r="F140" t="inlineStr">
        <is>
          <t>Auto-discovered source-quality score 44; contains dated strategic/source-page signals.</t>
        </is>
      </c>
      <c r="G140" t="inlineStr">
        <is>
          <t>Auto-discovered; review after the next crawl.</t>
        </is>
      </c>
      <c r="H140" t="inlineStr">
        <is>
          <t>Crawl as ranked source first, follow dated article cards, publications and event links, then apply normal signal gates.</t>
        </is>
      </c>
      <c r="L140" t="inlineStr">
        <is>
          <t>Discovered</t>
        </is>
      </c>
    </row>
    <row r="141">
      <c r="A141" t="inlineStr">
        <is>
          <t>GLOBUS Markthallen Holding GmbH &amp; Co. KG</t>
        </is>
      </c>
      <c r="B141" t="inlineStr">
        <is>
          <t>https://www.globus.de/bobenheim-roxheim/aktuelles.php</t>
        </is>
      </c>
      <c r="C141" t="inlineStr">
        <is>
          <t>Discovered source page</t>
        </is>
      </c>
      <c r="D141" t="inlineStr">
        <is>
          <t>Medium</t>
        </is>
      </c>
      <c r="E141" t="inlineStr">
        <is>
          <t>Medium</t>
        </is>
      </c>
      <c r="F141" t="inlineStr">
        <is>
          <t>Auto-discovered source-quality score 32; contains dated strategic/source-page signals.</t>
        </is>
      </c>
      <c r="G141" t="inlineStr">
        <is>
          <t>Auto-discovered; review after the next crawl.</t>
        </is>
      </c>
      <c r="H141" t="inlineStr">
        <is>
          <t>Crawl as ranked source first, follow dated article cards, publications and event links, then apply normal signal gates.</t>
        </is>
      </c>
      <c r="L141" t="inlineStr">
        <is>
          <t>Discovered</t>
        </is>
      </c>
    </row>
    <row r="142">
      <c r="A142" t="inlineStr">
        <is>
          <t>GLOBUS Markthallen Holding GmbH &amp; Co. KG</t>
        </is>
      </c>
      <c r="B142" t="inlineStr">
        <is>
          <t>https://www.globus.de/bobenheim-roxheim/unsere-veranstaltungen.php</t>
        </is>
      </c>
      <c r="C142" t="inlineStr">
        <is>
          <t>Discovered source page</t>
        </is>
      </c>
      <c r="D142" t="inlineStr">
        <is>
          <t>Medium</t>
        </is>
      </c>
      <c r="E142" t="inlineStr">
        <is>
          <t>Medium</t>
        </is>
      </c>
      <c r="F142" t="inlineStr">
        <is>
          <t>Auto-discovered source-quality score 32; contains dated strategic/source-page signals.</t>
        </is>
      </c>
      <c r="G142" t="inlineStr">
        <is>
          <t>Auto-discovered; review after the next crawl.</t>
        </is>
      </c>
      <c r="H142" t="inlineStr">
        <is>
          <t>Crawl as ranked source first, follow dated article cards, publications and event links, then apply normal signal gates.</t>
        </is>
      </c>
      <c r="L142" t="inlineStr">
        <is>
          <t>Discovered</t>
        </is>
      </c>
    </row>
    <row r="143">
      <c r="A143" t="inlineStr">
        <is>
          <t>Handwerkskammern Rheinland-Pfalz</t>
        </is>
      </c>
      <c r="B143" t="inlineStr">
        <is>
          <t>https://handwerk-rlp.de/innovation</t>
        </is>
      </c>
      <c r="C143" t="inlineStr">
        <is>
          <t>Discovered source page</t>
        </is>
      </c>
      <c r="D143" t="inlineStr">
        <is>
          <t>Medium</t>
        </is>
      </c>
      <c r="E143" t="inlineStr">
        <is>
          <t>Medium</t>
        </is>
      </c>
      <c r="F143" t="inlineStr">
        <is>
          <t>Auto-discovered source-quality score 32; contains dated strategic/source-page signals.</t>
        </is>
      </c>
      <c r="G143" t="inlineStr">
        <is>
          <t>Auto-discovered; review after the next crawl.</t>
        </is>
      </c>
      <c r="H143" t="inlineStr">
        <is>
          <t>Crawl as ranked source first, follow dated article cards, publications and event links, then apply normal signal gates.</t>
        </is>
      </c>
      <c r="L143" t="inlineStr">
        <is>
          <t>Discovered</t>
        </is>
      </c>
    </row>
    <row r="144">
      <c r="A144" t="inlineStr">
        <is>
          <t>Handwerkskammern Rheinland-Pfalz</t>
        </is>
      </c>
      <c r="B144" t="inlineStr">
        <is>
          <t>https://handwerk-rlp.de</t>
        </is>
      </c>
      <c r="C144" t="inlineStr">
        <is>
          <t>Discovered source page</t>
        </is>
      </c>
      <c r="D144" t="inlineStr">
        <is>
          <t>Medium</t>
        </is>
      </c>
      <c r="E144" t="inlineStr">
        <is>
          <t>Medium</t>
        </is>
      </c>
      <c r="F144" t="inlineStr">
        <is>
          <t>Auto-discovered source-quality score 26; contains dated strategic/source-page signals.</t>
        </is>
      </c>
      <c r="G144" t="inlineStr">
        <is>
          <t>Auto-discovered; review after the next crawl.</t>
        </is>
      </c>
      <c r="H144" t="inlineStr">
        <is>
          <t>Crawl as ranked source first, follow dated article cards, publications and event links, then apply normal signal gates.</t>
        </is>
      </c>
      <c r="L144" t="inlineStr">
        <is>
          <t>Discovered</t>
        </is>
      </c>
    </row>
    <row r="145">
      <c r="A145" t="inlineStr">
        <is>
          <t>Handwerkskammern Rheinland-Pfalz</t>
        </is>
      </c>
      <c r="B145" t="inlineStr">
        <is>
          <t>https://handwerk-rlp.de/konjunkturumfrage-fruehjahr-2026</t>
        </is>
      </c>
      <c r="C145" t="inlineStr">
        <is>
          <t>Discovered source page</t>
        </is>
      </c>
      <c r="D145" t="inlineStr">
        <is>
          <t>Medium</t>
        </is>
      </c>
      <c r="E145" t="inlineStr">
        <is>
          <t>Medium</t>
        </is>
      </c>
      <c r="F145" t="inlineStr">
        <is>
          <t>Auto-discovered source-quality score 28; contains dated strategic/source-page signals.</t>
        </is>
      </c>
      <c r="G145" t="inlineStr">
        <is>
          <t>Auto-discovered; review after the next crawl.</t>
        </is>
      </c>
      <c r="H145" t="inlineStr">
        <is>
          <t>Crawl as ranked source first, follow dated article cards, publications and event links, then apply normal signal gates.</t>
        </is>
      </c>
      <c r="L145" t="inlineStr">
        <is>
          <t>Discovered</t>
        </is>
      </c>
    </row>
    <row r="146">
      <c r="A146" t="inlineStr">
        <is>
          <t>Heberger Gruppe</t>
        </is>
      </c>
      <c r="B146" t="inlineStr">
        <is>
          <t>https://www.heberger.de</t>
        </is>
      </c>
      <c r="C146" t="inlineStr">
        <is>
          <t>Discovered source page</t>
        </is>
      </c>
      <c r="D146" t="inlineStr">
        <is>
          <t>Medium</t>
        </is>
      </c>
      <c r="E146" t="inlineStr">
        <is>
          <t>Medium</t>
        </is>
      </c>
      <c r="F146" t="inlineStr">
        <is>
          <t>Auto-discovered source-quality score 32; contains dated strategic/source-page signals.</t>
        </is>
      </c>
      <c r="G146" t="inlineStr">
        <is>
          <t>Auto-discovered; review after the next crawl.</t>
        </is>
      </c>
      <c r="H146" t="inlineStr">
        <is>
          <t>Crawl as ranked source first, follow dated article cards, publications and event links, then apply normal signal gates.</t>
        </is>
      </c>
      <c r="L146" t="inlineStr">
        <is>
          <t>Discovered</t>
        </is>
      </c>
    </row>
    <row r="147">
      <c r="A147" t="inlineStr">
        <is>
          <t>Hochschule für Gesellschaftsgestaltung (HfGG)</t>
        </is>
      </c>
      <c r="B147" t="inlineStr">
        <is>
          <t>https://www.hfgg.de/news</t>
        </is>
      </c>
      <c r="C147" t="inlineStr">
        <is>
          <t>Discovered source page</t>
        </is>
      </c>
      <c r="D147" t="inlineStr">
        <is>
          <t>High</t>
        </is>
      </c>
      <c r="E147" t="inlineStr">
        <is>
          <t>Medium</t>
        </is>
      </c>
      <c r="F147" t="inlineStr">
        <is>
          <t>Auto-discovered source-quality score 58; contains dated strategic/source-page signals.</t>
        </is>
      </c>
      <c r="G147" t="inlineStr">
        <is>
          <t>Auto-discovered; review after the next crawl.</t>
        </is>
      </c>
      <c r="H147" t="inlineStr">
        <is>
          <t>Crawl as ranked source first, follow dated article cards, publications and event links, then apply normal signal gates.</t>
        </is>
      </c>
      <c r="L147" t="inlineStr">
        <is>
          <t>Discovered</t>
        </is>
      </c>
    </row>
    <row r="148">
      <c r="A148" t="inlineStr">
        <is>
          <t>Hochschule für Gesellschaftsgestaltung (HfGG)</t>
        </is>
      </c>
      <c r="B148" t="inlineStr">
        <is>
          <t>https://www.hfgg.de/forschung</t>
        </is>
      </c>
      <c r="C148" t="inlineStr">
        <is>
          <t>Discovered source page</t>
        </is>
      </c>
      <c r="D148" t="inlineStr">
        <is>
          <t>High</t>
        </is>
      </c>
      <c r="E148" t="inlineStr">
        <is>
          <t>Medium</t>
        </is>
      </c>
      <c r="F148" t="inlineStr">
        <is>
          <t>Auto-discovered source-quality score 44; contains dated strategic/source-page signals.</t>
        </is>
      </c>
      <c r="G148" t="inlineStr">
        <is>
          <t>Auto-discovered; review after the next crawl.</t>
        </is>
      </c>
      <c r="H148" t="inlineStr">
        <is>
          <t>Crawl as ranked source first, follow dated article cards, publications and event links, then apply normal signal gates.</t>
        </is>
      </c>
      <c r="L148" t="inlineStr">
        <is>
          <t>Discovered</t>
        </is>
      </c>
    </row>
    <row r="149">
      <c r="A149" t="inlineStr">
        <is>
          <t>Hochschule für Gesellschaftsgestaltung (HfGG)</t>
        </is>
      </c>
      <c r="B149" t="inlineStr">
        <is>
          <t>https://www.hfgg.de/nachhaltigkeit</t>
        </is>
      </c>
      <c r="C149" t="inlineStr">
        <is>
          <t>Discovered source page</t>
        </is>
      </c>
      <c r="D149" t="inlineStr">
        <is>
          <t>Medium</t>
        </is>
      </c>
      <c r="E149" t="inlineStr">
        <is>
          <t>Medium</t>
        </is>
      </c>
      <c r="F149" t="inlineStr">
        <is>
          <t>Auto-discovered source-quality score 32; contains dated strategic/source-page signals.</t>
        </is>
      </c>
      <c r="G149" t="inlineStr">
        <is>
          <t>Auto-discovered; review after the next crawl.</t>
        </is>
      </c>
      <c r="H149" t="inlineStr">
        <is>
          <t>Crawl as ranked source first, follow dated article cards, publications and event links, then apply normal signal gates.</t>
        </is>
      </c>
      <c r="L149" t="inlineStr">
        <is>
          <t>Discovered</t>
        </is>
      </c>
    </row>
    <row r="150">
      <c r="A150" t="inlineStr">
        <is>
          <t>Hochschule für Gesellschaftsgestaltung (HfGG)</t>
        </is>
      </c>
      <c r="B150" t="inlineStr">
        <is>
          <t>https://www.hfgg.de/klima</t>
        </is>
      </c>
      <c r="C150" t="inlineStr">
        <is>
          <t>Discovered source page</t>
        </is>
      </c>
      <c r="D150" t="inlineStr">
        <is>
          <t>Medium</t>
        </is>
      </c>
      <c r="E150" t="inlineStr">
        <is>
          <t>Medium</t>
        </is>
      </c>
      <c r="F150" t="inlineStr">
        <is>
          <t>Auto-discovered source-quality score 38; contains dated strategic/source-page signals.</t>
        </is>
      </c>
      <c r="G150" t="inlineStr">
        <is>
          <t>Auto-discovered; review after the next crawl.</t>
        </is>
      </c>
      <c r="H150" t="inlineStr">
        <is>
          <t>Crawl as ranked source first, follow dated article cards, publications and event links, then apply normal signal gates.</t>
        </is>
      </c>
      <c r="L150" t="inlineStr">
        <is>
          <t>Discovered</t>
        </is>
      </c>
    </row>
    <row r="151">
      <c r="A151" t="inlineStr">
        <is>
          <t>Hochschule für Gesellschaftsgestaltung (HfGG)</t>
        </is>
      </c>
      <c r="B151" t="inlineStr">
        <is>
          <t>https://www.hfgg.de/de/news</t>
        </is>
      </c>
      <c r="C151" t="inlineStr">
        <is>
          <t>Discovered source page</t>
        </is>
      </c>
      <c r="D151" t="inlineStr">
        <is>
          <t>High</t>
        </is>
      </c>
      <c r="E151" t="inlineStr">
        <is>
          <t>Medium</t>
        </is>
      </c>
      <c r="F151" t="inlineStr">
        <is>
          <t>Auto-discovered source-quality score 58; contains dated strategic/source-page signals.</t>
        </is>
      </c>
      <c r="G151" t="inlineStr">
        <is>
          <t>Auto-discovered; review after the next crawl.</t>
        </is>
      </c>
      <c r="H151" t="inlineStr">
        <is>
          <t>Crawl as ranked source first, follow dated article cards, publications and event links, then apply normal signal gates.</t>
        </is>
      </c>
      <c r="L151" t="inlineStr">
        <is>
          <t>Discovered</t>
        </is>
      </c>
    </row>
    <row r="152">
      <c r="A152" t="inlineStr">
        <is>
          <t>Hochschule für Gesellschaftsgestaltung (HfGG)</t>
        </is>
      </c>
      <c r="B152" t="inlineStr">
        <is>
          <t>https://www.hfgg.de/events</t>
        </is>
      </c>
      <c r="C152" t="inlineStr">
        <is>
          <t>Discovered source page</t>
        </is>
      </c>
      <c r="D152" t="inlineStr">
        <is>
          <t>High</t>
        </is>
      </c>
      <c r="E152" t="inlineStr">
        <is>
          <t>Medium</t>
        </is>
      </c>
      <c r="F152" t="inlineStr">
        <is>
          <t>Auto-discovered source-quality score 58; contains dated strategic/source-page signals.</t>
        </is>
      </c>
      <c r="G152" t="inlineStr">
        <is>
          <t>Auto-discovered; review after the next crawl.</t>
        </is>
      </c>
      <c r="H152" t="inlineStr">
        <is>
          <t>Crawl as ranked source first, follow dated article cards, publications and event links, then apply normal signal gates.</t>
        </is>
      </c>
      <c r="L152" t="inlineStr">
        <is>
          <t>Discovered</t>
        </is>
      </c>
    </row>
    <row r="153">
      <c r="A153" t="inlineStr">
        <is>
          <t>Hochschule für Gesellschaftsgestaltung (HfGG)</t>
        </is>
      </c>
      <c r="B153" t="inlineStr">
        <is>
          <t>https://www.hfgg.de</t>
        </is>
      </c>
      <c r="C153" t="inlineStr">
        <is>
          <t>Discovered source page</t>
        </is>
      </c>
      <c r="D153" t="inlineStr">
        <is>
          <t>High</t>
        </is>
      </c>
      <c r="E153" t="inlineStr">
        <is>
          <t>Medium</t>
        </is>
      </c>
      <c r="F153" t="inlineStr">
        <is>
          <t>Auto-discovered source-quality score 60; contains dated strategic/source-page signals.</t>
        </is>
      </c>
      <c r="G153" t="inlineStr">
        <is>
          <t>Auto-discovered; review after the next crawl.</t>
        </is>
      </c>
      <c r="H153" t="inlineStr">
        <is>
          <t>Crawl as ranked source first, follow dated article cards, publications and event links, then apply normal signal gates.</t>
        </is>
      </c>
      <c r="L153" t="inlineStr">
        <is>
          <t>Discovered</t>
        </is>
      </c>
    </row>
    <row r="154">
      <c r="A154" t="inlineStr">
        <is>
          <t>Hochschule für Musik Mainz</t>
        </is>
      </c>
      <c r="B154" t="inlineStr">
        <is>
          <t>https://www.musik.uni-mainz.de/forschung</t>
        </is>
      </c>
      <c r="C154" t="inlineStr">
        <is>
          <t>Discovered source page</t>
        </is>
      </c>
      <c r="D154" t="inlineStr">
        <is>
          <t>Medium</t>
        </is>
      </c>
      <c r="E154" t="inlineStr">
        <is>
          <t>Medium</t>
        </is>
      </c>
      <c r="F154" t="inlineStr">
        <is>
          <t>Auto-discovered source-quality score 32; contains dated strategic/source-page signals.</t>
        </is>
      </c>
      <c r="G154" t="inlineStr">
        <is>
          <t>Auto-discovered; review after the next crawl.</t>
        </is>
      </c>
      <c r="H154" t="inlineStr">
        <is>
          <t>Crawl as ranked source first, follow dated article cards, publications and event links, then apply normal signal gates.</t>
        </is>
      </c>
      <c r="L154" t="inlineStr">
        <is>
          <t>Discovered</t>
        </is>
      </c>
    </row>
    <row r="155">
      <c r="A155" t="inlineStr">
        <is>
          <t>Hochschule für Musik Mainz</t>
        </is>
      </c>
      <c r="B155" t="inlineStr">
        <is>
          <t>https://www.musik.uni-mainz.de/veranstaltungen</t>
        </is>
      </c>
      <c r="C155" t="inlineStr">
        <is>
          <t>Discovered source page</t>
        </is>
      </c>
      <c r="D155" t="inlineStr">
        <is>
          <t>Medium</t>
        </is>
      </c>
      <c r="E155" t="inlineStr">
        <is>
          <t>Medium</t>
        </is>
      </c>
      <c r="F155" t="inlineStr">
        <is>
          <t>Auto-discovered source-quality score 32; contains dated strategic/source-page signals.</t>
        </is>
      </c>
      <c r="G155" t="inlineStr">
        <is>
          <t>Auto-discovered; review after the next crawl.</t>
        </is>
      </c>
      <c r="H155" t="inlineStr">
        <is>
          <t>Crawl as ranked source first, follow dated article cards, publications and event links, then apply normal signal gates.</t>
        </is>
      </c>
      <c r="L155" t="inlineStr">
        <is>
          <t>Discovered</t>
        </is>
      </c>
    </row>
    <row r="156">
      <c r="A156" t="inlineStr">
        <is>
          <t>Hochschule für Musik Mainz</t>
        </is>
      </c>
      <c r="B156" t="inlineStr">
        <is>
          <t>https://www.musik.uni-mainz.de/events</t>
        </is>
      </c>
      <c r="C156" t="inlineStr">
        <is>
          <t>Discovered source page</t>
        </is>
      </c>
      <c r="D156" t="inlineStr">
        <is>
          <t>Medium</t>
        </is>
      </c>
      <c r="E156" t="inlineStr">
        <is>
          <t>Medium</t>
        </is>
      </c>
      <c r="F156" t="inlineStr">
        <is>
          <t>Auto-discovered source-quality score 32; contains dated strategic/source-page signals.</t>
        </is>
      </c>
      <c r="G156" t="inlineStr">
        <is>
          <t>Auto-discovered; review after the next crawl.</t>
        </is>
      </c>
      <c r="H156" t="inlineStr">
        <is>
          <t>Crawl as ranked source first, follow dated article cards, publications and event links, then apply normal signal gates.</t>
        </is>
      </c>
      <c r="L156" t="inlineStr">
        <is>
          <t>Discovered</t>
        </is>
      </c>
    </row>
    <row r="157">
      <c r="A157" t="inlineStr">
        <is>
          <t>Hochschule Kaiserslautern</t>
        </is>
      </c>
      <c r="B157" t="inlineStr">
        <is>
          <t>https://www.hs-kl.de/forschung</t>
        </is>
      </c>
      <c r="C157" t="inlineStr">
        <is>
          <t>Discovered source page</t>
        </is>
      </c>
      <c r="D157" t="inlineStr">
        <is>
          <t>Medium</t>
        </is>
      </c>
      <c r="E157" t="inlineStr">
        <is>
          <t>Medium</t>
        </is>
      </c>
      <c r="F157" t="inlineStr">
        <is>
          <t>Auto-discovered source-quality score 32; contains dated strategic/source-page signals.</t>
        </is>
      </c>
      <c r="G157" t="inlineStr">
        <is>
          <t>Auto-discovered; review after the next crawl.</t>
        </is>
      </c>
      <c r="H157" t="inlineStr">
        <is>
          <t>Crawl as ranked source first, follow dated article cards, publications and event links, then apply normal signal gates.</t>
        </is>
      </c>
      <c r="L157" t="inlineStr">
        <is>
          <t>Discovered</t>
        </is>
      </c>
    </row>
    <row r="158">
      <c r="A158" t="inlineStr">
        <is>
          <t>Hochschule Kaiserslautern</t>
        </is>
      </c>
      <c r="B158" t="inlineStr">
        <is>
          <t>https://www.hs-kl.de/transfer</t>
        </is>
      </c>
      <c r="C158" t="inlineStr">
        <is>
          <t>Discovered source page</t>
        </is>
      </c>
      <c r="D158" t="inlineStr">
        <is>
          <t>Medium</t>
        </is>
      </c>
      <c r="E158" t="inlineStr">
        <is>
          <t>Medium</t>
        </is>
      </c>
      <c r="F158" t="inlineStr">
        <is>
          <t>Auto-discovered source-quality score 32; contains dated strategic/source-page signals.</t>
        </is>
      </c>
      <c r="G158" t="inlineStr">
        <is>
          <t>Auto-discovered; review after the next crawl.</t>
        </is>
      </c>
      <c r="H158" t="inlineStr">
        <is>
          <t>Crawl as ranked source first, follow dated article cards, publications and event links, then apply normal signal gates.</t>
        </is>
      </c>
      <c r="L158" t="inlineStr">
        <is>
          <t>Discovered</t>
        </is>
      </c>
    </row>
    <row r="159">
      <c r="A159" t="inlineStr">
        <is>
          <t>Hochschule Kaiserslautern</t>
        </is>
      </c>
      <c r="B159" t="inlineStr">
        <is>
          <t>https://www.hs-kl.de</t>
        </is>
      </c>
      <c r="C159" t="inlineStr">
        <is>
          <t>Discovered source page</t>
        </is>
      </c>
      <c r="D159" t="inlineStr">
        <is>
          <t>High</t>
        </is>
      </c>
      <c r="E159" t="inlineStr">
        <is>
          <t>Medium</t>
        </is>
      </c>
      <c r="F159" t="inlineStr">
        <is>
          <t>Auto-discovered source-quality score 48; contains dated strategic/source-page signals.</t>
        </is>
      </c>
      <c r="G159" t="inlineStr">
        <is>
          <t>Auto-discovered; review after the next crawl.</t>
        </is>
      </c>
      <c r="H159" t="inlineStr">
        <is>
          <t>Crawl as ranked source first, follow dated article cards, publications and event links, then apply normal signal gates.</t>
        </is>
      </c>
      <c r="L159" t="inlineStr">
        <is>
          <t>Discovered</t>
        </is>
      </c>
    </row>
    <row r="160">
      <c r="A160" t="inlineStr">
        <is>
          <t>Hochschule Koblenz</t>
        </is>
      </c>
      <c r="B160" t="inlineStr">
        <is>
          <t>https://www.hs-koblenz.de/forschung</t>
        </is>
      </c>
      <c r="C160" t="inlineStr">
        <is>
          <t>Discovered source page</t>
        </is>
      </c>
      <c r="D160" t="inlineStr">
        <is>
          <t>Medium</t>
        </is>
      </c>
      <c r="E160" t="inlineStr">
        <is>
          <t>Medium</t>
        </is>
      </c>
      <c r="F160" t="inlineStr">
        <is>
          <t>Auto-discovered source-quality score 32; contains dated strategic/source-page signals.</t>
        </is>
      </c>
      <c r="G160" t="inlineStr">
        <is>
          <t>Auto-discovered; review after the next crawl.</t>
        </is>
      </c>
      <c r="H160" t="inlineStr">
        <is>
          <t>Crawl as ranked source first, follow dated article cards, publications and event links, then apply normal signal gates.</t>
        </is>
      </c>
      <c r="L160" t="inlineStr">
        <is>
          <t>Discovered</t>
        </is>
      </c>
    </row>
    <row r="161">
      <c r="A161" t="inlineStr">
        <is>
          <t>Hochschule Koblenz</t>
        </is>
      </c>
      <c r="B161" t="inlineStr">
        <is>
          <t>https://www.hs-koblenz.de/transfer</t>
        </is>
      </c>
      <c r="C161" t="inlineStr">
        <is>
          <t>Discovered source page</t>
        </is>
      </c>
      <c r="D161" t="inlineStr">
        <is>
          <t>High</t>
        </is>
      </c>
      <c r="E161" t="inlineStr">
        <is>
          <t>Medium</t>
        </is>
      </c>
      <c r="F161" t="inlineStr">
        <is>
          <t>Auto-discovered source-quality score 58; contains dated strategic/source-page signals.</t>
        </is>
      </c>
      <c r="G161" t="inlineStr">
        <is>
          <t>Auto-discovered; review after the next crawl.</t>
        </is>
      </c>
      <c r="H161" t="inlineStr">
        <is>
          <t>Crawl as ranked source first, follow dated article cards, publications and event links, then apply normal signal gates.</t>
        </is>
      </c>
      <c r="L161" t="inlineStr">
        <is>
          <t>Discovered</t>
        </is>
      </c>
    </row>
    <row r="162">
      <c r="A162" t="inlineStr">
        <is>
          <t>Hochschule Koblenz</t>
        </is>
      </c>
      <c r="B162" t="inlineStr">
        <is>
          <t>https://www.hs-koblenz.de/veranstaltungen</t>
        </is>
      </c>
      <c r="C162" t="inlineStr">
        <is>
          <t>Discovered source page</t>
        </is>
      </c>
      <c r="D162" t="inlineStr">
        <is>
          <t>High</t>
        </is>
      </c>
      <c r="E162" t="inlineStr">
        <is>
          <t>Medium</t>
        </is>
      </c>
      <c r="F162" t="inlineStr">
        <is>
          <t>Auto-discovered source-quality score 58; contains dated strategic/source-page signals.</t>
        </is>
      </c>
      <c r="G162" t="inlineStr">
        <is>
          <t>Auto-discovered; review after the next crawl.</t>
        </is>
      </c>
      <c r="H162" t="inlineStr">
        <is>
          <t>Crawl as ranked source first, follow dated article cards, publications and event links, then apply normal signal gates.</t>
        </is>
      </c>
      <c r="L162" t="inlineStr">
        <is>
          <t>Discovered</t>
        </is>
      </c>
    </row>
    <row r="163">
      <c r="A163" t="inlineStr">
        <is>
          <t>Hochschule Koblenz</t>
        </is>
      </c>
      <c r="B163" t="inlineStr">
        <is>
          <t>https://www.hs-koblenz.de/presse</t>
        </is>
      </c>
      <c r="C163" t="inlineStr">
        <is>
          <t>Discovered source page</t>
        </is>
      </c>
      <c r="D163" t="inlineStr">
        <is>
          <t>High</t>
        </is>
      </c>
      <c r="E163" t="inlineStr">
        <is>
          <t>Medium</t>
        </is>
      </c>
      <c r="F163" t="inlineStr">
        <is>
          <t>Auto-discovered source-quality score 48; contains dated strategic/source-page signals.</t>
        </is>
      </c>
      <c r="G163" t="inlineStr">
        <is>
          <t>Auto-discovered; review after the next crawl.</t>
        </is>
      </c>
      <c r="H163" t="inlineStr">
        <is>
          <t>Crawl as ranked source first, follow dated article cards, publications and event links, then apply normal signal gates.</t>
        </is>
      </c>
      <c r="L163" t="inlineStr">
        <is>
          <t>Discovered</t>
        </is>
      </c>
    </row>
    <row r="164">
      <c r="A164" t="inlineStr">
        <is>
          <t>Hochschule Koblenz</t>
        </is>
      </c>
      <c r="B164" t="inlineStr">
        <is>
          <t>https://www.hs-koblenz.de/newsroom</t>
        </is>
      </c>
      <c r="C164" t="inlineStr">
        <is>
          <t>Discovered source page</t>
        </is>
      </c>
      <c r="D164" t="inlineStr">
        <is>
          <t>Medium</t>
        </is>
      </c>
      <c r="E164" t="inlineStr">
        <is>
          <t>Medium</t>
        </is>
      </c>
      <c r="F164" t="inlineStr">
        <is>
          <t>Auto-discovered source-quality score 32; contains dated strategic/source-page signals.</t>
        </is>
      </c>
      <c r="G164" t="inlineStr">
        <is>
          <t>Auto-discovered; review after the next crawl.</t>
        </is>
      </c>
      <c r="H164" t="inlineStr">
        <is>
          <t>Crawl as ranked source first, follow dated article cards, publications and event links, then apply normal signal gates.</t>
        </is>
      </c>
      <c r="L164" t="inlineStr">
        <is>
          <t>Discovered</t>
        </is>
      </c>
    </row>
    <row r="165">
      <c r="A165" t="inlineStr">
        <is>
          <t>Hochschule Koblenz</t>
        </is>
      </c>
      <c r="B165" t="inlineStr">
        <is>
          <t>https://www.hs-koblenz.de</t>
        </is>
      </c>
      <c r="C165" t="inlineStr">
        <is>
          <t>Discovered source page</t>
        </is>
      </c>
      <c r="D165" t="inlineStr">
        <is>
          <t>High</t>
        </is>
      </c>
      <c r="E165" t="inlineStr">
        <is>
          <t>Medium</t>
        </is>
      </c>
      <c r="F165" t="inlineStr">
        <is>
          <t>Auto-discovered source-quality score 58; contains dated strategic/source-page signals.</t>
        </is>
      </c>
      <c r="G165" t="inlineStr">
        <is>
          <t>Auto-discovered; review after the next crawl.</t>
        </is>
      </c>
      <c r="H165" t="inlineStr">
        <is>
          <t>Crawl as ranked source first, follow dated article cards, publications and event links, then apply normal signal gates.</t>
        </is>
      </c>
      <c r="L165" t="inlineStr">
        <is>
          <t>Discovered</t>
        </is>
      </c>
    </row>
    <row r="166">
      <c r="A166" t="inlineStr">
        <is>
          <t>Hochschule Mainz</t>
        </is>
      </c>
      <c r="B166" t="inlineStr">
        <is>
          <t>https://www.hs-mainz.de/news</t>
        </is>
      </c>
      <c r="C166" t="inlineStr">
        <is>
          <t>Discovered source page</t>
        </is>
      </c>
      <c r="D166" t="inlineStr">
        <is>
          <t>Medium</t>
        </is>
      </c>
      <c r="E166" t="inlineStr">
        <is>
          <t>Medium</t>
        </is>
      </c>
      <c r="F166" t="inlineStr">
        <is>
          <t>Auto-discovered source-quality score 24; contains dated strategic/source-page signals.</t>
        </is>
      </c>
      <c r="G166" t="inlineStr">
        <is>
          <t>Auto-discovered; review after the next crawl.</t>
        </is>
      </c>
      <c r="H166" t="inlineStr">
        <is>
          <t>Crawl as ranked source first, follow dated article cards, publications and event links, then apply normal signal gates.</t>
        </is>
      </c>
      <c r="L166" t="inlineStr">
        <is>
          <t>Discovered</t>
        </is>
      </c>
    </row>
    <row r="167">
      <c r="A167" t="inlineStr">
        <is>
          <t>Hochschule Mainz</t>
        </is>
      </c>
      <c r="B167" t="inlineStr">
        <is>
          <t>https://www.hs-mainz.de/forschung</t>
        </is>
      </c>
      <c r="C167" t="inlineStr">
        <is>
          <t>Discovered source page</t>
        </is>
      </c>
      <c r="D167" t="inlineStr">
        <is>
          <t>Medium</t>
        </is>
      </c>
      <c r="E167" t="inlineStr">
        <is>
          <t>Medium</t>
        </is>
      </c>
      <c r="F167" t="inlineStr">
        <is>
          <t>Auto-discovered source-quality score 32; contains dated strategic/source-page signals.</t>
        </is>
      </c>
      <c r="G167" t="inlineStr">
        <is>
          <t>Auto-discovered; review after the next crawl.</t>
        </is>
      </c>
      <c r="H167" t="inlineStr">
        <is>
          <t>Crawl as ranked source first, follow dated article cards, publications and event links, then apply normal signal gates.</t>
        </is>
      </c>
      <c r="L167" t="inlineStr">
        <is>
          <t>Discovered</t>
        </is>
      </c>
    </row>
    <row r="168">
      <c r="A168" t="inlineStr">
        <is>
          <t>Hochschule Mainz</t>
        </is>
      </c>
      <c r="B168" t="inlineStr">
        <is>
          <t>https://www.hs-mainz.de</t>
        </is>
      </c>
      <c r="C168" t="inlineStr">
        <is>
          <t>Discovered source page</t>
        </is>
      </c>
      <c r="D168" t="inlineStr">
        <is>
          <t>High</t>
        </is>
      </c>
      <c r="E168" t="inlineStr">
        <is>
          <t>Medium</t>
        </is>
      </c>
      <c r="F168" t="inlineStr">
        <is>
          <t>Auto-discovered source-quality score 48; contains dated strategic/source-page signals.</t>
        </is>
      </c>
      <c r="G168" t="inlineStr">
        <is>
          <t>Auto-discovered; review after the next crawl.</t>
        </is>
      </c>
      <c r="H168" t="inlineStr">
        <is>
          <t>Crawl as ranked source first, follow dated article cards, publications and event links, then apply normal signal gates.</t>
        </is>
      </c>
      <c r="L168" t="inlineStr">
        <is>
          <t>Discovered</t>
        </is>
      </c>
    </row>
    <row r="169">
      <c r="A169" t="inlineStr">
        <is>
          <t>Hochschule Trier</t>
        </is>
      </c>
      <c r="B169" t="inlineStr">
        <is>
          <t>https://www.hochschule-trier.de/news</t>
        </is>
      </c>
      <c r="C169" t="inlineStr">
        <is>
          <t>Discovered source page</t>
        </is>
      </c>
      <c r="D169" t="inlineStr">
        <is>
          <t>High</t>
        </is>
      </c>
      <c r="E169" t="inlineStr">
        <is>
          <t>Medium</t>
        </is>
      </c>
      <c r="F169" t="inlineStr">
        <is>
          <t>Auto-discovered source-quality score 66; contains dated strategic/source-page signals.</t>
        </is>
      </c>
      <c r="G169" t="inlineStr">
        <is>
          <t>Auto-discovered; review after the next crawl.</t>
        </is>
      </c>
      <c r="H169" t="inlineStr">
        <is>
          <t>Crawl as ranked source first, follow dated article cards, publications and event links, then apply normal signal gates.</t>
        </is>
      </c>
      <c r="L169" t="inlineStr">
        <is>
          <t>Discovered</t>
        </is>
      </c>
    </row>
    <row r="170">
      <c r="A170" t="inlineStr">
        <is>
          <t>Hochschule Trier</t>
        </is>
      </c>
      <c r="B170" t="inlineStr">
        <is>
          <t>https://www.hochschule-trier.de/forschung</t>
        </is>
      </c>
      <c r="C170" t="inlineStr">
        <is>
          <t>Discovered source page</t>
        </is>
      </c>
      <c r="D170" t="inlineStr">
        <is>
          <t>Medium</t>
        </is>
      </c>
      <c r="E170" t="inlineStr">
        <is>
          <t>Medium</t>
        </is>
      </c>
      <c r="F170" t="inlineStr">
        <is>
          <t>Auto-discovered source-quality score 32; contains dated strategic/source-page signals.</t>
        </is>
      </c>
      <c r="G170" t="inlineStr">
        <is>
          <t>Auto-discovered; review after the next crawl.</t>
        </is>
      </c>
      <c r="H170" t="inlineStr">
        <is>
          <t>Crawl as ranked source first, follow dated article cards, publications and event links, then apply normal signal gates.</t>
        </is>
      </c>
      <c r="L170" t="inlineStr">
        <is>
          <t>Discovered</t>
        </is>
      </c>
    </row>
    <row r="171">
      <c r="A171" t="inlineStr">
        <is>
          <t>Hochschule Trier</t>
        </is>
      </c>
      <c r="B171" t="inlineStr">
        <is>
          <t>https://www.hochschule-trier.de</t>
        </is>
      </c>
      <c r="C171" t="inlineStr">
        <is>
          <t>Discovered source page</t>
        </is>
      </c>
      <c r="D171" t="inlineStr">
        <is>
          <t>High</t>
        </is>
      </c>
      <c r="E171" t="inlineStr">
        <is>
          <t>Medium</t>
        </is>
      </c>
      <c r="F171" t="inlineStr">
        <is>
          <t>Auto-discovered source-quality score 66; contains dated strategic/source-page signals.</t>
        </is>
      </c>
      <c r="G171" t="inlineStr">
        <is>
          <t>Auto-discovered; review after the next crawl.</t>
        </is>
      </c>
      <c r="H171" t="inlineStr">
        <is>
          <t>Crawl as ranked source first, follow dated article cards, publications and event links, then apply normal signal gates.</t>
        </is>
      </c>
      <c r="L171" t="inlineStr">
        <is>
          <t>Discovered</t>
        </is>
      </c>
    </row>
    <row r="172">
      <c r="A172" t="inlineStr">
        <is>
          <t>Hochschule Worms</t>
        </is>
      </c>
      <c r="B172" t="inlineStr">
        <is>
          <t>https://www.hs-worms.de/forschung</t>
        </is>
      </c>
      <c r="C172" t="inlineStr">
        <is>
          <t>Discovered source page</t>
        </is>
      </c>
      <c r="D172" t="inlineStr">
        <is>
          <t>Medium</t>
        </is>
      </c>
      <c r="E172" t="inlineStr">
        <is>
          <t>Medium</t>
        </is>
      </c>
      <c r="F172" t="inlineStr">
        <is>
          <t>Auto-discovered source-quality score 24; contains dated strategic/source-page signals.</t>
        </is>
      </c>
      <c r="G172" t="inlineStr">
        <is>
          <t>Auto-discovered; review after the next crawl.</t>
        </is>
      </c>
      <c r="H172" t="inlineStr">
        <is>
          <t>Crawl as ranked source first, follow dated article cards, publications and event links, then apply normal signal gates.</t>
        </is>
      </c>
      <c r="L172" t="inlineStr">
        <is>
          <t>Discovered</t>
        </is>
      </c>
    </row>
    <row r="173">
      <c r="A173" t="inlineStr">
        <is>
          <t>Hochschule Worms</t>
        </is>
      </c>
      <c r="B173" t="inlineStr">
        <is>
          <t>https://www.hs-worms.de/transfer</t>
        </is>
      </c>
      <c r="C173" t="inlineStr">
        <is>
          <t>Discovered source page</t>
        </is>
      </c>
      <c r="D173" t="inlineStr">
        <is>
          <t>Medium</t>
        </is>
      </c>
      <c r="E173" t="inlineStr">
        <is>
          <t>Medium</t>
        </is>
      </c>
      <c r="F173" t="inlineStr">
        <is>
          <t>Auto-discovered source-quality score 32; contains dated strategic/source-page signals.</t>
        </is>
      </c>
      <c r="G173" t="inlineStr">
        <is>
          <t>Auto-discovered; review after the next crawl.</t>
        </is>
      </c>
      <c r="H173" t="inlineStr">
        <is>
          <t>Crawl as ranked source first, follow dated article cards, publications and event links, then apply normal signal gates.</t>
        </is>
      </c>
      <c r="L173" t="inlineStr">
        <is>
          <t>Discovered</t>
        </is>
      </c>
    </row>
    <row r="174">
      <c r="A174" t="inlineStr">
        <is>
          <t>Hochschule Worms</t>
        </is>
      </c>
      <c r="B174" t="inlineStr">
        <is>
          <t>https://www.hs-worms.de/publikationen</t>
        </is>
      </c>
      <c r="C174" t="inlineStr">
        <is>
          <t>Discovered source page</t>
        </is>
      </c>
      <c r="D174" t="inlineStr">
        <is>
          <t>High</t>
        </is>
      </c>
      <c r="E174" t="inlineStr">
        <is>
          <t>Medium</t>
        </is>
      </c>
      <c r="F174" t="inlineStr">
        <is>
          <t>Auto-discovered source-quality score 62; contains dated strategic/source-page signals.</t>
        </is>
      </c>
      <c r="G174" t="inlineStr">
        <is>
          <t>Auto-discovered; review after the next crawl.</t>
        </is>
      </c>
      <c r="H174" t="inlineStr">
        <is>
          <t>Crawl as ranked source first, follow dated article cards, publications and event links, then apply normal signal gates.</t>
        </is>
      </c>
      <c r="L174" t="inlineStr">
        <is>
          <t>Discovered</t>
        </is>
      </c>
    </row>
    <row r="175">
      <c r="A175" t="inlineStr">
        <is>
          <t>Hochschule Worms</t>
        </is>
      </c>
      <c r="B175" t="inlineStr">
        <is>
          <t>https://www.hs-worms.de/nachhaltigkeit</t>
        </is>
      </c>
      <c r="C175" t="inlineStr">
        <is>
          <t>Discovered source page</t>
        </is>
      </c>
      <c r="D175" t="inlineStr">
        <is>
          <t>High</t>
        </is>
      </c>
      <c r="E175" t="inlineStr">
        <is>
          <t>Medium</t>
        </is>
      </c>
      <c r="F175" t="inlineStr">
        <is>
          <t>Auto-discovered source-quality score 48; contains dated strategic/source-page signals.</t>
        </is>
      </c>
      <c r="G175" t="inlineStr">
        <is>
          <t>Auto-discovered; review after the next crawl.</t>
        </is>
      </c>
      <c r="H175" t="inlineStr">
        <is>
          <t>Crawl as ranked source first, follow dated article cards, publications and event links, then apply normal signal gates.</t>
        </is>
      </c>
      <c r="L175" t="inlineStr">
        <is>
          <t>Discovered</t>
        </is>
      </c>
    </row>
    <row r="176">
      <c r="A176" t="inlineStr">
        <is>
          <t>Hochschule Worms</t>
        </is>
      </c>
      <c r="B176" t="inlineStr">
        <is>
          <t>https://www.hs-worms.de</t>
        </is>
      </c>
      <c r="C176" t="inlineStr">
        <is>
          <t>Discovered source page</t>
        </is>
      </c>
      <c r="D176" t="inlineStr">
        <is>
          <t>High</t>
        </is>
      </c>
      <c r="E176" t="inlineStr">
        <is>
          <t>Medium</t>
        </is>
      </c>
      <c r="F176" t="inlineStr">
        <is>
          <t>Auto-discovered source-quality score 66; contains dated strategic/source-page signals.</t>
        </is>
      </c>
      <c r="G176" t="inlineStr">
        <is>
          <t>Auto-discovered; review after the next crawl.</t>
        </is>
      </c>
      <c r="H176" t="inlineStr">
        <is>
          <t>Crawl as ranked source first, follow dated article cards, publications and event links, then apply normal signal gates.</t>
        </is>
      </c>
      <c r="L176" t="inlineStr">
        <is>
          <t>Discovered</t>
        </is>
      </c>
    </row>
    <row r="177">
      <c r="A177" t="inlineStr">
        <is>
          <t>IKK Südwest</t>
        </is>
      </c>
      <c r="B177" t="inlineStr">
        <is>
          <t>https://www.ikk-suedwest.de/presse</t>
        </is>
      </c>
      <c r="C177" t="inlineStr">
        <is>
          <t>Discovered source page</t>
        </is>
      </c>
      <c r="D177" t="inlineStr">
        <is>
          <t>Medium</t>
        </is>
      </c>
      <c r="E177" t="inlineStr">
        <is>
          <t>Medium</t>
        </is>
      </c>
      <c r="F177" t="inlineStr">
        <is>
          <t>Auto-discovered source-quality score 32; contains dated strategic/source-page signals.</t>
        </is>
      </c>
      <c r="G177" t="inlineStr">
        <is>
          <t>Auto-discovered; review after the next crawl.</t>
        </is>
      </c>
      <c r="H177" t="inlineStr">
        <is>
          <t>Crawl as ranked source first, follow dated article cards, publications and event links, then apply normal signal gates.</t>
        </is>
      </c>
      <c r="L177" t="inlineStr">
        <is>
          <t>Discovered</t>
        </is>
      </c>
    </row>
    <row r="178">
      <c r="A178" t="inlineStr">
        <is>
          <t>IKK Südwest</t>
        </is>
      </c>
      <c r="B178" t="inlineStr">
        <is>
          <t>https://www.ikk-suedwest.de/unternehmen/presse</t>
        </is>
      </c>
      <c r="C178" t="inlineStr">
        <is>
          <t>Discovered source page</t>
        </is>
      </c>
      <c r="D178" t="inlineStr">
        <is>
          <t>Medium</t>
        </is>
      </c>
      <c r="E178" t="inlineStr">
        <is>
          <t>Medium</t>
        </is>
      </c>
      <c r="F178" t="inlineStr">
        <is>
          <t>Auto-discovered source-quality score 32; contains dated strategic/source-page signals.</t>
        </is>
      </c>
      <c r="G178" t="inlineStr">
        <is>
          <t>Auto-discovered; review after the next crawl.</t>
        </is>
      </c>
      <c r="H178" t="inlineStr">
        <is>
          <t>Crawl as ranked source first, follow dated article cards, publications and event links, then apply normal signal gates.</t>
        </is>
      </c>
      <c r="L178" t="inlineStr">
        <is>
          <t>Discovered</t>
        </is>
      </c>
    </row>
    <row r="179">
      <c r="A179" t="inlineStr">
        <is>
          <t>IKK Südwest</t>
        </is>
      </c>
      <c r="B179" t="inlineStr">
        <is>
          <t>https://www.ikk-suedwest.de/de/presse</t>
        </is>
      </c>
      <c r="C179" t="inlineStr">
        <is>
          <t>Discovered source page</t>
        </is>
      </c>
      <c r="D179" t="inlineStr">
        <is>
          <t>Medium</t>
        </is>
      </c>
      <c r="E179" t="inlineStr">
        <is>
          <t>Medium</t>
        </is>
      </c>
      <c r="F179" t="inlineStr">
        <is>
          <t>Auto-discovered source-quality score 32; contains dated strategic/source-page signals.</t>
        </is>
      </c>
      <c r="G179" t="inlineStr">
        <is>
          <t>Auto-discovered; review after the next crawl.</t>
        </is>
      </c>
      <c r="H179" t="inlineStr">
        <is>
          <t>Crawl as ranked source first, follow dated article cards, publications and event links, then apply normal signal gates.</t>
        </is>
      </c>
      <c r="L179" t="inlineStr">
        <is>
          <t>Discovered</t>
        </is>
      </c>
    </row>
    <row r="180">
      <c r="A180" t="inlineStr">
        <is>
          <t>Ingenieurkammer Rheinland-Pfalz</t>
        </is>
      </c>
      <c r="B180" t="inlineStr">
        <is>
          <t>https://www.ing-rlp.de</t>
        </is>
      </c>
      <c r="C180" t="inlineStr">
        <is>
          <t>Discovered source page</t>
        </is>
      </c>
      <c r="D180" t="inlineStr">
        <is>
          <t>Medium</t>
        </is>
      </c>
      <c r="E180" t="inlineStr">
        <is>
          <t>Medium</t>
        </is>
      </c>
      <c r="F180" t="inlineStr">
        <is>
          <t>Auto-discovered source-quality score 26; contains dated strategic/source-page signals.</t>
        </is>
      </c>
      <c r="G180" t="inlineStr">
        <is>
          <t>Auto-discovered; review after the next crawl.</t>
        </is>
      </c>
      <c r="H180" t="inlineStr">
        <is>
          <t>Crawl as ranked source first, follow dated article cards, publications and event links, then apply normal signal gates.</t>
        </is>
      </c>
      <c r="L180" t="inlineStr">
        <is>
          <t>Discovered</t>
        </is>
      </c>
    </row>
    <row r="181">
      <c r="A181" t="inlineStr">
        <is>
          <t>Investitions- und Strukturbank Rheinland-Pfalz (ISB)</t>
        </is>
      </c>
      <c r="B181" t="inlineStr">
        <is>
          <t>https://www.isb.rlp.de/aktuelles/news</t>
        </is>
      </c>
      <c r="C181" t="inlineStr">
        <is>
          <t>Discovered source page</t>
        </is>
      </c>
      <c r="D181" t="inlineStr">
        <is>
          <t>High</t>
        </is>
      </c>
      <c r="E181" t="inlineStr">
        <is>
          <t>Medium</t>
        </is>
      </c>
      <c r="F181" t="inlineStr">
        <is>
          <t>Auto-discovered source-quality score 88; contains dated strategic/source-page signals.</t>
        </is>
      </c>
      <c r="G181" t="inlineStr">
        <is>
          <t>Auto-discovered; review after the next crawl.</t>
        </is>
      </c>
      <c r="H181" t="inlineStr">
        <is>
          <t>Crawl as ranked source first, follow dated article cards, publications and event links, then apply normal signal gates.</t>
        </is>
      </c>
      <c r="L181" t="inlineStr">
        <is>
          <t>Discovered</t>
        </is>
      </c>
    </row>
    <row r="182">
      <c r="A182" t="inlineStr">
        <is>
          <t>Investitions- und Strukturbank Rheinland-Pfalz (ISB)</t>
        </is>
      </c>
      <c r="B182" t="inlineStr">
        <is>
          <t>https://www.isb.rlp.de/unwetterhilfen</t>
        </is>
      </c>
      <c r="C182" t="inlineStr">
        <is>
          <t>Discovered source page</t>
        </is>
      </c>
      <c r="D182" t="inlineStr">
        <is>
          <t>High</t>
        </is>
      </c>
      <c r="E182" t="inlineStr">
        <is>
          <t>Medium</t>
        </is>
      </c>
      <c r="F182" t="inlineStr">
        <is>
          <t>Auto-discovered source-quality score 60; contains dated strategic/source-page signals.</t>
        </is>
      </c>
      <c r="G182" t="inlineStr">
        <is>
          <t>Auto-discovered; review after the next crawl.</t>
        </is>
      </c>
      <c r="H182" t="inlineStr">
        <is>
          <t>Crawl as ranked source first, follow dated article cards, publications and event links, then apply normal signal gates.</t>
        </is>
      </c>
      <c r="L182" t="inlineStr">
        <is>
          <t>Discovered</t>
        </is>
      </c>
    </row>
    <row r="183">
      <c r="A183" t="inlineStr">
        <is>
          <t>Investitions- und Strukturbank Rheinland-Pfalz (ISB)</t>
        </is>
      </c>
      <c r="B183" t="inlineStr">
        <is>
          <t>https://www.isb.rlp.de/aktuelles</t>
        </is>
      </c>
      <c r="C183" t="inlineStr">
        <is>
          <t>Discovered source page</t>
        </is>
      </c>
      <c r="D183" t="inlineStr">
        <is>
          <t>High</t>
        </is>
      </c>
      <c r="E183" t="inlineStr">
        <is>
          <t>Medium</t>
        </is>
      </c>
      <c r="F183" t="inlineStr">
        <is>
          <t>Auto-discovered source-quality score 88; contains dated strategic/source-page signals.</t>
        </is>
      </c>
      <c r="G183" t="inlineStr">
        <is>
          <t>Auto-discovered; review after the next crawl.</t>
        </is>
      </c>
      <c r="H183" t="inlineStr">
        <is>
          <t>Crawl as ranked source first, follow dated article cards, publications and event links, then apply normal signal gates.</t>
        </is>
      </c>
      <c r="L183" t="inlineStr">
        <is>
          <t>Discovered</t>
        </is>
      </c>
    </row>
    <row r="184">
      <c r="A184" t="inlineStr">
        <is>
          <t>IQIB - Institut für qualifizierende Innovationsforschung und -beratung GmbH</t>
        </is>
      </c>
      <c r="B184" t="inlineStr">
        <is>
          <t>https://www.iqib.de</t>
        </is>
      </c>
      <c r="C184" t="inlineStr">
        <is>
          <t>Discovered source page</t>
        </is>
      </c>
      <c r="D184" t="inlineStr">
        <is>
          <t>High</t>
        </is>
      </c>
      <c r="E184" t="inlineStr">
        <is>
          <t>Medium</t>
        </is>
      </c>
      <c r="F184" t="inlineStr">
        <is>
          <t>Auto-discovered source-quality score 48; contains dated strategic/source-page signals.</t>
        </is>
      </c>
      <c r="G184" t="inlineStr">
        <is>
          <t>Auto-discovered; review after the next crawl.</t>
        </is>
      </c>
      <c r="H184" t="inlineStr">
        <is>
          <t>Crawl as ranked source first, follow dated article cards, publications and event links, then apply normal signal gates.</t>
        </is>
      </c>
      <c r="L184" t="inlineStr">
        <is>
          <t>Discovered</t>
        </is>
      </c>
    </row>
    <row r="185">
      <c r="A185" t="inlineStr">
        <is>
          <t>ITK Engineering GmbH</t>
        </is>
      </c>
      <c r="B185" t="inlineStr">
        <is>
          <t>https://www.itk-engineering.de/events</t>
        </is>
      </c>
      <c r="C185" t="inlineStr">
        <is>
          <t>Discovered source page</t>
        </is>
      </c>
      <c r="D185" t="inlineStr">
        <is>
          <t>Medium</t>
        </is>
      </c>
      <c r="E185" t="inlineStr">
        <is>
          <t>Medium</t>
        </is>
      </c>
      <c r="F185" t="inlineStr">
        <is>
          <t>Auto-discovered source-quality score 32; contains dated strategic/source-page signals.</t>
        </is>
      </c>
      <c r="G185" t="inlineStr">
        <is>
          <t>Auto-discovered; review after the next crawl.</t>
        </is>
      </c>
      <c r="H185" t="inlineStr">
        <is>
          <t>Crawl as ranked source first, follow dated article cards, publications and event links, then apply normal signal gates.</t>
        </is>
      </c>
      <c r="L185" t="inlineStr">
        <is>
          <t>Discovered</t>
        </is>
      </c>
    </row>
    <row r="186">
      <c r="A186" t="inlineStr">
        <is>
          <t>ITK Engineering GmbH</t>
        </is>
      </c>
      <c r="B186" t="inlineStr">
        <is>
          <t>https://www.itk-engineering.de/presse</t>
        </is>
      </c>
      <c r="C186" t="inlineStr">
        <is>
          <t>Discovered source page</t>
        </is>
      </c>
      <c r="D186" t="inlineStr">
        <is>
          <t>Medium</t>
        </is>
      </c>
      <c r="E186" t="inlineStr">
        <is>
          <t>Medium</t>
        </is>
      </c>
      <c r="F186" t="inlineStr">
        <is>
          <t>Auto-discovered source-quality score 28; contains dated strategic/source-page signals.</t>
        </is>
      </c>
      <c r="G186" t="inlineStr">
        <is>
          <t>Auto-discovered; review after the next crawl.</t>
        </is>
      </c>
      <c r="H186" t="inlineStr">
        <is>
          <t>Crawl as ranked source first, follow dated article cards, publications and event links, then apply normal signal gates.</t>
        </is>
      </c>
      <c r="L186" t="inlineStr">
        <is>
          <t>Discovered</t>
        </is>
      </c>
    </row>
    <row r="187">
      <c r="A187" t="inlineStr">
        <is>
          <t>ITK Engineering GmbH</t>
        </is>
      </c>
      <c r="B187" t="inlineStr">
        <is>
          <t>https://www.itk-engineering.de/news</t>
        </is>
      </c>
      <c r="C187" t="inlineStr">
        <is>
          <t>Discovered source page</t>
        </is>
      </c>
      <c r="D187" t="inlineStr">
        <is>
          <t>Medium</t>
        </is>
      </c>
      <c r="E187" t="inlineStr">
        <is>
          <t>Medium</t>
        </is>
      </c>
      <c r="F187" t="inlineStr">
        <is>
          <t>Auto-discovered source-quality score 38; contains dated strategic/source-page signals.</t>
        </is>
      </c>
      <c r="G187" t="inlineStr">
        <is>
          <t>Auto-discovered; review after the next crawl.</t>
        </is>
      </c>
      <c r="H187" t="inlineStr">
        <is>
          <t>Crawl as ranked source first, follow dated article cards, publications and event links, then apply normal signal gates.</t>
        </is>
      </c>
      <c r="L187" t="inlineStr">
        <is>
          <t>Discovered</t>
        </is>
      </c>
    </row>
    <row r="188">
      <c r="A188" t="inlineStr">
        <is>
          <t>ITK Engineering GmbH</t>
        </is>
      </c>
      <c r="B188" t="inlineStr">
        <is>
          <t>https://www.itk-engineering.de/unternehmen/presse</t>
        </is>
      </c>
      <c r="C188" t="inlineStr">
        <is>
          <t>Discovered source page</t>
        </is>
      </c>
      <c r="D188" t="inlineStr">
        <is>
          <t>Medium</t>
        </is>
      </c>
      <c r="E188" t="inlineStr">
        <is>
          <t>Medium</t>
        </is>
      </c>
      <c r="F188" t="inlineStr">
        <is>
          <t>Auto-discovered source-quality score 38; contains dated strategic/source-page signals.</t>
        </is>
      </c>
      <c r="G188" t="inlineStr">
        <is>
          <t>Auto-discovered; review after the next crawl.</t>
        </is>
      </c>
      <c r="H188" t="inlineStr">
        <is>
          <t>Crawl as ranked source first, follow dated article cards, publications and event links, then apply normal signal gates.</t>
        </is>
      </c>
      <c r="L188" t="inlineStr">
        <is>
          <t>Discovered</t>
        </is>
      </c>
    </row>
    <row r="189">
      <c r="A189" t="inlineStr">
        <is>
          <t>ITK Engineering GmbH</t>
        </is>
      </c>
      <c r="B189" t="inlineStr">
        <is>
          <t>https://www.itk-engineering.de/de/presse</t>
        </is>
      </c>
      <c r="C189" t="inlineStr">
        <is>
          <t>Discovered source page</t>
        </is>
      </c>
      <c r="D189" t="inlineStr">
        <is>
          <t>Medium</t>
        </is>
      </c>
      <c r="E189" t="inlineStr">
        <is>
          <t>Medium</t>
        </is>
      </c>
      <c r="F189" t="inlineStr">
        <is>
          <t>Auto-discovered source-quality score 38; contains dated strategic/source-page signals.</t>
        </is>
      </c>
      <c r="G189" t="inlineStr">
        <is>
          <t>Auto-discovered; review after the next crawl.</t>
        </is>
      </c>
      <c r="H189" t="inlineStr">
        <is>
          <t>Crawl as ranked source first, follow dated article cards, publications and event links, then apply normal signal gates.</t>
        </is>
      </c>
      <c r="L189" t="inlineStr">
        <is>
          <t>Discovered</t>
        </is>
      </c>
    </row>
    <row r="190">
      <c r="A190" t="inlineStr">
        <is>
          <t>Johannes Gutenberg-Universität Mainz</t>
        </is>
      </c>
      <c r="B190" t="inlineStr">
        <is>
          <t>https://www.uni-mainz.de</t>
        </is>
      </c>
      <c r="C190" t="inlineStr">
        <is>
          <t>Discovered source page</t>
        </is>
      </c>
      <c r="D190" t="inlineStr">
        <is>
          <t>Medium</t>
        </is>
      </c>
      <c r="E190" t="inlineStr">
        <is>
          <t>Medium</t>
        </is>
      </c>
      <c r="F190" t="inlineStr">
        <is>
          <t>Auto-discovered source-quality score 38; contains dated strategic/source-page signals.</t>
        </is>
      </c>
      <c r="G190" t="inlineStr">
        <is>
          <t>Auto-discovered; review after the next crawl.</t>
        </is>
      </c>
      <c r="H190" t="inlineStr">
        <is>
          <t>Crawl as ranked source first, follow dated article cards, publications and event links, then apply normal signal gates.</t>
        </is>
      </c>
      <c r="L190" t="inlineStr">
        <is>
          <t>Discovered</t>
        </is>
      </c>
    </row>
    <row r="191">
      <c r="A191" t="inlineStr">
        <is>
          <t>JUWI GmbH</t>
        </is>
      </c>
      <c r="B191" t="inlineStr">
        <is>
          <t>https://www.juwi.de/presse</t>
        </is>
      </c>
      <c r="C191" t="inlineStr">
        <is>
          <t>Discovered source page</t>
        </is>
      </c>
      <c r="D191" t="inlineStr">
        <is>
          <t>Medium</t>
        </is>
      </c>
      <c r="E191" t="inlineStr">
        <is>
          <t>Medium</t>
        </is>
      </c>
      <c r="F191" t="inlineStr">
        <is>
          <t>Auto-discovered source-quality score 24; contains dated strategic/source-page signals.</t>
        </is>
      </c>
      <c r="G191" t="inlineStr">
        <is>
          <t>Auto-discovered; review after the next crawl.</t>
        </is>
      </c>
      <c r="H191" t="inlineStr">
        <is>
          <t>Crawl as ranked source first, follow dated article cards, publications and event links, then apply normal signal gates.</t>
        </is>
      </c>
      <c r="L191" t="inlineStr">
        <is>
          <t>Discovered</t>
        </is>
      </c>
    </row>
    <row r="192">
      <c r="A192" t="inlineStr">
        <is>
          <t>JUWI GmbH</t>
        </is>
      </c>
      <c r="B192" t="inlineStr">
        <is>
          <t>https://www.juwi.de/aktuelles</t>
        </is>
      </c>
      <c r="C192" t="inlineStr">
        <is>
          <t>Discovered source page</t>
        </is>
      </c>
      <c r="D192" t="inlineStr">
        <is>
          <t>Medium</t>
        </is>
      </c>
      <c r="E192" t="inlineStr">
        <is>
          <t>Medium</t>
        </is>
      </c>
      <c r="F192" t="inlineStr">
        <is>
          <t>Auto-discovered source-quality score 24; contains dated strategic/source-page signals.</t>
        </is>
      </c>
      <c r="G192" t="inlineStr">
        <is>
          <t>Auto-discovered; review after the next crawl.</t>
        </is>
      </c>
      <c r="H192" t="inlineStr">
        <is>
          <t>Crawl as ranked source first, follow dated article cards, publications and event links, then apply normal signal gates.</t>
        </is>
      </c>
      <c r="L192" t="inlineStr">
        <is>
          <t>Discovered</t>
        </is>
      </c>
    </row>
    <row r="193">
      <c r="A193" t="inlineStr">
        <is>
          <t>JUWI GmbH</t>
        </is>
      </c>
      <c r="B193" t="inlineStr">
        <is>
          <t>https://www.juwi.de</t>
        </is>
      </c>
      <c r="C193" t="inlineStr">
        <is>
          <t>Discovered source page</t>
        </is>
      </c>
      <c r="D193" t="inlineStr">
        <is>
          <t>Medium</t>
        </is>
      </c>
      <c r="E193" t="inlineStr">
        <is>
          <t>Medium</t>
        </is>
      </c>
      <c r="F193" t="inlineStr">
        <is>
          <t>Auto-discovered source-quality score 32; contains dated strategic/source-page signals.</t>
        </is>
      </c>
      <c r="G193" t="inlineStr">
        <is>
          <t>Auto-discovered; review after the next crawl.</t>
        </is>
      </c>
      <c r="H193" t="inlineStr">
        <is>
          <t>Crawl as ranked source first, follow dated article cards, publications and event links, then apply normal signal gates.</t>
        </is>
      </c>
      <c r="L193" t="inlineStr">
        <is>
          <t>Discovered</t>
        </is>
      </c>
    </row>
    <row r="194">
      <c r="A194" t="inlineStr">
        <is>
          <t>Karl Gemünden GmbH &amp; Co. KG</t>
        </is>
      </c>
      <c r="B194" t="inlineStr">
        <is>
          <t>https://www.gemuenden-bau.de/de/news</t>
        </is>
      </c>
      <c r="C194" t="inlineStr">
        <is>
          <t>Discovered source page</t>
        </is>
      </c>
      <c r="D194" t="inlineStr">
        <is>
          <t>High</t>
        </is>
      </c>
      <c r="E194" t="inlineStr">
        <is>
          <t>Medium</t>
        </is>
      </c>
      <c r="F194" t="inlineStr">
        <is>
          <t>Auto-discovered source-quality score 48; contains dated strategic/source-page signals.</t>
        </is>
      </c>
      <c r="G194" t="inlineStr">
        <is>
          <t>Auto-discovered; review after the next crawl.</t>
        </is>
      </c>
      <c r="H194" t="inlineStr">
        <is>
          <t>Crawl as ranked source first, follow dated article cards, publications and event links, then apply normal signal gates.</t>
        </is>
      </c>
      <c r="L194" t="inlineStr">
        <is>
          <t>Discovered</t>
        </is>
      </c>
    </row>
    <row r="195">
      <c r="A195" t="inlineStr">
        <is>
          <t>Kassenärztliche Vereinigung Rheinland-Pfalz</t>
        </is>
      </c>
      <c r="B195" t="inlineStr">
        <is>
          <t>https://www.kv-rlp.de</t>
        </is>
      </c>
      <c r="C195" t="inlineStr">
        <is>
          <t>Discovered source page</t>
        </is>
      </c>
      <c r="D195" t="inlineStr">
        <is>
          <t>Medium</t>
        </is>
      </c>
      <c r="E195" t="inlineStr">
        <is>
          <t>Medium</t>
        </is>
      </c>
      <c r="F195" t="inlineStr">
        <is>
          <t>Auto-discovered source-quality score 38; contains dated strategic/source-page signals.</t>
        </is>
      </c>
      <c r="G195" t="inlineStr">
        <is>
          <t>Auto-discovered; review after the next crawl.</t>
        </is>
      </c>
      <c r="H195" t="inlineStr">
        <is>
          <t>Crawl as ranked source first, follow dated article cards, publications and event links, then apply normal signal gates.</t>
        </is>
      </c>
      <c r="L195" t="inlineStr">
        <is>
          <t>Discovered</t>
        </is>
      </c>
    </row>
    <row r="196">
      <c r="A196" t="inlineStr">
        <is>
          <t>Katholische Hochschule Mainz</t>
        </is>
      </c>
      <c r="B196" t="inlineStr">
        <is>
          <t>https://www.kh-mz.de/forschung</t>
        </is>
      </c>
      <c r="C196" t="inlineStr">
        <is>
          <t>Discovered source page</t>
        </is>
      </c>
      <c r="D196" t="inlineStr">
        <is>
          <t>Medium</t>
        </is>
      </c>
      <c r="E196" t="inlineStr">
        <is>
          <t>Medium</t>
        </is>
      </c>
      <c r="F196" t="inlineStr">
        <is>
          <t>Auto-discovered source-quality score 32; contains dated strategic/source-page signals.</t>
        </is>
      </c>
      <c r="G196" t="inlineStr">
        <is>
          <t>Auto-discovered; review after the next crawl.</t>
        </is>
      </c>
      <c r="H196" t="inlineStr">
        <is>
          <t>Crawl as ranked source first, follow dated article cards, publications and event links, then apply normal signal gates.</t>
        </is>
      </c>
      <c r="L196" t="inlineStr">
        <is>
          <t>Discovered</t>
        </is>
      </c>
    </row>
    <row r="197">
      <c r="A197" t="inlineStr">
        <is>
          <t>Katholische Hochschule Mainz</t>
        </is>
      </c>
      <c r="B197" t="inlineStr">
        <is>
          <t>https://www.kh-mz.de</t>
        </is>
      </c>
      <c r="C197" t="inlineStr">
        <is>
          <t>Discovered source page</t>
        </is>
      </c>
      <c r="D197" t="inlineStr">
        <is>
          <t>High</t>
        </is>
      </c>
      <c r="E197" t="inlineStr">
        <is>
          <t>Medium</t>
        </is>
      </c>
      <c r="F197" t="inlineStr">
        <is>
          <t>Auto-discovered source-quality score 48; contains dated strategic/source-page signals.</t>
        </is>
      </c>
      <c r="G197" t="inlineStr">
        <is>
          <t>Auto-discovered; review after the next crawl.</t>
        </is>
      </c>
      <c r="H197" t="inlineStr">
        <is>
          <t>Crawl as ranked source first, follow dated article cards, publications and event links, then apply normal signal gates.</t>
        </is>
      </c>
      <c r="L197" t="inlineStr">
        <is>
          <t>Discovered</t>
        </is>
      </c>
    </row>
    <row r="198">
      <c r="A198" t="inlineStr">
        <is>
          <t>KÜBLER GmbH</t>
        </is>
      </c>
      <c r="B198" t="inlineStr">
        <is>
          <t>https://www.kuebler-hallenheizungen.de/presse</t>
        </is>
      </c>
      <c r="C198" t="inlineStr">
        <is>
          <t>Discovered source page</t>
        </is>
      </c>
      <c r="D198" t="inlineStr">
        <is>
          <t>Medium</t>
        </is>
      </c>
      <c r="E198" t="inlineStr">
        <is>
          <t>Medium</t>
        </is>
      </c>
      <c r="F198" t="inlineStr">
        <is>
          <t>Auto-discovered source-quality score 24; contains dated strategic/source-page signals.</t>
        </is>
      </c>
      <c r="G198" t="inlineStr">
        <is>
          <t>Auto-discovered; review after the next crawl.</t>
        </is>
      </c>
      <c r="H198" t="inlineStr">
        <is>
          <t>Crawl as ranked source first, follow dated article cards, publications and event links, then apply normal signal gates.</t>
        </is>
      </c>
      <c r="L198" t="inlineStr">
        <is>
          <t>Discovered</t>
        </is>
      </c>
    </row>
    <row r="199">
      <c r="A199" t="inlineStr">
        <is>
          <t>KÜBLER GmbH</t>
        </is>
      </c>
      <c r="B199" t="inlineStr">
        <is>
          <t>https://www.kuebler-hallenheizungen.de/innovation</t>
        </is>
      </c>
      <c r="C199" t="inlineStr">
        <is>
          <t>Discovered source page</t>
        </is>
      </c>
      <c r="D199" t="inlineStr">
        <is>
          <t>High</t>
        </is>
      </c>
      <c r="E199" t="inlineStr">
        <is>
          <t>Medium</t>
        </is>
      </c>
      <c r="F199" t="inlineStr">
        <is>
          <t>Auto-discovered source-quality score 42; contains dated strategic/source-page signals.</t>
        </is>
      </c>
      <c r="G199" t="inlineStr">
        <is>
          <t>Auto-discovered; review after the next crawl.</t>
        </is>
      </c>
      <c r="H199" t="inlineStr">
        <is>
          <t>Crawl as ranked source first, follow dated article cards, publications and event links, then apply normal signal gates.</t>
        </is>
      </c>
      <c r="L199" t="inlineStr">
        <is>
          <t>Discovered</t>
        </is>
      </c>
    </row>
    <row r="200">
      <c r="A200" t="inlineStr">
        <is>
          <t>KÜBLER GmbH</t>
        </is>
      </c>
      <c r="B200" t="inlineStr">
        <is>
          <t>https://www.kuebler-hallenheizungen.de/nachhaltigkeit</t>
        </is>
      </c>
      <c r="C200" t="inlineStr">
        <is>
          <t>Discovered source page</t>
        </is>
      </c>
      <c r="D200" t="inlineStr">
        <is>
          <t>High</t>
        </is>
      </c>
      <c r="E200" t="inlineStr">
        <is>
          <t>Medium</t>
        </is>
      </c>
      <c r="F200" t="inlineStr">
        <is>
          <t>Auto-discovered source-quality score 42; contains dated strategic/source-page signals.</t>
        </is>
      </c>
      <c r="G200" t="inlineStr">
        <is>
          <t>Auto-discovered; review after the next crawl.</t>
        </is>
      </c>
      <c r="H200" t="inlineStr">
        <is>
          <t>Crawl as ranked source first, follow dated article cards, publications and event links, then apply normal signal gates.</t>
        </is>
      </c>
      <c r="L200" t="inlineStr">
        <is>
          <t>Discovered</t>
        </is>
      </c>
    </row>
    <row r="201">
      <c r="A201" t="inlineStr">
        <is>
          <t>KÜBLER GmbH</t>
        </is>
      </c>
      <c r="B201" t="inlineStr">
        <is>
          <t>https://www.kuebler-hallenheizungen.de/events</t>
        </is>
      </c>
      <c r="C201" t="inlineStr">
        <is>
          <t>Discovered source page</t>
        </is>
      </c>
      <c r="D201" t="inlineStr">
        <is>
          <t>Medium</t>
        </is>
      </c>
      <c r="E201" t="inlineStr">
        <is>
          <t>Medium</t>
        </is>
      </c>
      <c r="F201" t="inlineStr">
        <is>
          <t>Auto-discovered source-quality score 24; contains dated strategic/source-page signals.</t>
        </is>
      </c>
      <c r="G201" t="inlineStr">
        <is>
          <t>Auto-discovered; review after the next crawl.</t>
        </is>
      </c>
      <c r="H201" t="inlineStr">
        <is>
          <t>Crawl as ranked source first, follow dated article cards, publications and event links, then apply normal signal gates.</t>
        </is>
      </c>
      <c r="L201" t="inlineStr">
        <is>
          <t>Discovered</t>
        </is>
      </c>
    </row>
    <row r="202">
      <c r="A202" t="inlineStr">
        <is>
          <t>KÜBLER GmbH</t>
        </is>
      </c>
      <c r="B202" t="inlineStr">
        <is>
          <t>https://www.kuebler-hallenheizungen.de/forschung</t>
        </is>
      </c>
      <c r="C202" t="inlineStr">
        <is>
          <t>Discovered source page</t>
        </is>
      </c>
      <c r="D202" t="inlineStr">
        <is>
          <t>Medium</t>
        </is>
      </c>
      <c r="E202" t="inlineStr">
        <is>
          <t>Medium</t>
        </is>
      </c>
      <c r="F202" t="inlineStr">
        <is>
          <t>Auto-discovered source-quality score 24; contains dated strategic/source-page signals.</t>
        </is>
      </c>
      <c r="G202" t="inlineStr">
        <is>
          <t>Auto-discovered; review after the next crawl.</t>
        </is>
      </c>
      <c r="H202" t="inlineStr">
        <is>
          <t>Crawl as ranked source first, follow dated article cards, publications and event links, then apply normal signal gates.</t>
        </is>
      </c>
      <c r="L202" t="inlineStr">
        <is>
          <t>Discovered</t>
        </is>
      </c>
    </row>
    <row r="203">
      <c r="A203" t="inlineStr">
        <is>
          <t>KÜBLER GmbH</t>
        </is>
      </c>
      <c r="B203" t="inlineStr">
        <is>
          <t>https://www.kuebler-hallenheizungen.de/klima</t>
        </is>
      </c>
      <c r="C203" t="inlineStr">
        <is>
          <t>Discovered source page</t>
        </is>
      </c>
      <c r="D203" t="inlineStr">
        <is>
          <t>Medium</t>
        </is>
      </c>
      <c r="E203" t="inlineStr">
        <is>
          <t>Medium</t>
        </is>
      </c>
      <c r="F203" t="inlineStr">
        <is>
          <t>Auto-discovered source-quality score 32; contains dated strategic/source-page signals.</t>
        </is>
      </c>
      <c r="G203" t="inlineStr">
        <is>
          <t>Auto-discovered; review after the next crawl.</t>
        </is>
      </c>
      <c r="H203" t="inlineStr">
        <is>
          <t>Crawl as ranked source first, follow dated article cards, publications and event links, then apply normal signal gates.</t>
        </is>
      </c>
      <c r="L203" t="inlineStr">
        <is>
          <t>Discovered</t>
        </is>
      </c>
    </row>
    <row r="204">
      <c r="A204" t="inlineStr">
        <is>
          <t>KÜBLER GmbH</t>
        </is>
      </c>
      <c r="B204" t="inlineStr">
        <is>
          <t>https://www.kuebler-hallenheizungen.de/energie</t>
        </is>
      </c>
      <c r="C204" t="inlineStr">
        <is>
          <t>Discovered source page</t>
        </is>
      </c>
      <c r="D204" t="inlineStr">
        <is>
          <t>Medium</t>
        </is>
      </c>
      <c r="E204" t="inlineStr">
        <is>
          <t>Medium</t>
        </is>
      </c>
      <c r="F204" t="inlineStr">
        <is>
          <t>Auto-discovered source-quality score 32; contains dated strategic/source-page signals.</t>
        </is>
      </c>
      <c r="G204" t="inlineStr">
        <is>
          <t>Auto-discovered; review after the next crawl.</t>
        </is>
      </c>
      <c r="H204" t="inlineStr">
        <is>
          <t>Crawl as ranked source first, follow dated article cards, publications and event links, then apply normal signal gates.</t>
        </is>
      </c>
      <c r="L204" t="inlineStr">
        <is>
          <t>Discovered</t>
        </is>
      </c>
    </row>
    <row r="205">
      <c r="A205" t="inlineStr">
        <is>
          <t>KÜBLER GmbH</t>
        </is>
      </c>
      <c r="B205" t="inlineStr">
        <is>
          <t>https://www.kuebler-hallenheizungen.de/aktuell</t>
        </is>
      </c>
      <c r="C205" t="inlineStr">
        <is>
          <t>Discovered source page</t>
        </is>
      </c>
      <c r="D205" t="inlineStr">
        <is>
          <t>Medium</t>
        </is>
      </c>
      <c r="E205" t="inlineStr">
        <is>
          <t>Medium</t>
        </is>
      </c>
      <c r="F205" t="inlineStr">
        <is>
          <t>Auto-discovered source-quality score 26; contains dated strategic/source-page signals.</t>
        </is>
      </c>
      <c r="G205" t="inlineStr">
        <is>
          <t>Auto-discovered; review after the next crawl.</t>
        </is>
      </c>
      <c r="H205" t="inlineStr">
        <is>
          <t>Crawl as ranked source first, follow dated article cards, publications and event links, then apply normal signal gates.</t>
        </is>
      </c>
      <c r="L205" t="inlineStr">
        <is>
          <t>Discovered</t>
        </is>
      </c>
    </row>
    <row r="206">
      <c r="A206" t="inlineStr">
        <is>
          <t>KÜBLER GmbH</t>
        </is>
      </c>
      <c r="B206" t="inlineStr">
        <is>
          <t>https://www.kuebler-hallenheizungen.de/unternehmen/presse</t>
        </is>
      </c>
      <c r="C206" t="inlineStr">
        <is>
          <t>Discovered source page</t>
        </is>
      </c>
      <c r="D206" t="inlineStr">
        <is>
          <t>Medium</t>
        </is>
      </c>
      <c r="E206" t="inlineStr">
        <is>
          <t>Medium</t>
        </is>
      </c>
      <c r="F206" t="inlineStr">
        <is>
          <t>Auto-discovered source-quality score 24; contains dated strategic/source-page signals.</t>
        </is>
      </c>
      <c r="G206" t="inlineStr">
        <is>
          <t>Auto-discovered; review after the next crawl.</t>
        </is>
      </c>
      <c r="H206" t="inlineStr">
        <is>
          <t>Crawl as ranked source first, follow dated article cards, publications and event links, then apply normal signal gates.</t>
        </is>
      </c>
      <c r="L206" t="inlineStr">
        <is>
          <t>Discovered</t>
        </is>
      </c>
    </row>
    <row r="207">
      <c r="A207" t="inlineStr">
        <is>
          <t>KÜBLER GmbH</t>
        </is>
      </c>
      <c r="B207" t="inlineStr">
        <is>
          <t>https://www.kuebler-hallenheizungen.de/de/presse</t>
        </is>
      </c>
      <c r="C207" t="inlineStr">
        <is>
          <t>Discovered source page</t>
        </is>
      </c>
      <c r="D207" t="inlineStr">
        <is>
          <t>Medium</t>
        </is>
      </c>
      <c r="E207" t="inlineStr">
        <is>
          <t>Medium</t>
        </is>
      </c>
      <c r="F207" t="inlineStr">
        <is>
          <t>Auto-discovered source-quality score 24; contains dated strategic/source-page signals.</t>
        </is>
      </c>
      <c r="G207" t="inlineStr">
        <is>
          <t>Auto-discovered; review after the next crawl.</t>
        </is>
      </c>
      <c r="H207" t="inlineStr">
        <is>
          <t>Crawl as ranked source first, follow dated article cards, publications and event links, then apply normal signal gates.</t>
        </is>
      </c>
      <c r="L207" t="inlineStr">
        <is>
          <t>Discovered</t>
        </is>
      </c>
    </row>
    <row r="208">
      <c r="A208" t="inlineStr">
        <is>
          <t>KÜBLER GmbH</t>
        </is>
      </c>
      <c r="B208" t="inlineStr">
        <is>
          <t>https://www.kuebler-hallenheizungen.de</t>
        </is>
      </c>
      <c r="C208" t="inlineStr">
        <is>
          <t>Discovered source page</t>
        </is>
      </c>
      <c r="D208" t="inlineStr">
        <is>
          <t>Medium</t>
        </is>
      </c>
      <c r="E208" t="inlineStr">
        <is>
          <t>Medium</t>
        </is>
      </c>
      <c r="F208" t="inlineStr">
        <is>
          <t>Auto-discovered source-quality score 32; contains dated strategic/source-page signals.</t>
        </is>
      </c>
      <c r="G208" t="inlineStr">
        <is>
          <t>Auto-discovered; review after the next crawl.</t>
        </is>
      </c>
      <c r="H208" t="inlineStr">
        <is>
          <t>Crawl as ranked source first, follow dated article cards, publications and event links, then apply normal signal gates.</t>
        </is>
      </c>
      <c r="L208" t="inlineStr">
        <is>
          <t>Discovered</t>
        </is>
      </c>
    </row>
    <row r="209">
      <c r="A209" t="inlineStr">
        <is>
          <t>Landesbank Baden-Württemberg (LBBW)</t>
        </is>
      </c>
      <c r="B209" t="inlineStr">
        <is>
          <t>https://www.lbbw.de/presse</t>
        </is>
      </c>
      <c r="C209" t="inlineStr">
        <is>
          <t>Discovered source page</t>
        </is>
      </c>
      <c r="D209" t="inlineStr">
        <is>
          <t>High</t>
        </is>
      </c>
      <c r="E209" t="inlineStr">
        <is>
          <t>Medium</t>
        </is>
      </c>
      <c r="F209" t="inlineStr">
        <is>
          <t>Auto-discovered source-quality score 48; contains dated strategic/source-page signals.</t>
        </is>
      </c>
      <c r="G209" t="inlineStr">
        <is>
          <t>Auto-discovered; review after the next crawl.</t>
        </is>
      </c>
      <c r="H209" t="inlineStr">
        <is>
          <t>Crawl as ranked source first, follow dated article cards, publications and event links, then apply normal signal gates.</t>
        </is>
      </c>
      <c r="L209" t="inlineStr">
        <is>
          <t>Discovered</t>
        </is>
      </c>
    </row>
    <row r="210">
      <c r="A210" t="inlineStr">
        <is>
          <t>Landesbank Baden-Württemberg (LBBW)</t>
        </is>
      </c>
      <c r="B210" t="inlineStr">
        <is>
          <t>https://www.lbbw.de/nachhaltigkeit</t>
        </is>
      </c>
      <c r="C210" t="inlineStr">
        <is>
          <t>Discovered source page</t>
        </is>
      </c>
      <c r="D210" t="inlineStr">
        <is>
          <t>High</t>
        </is>
      </c>
      <c r="E210" t="inlineStr">
        <is>
          <t>Medium</t>
        </is>
      </c>
      <c r="F210" t="inlineStr">
        <is>
          <t>Auto-discovered source-quality score 60; contains dated strategic/source-page signals.</t>
        </is>
      </c>
      <c r="G210" t="inlineStr">
        <is>
          <t>Auto-discovered; review after the next crawl.</t>
        </is>
      </c>
      <c r="H210" t="inlineStr">
        <is>
          <t>Crawl as ranked source first, follow dated article cards, publications and event links, then apply normal signal gates.</t>
        </is>
      </c>
      <c r="L210" t="inlineStr">
        <is>
          <t>Discovered</t>
        </is>
      </c>
    </row>
    <row r="211">
      <c r="A211" t="inlineStr">
        <is>
          <t>Landesbank Baden-Württemberg (LBBW)</t>
        </is>
      </c>
      <c r="B211" t="inlineStr">
        <is>
          <t>https://www.lbbw.de/digitalisierung</t>
        </is>
      </c>
      <c r="C211" t="inlineStr">
        <is>
          <t>Discovered source page</t>
        </is>
      </c>
      <c r="D211" t="inlineStr">
        <is>
          <t>Medium</t>
        </is>
      </c>
      <c r="E211" t="inlineStr">
        <is>
          <t>Medium</t>
        </is>
      </c>
      <c r="F211" t="inlineStr">
        <is>
          <t>Auto-discovered source-quality score 32; contains dated strategic/source-page signals.</t>
        </is>
      </c>
      <c r="G211" t="inlineStr">
        <is>
          <t>Auto-discovered; review after the next crawl.</t>
        </is>
      </c>
      <c r="H211" t="inlineStr">
        <is>
          <t>Crawl as ranked source first, follow dated article cards, publications and event links, then apply normal signal gates.</t>
        </is>
      </c>
      <c r="L211" t="inlineStr">
        <is>
          <t>Discovered</t>
        </is>
      </c>
    </row>
    <row r="212">
      <c r="A212" t="inlineStr">
        <is>
          <t>Landesbank Baden-Württemberg (LBBW)</t>
        </is>
      </c>
      <c r="B212" t="inlineStr">
        <is>
          <t>https://www.lbbw.de/studien</t>
        </is>
      </c>
      <c r="C212" t="inlineStr">
        <is>
          <t>Discovered source page</t>
        </is>
      </c>
      <c r="D212" t="inlineStr">
        <is>
          <t>High</t>
        </is>
      </c>
      <c r="E212" t="inlineStr">
        <is>
          <t>Medium</t>
        </is>
      </c>
      <c r="F212" t="inlineStr">
        <is>
          <t>Auto-discovered source-quality score 58; contains dated strategic/source-page signals.</t>
        </is>
      </c>
      <c r="G212" t="inlineStr">
        <is>
          <t>Auto-discovered; review after the next crawl.</t>
        </is>
      </c>
      <c r="H212" t="inlineStr">
        <is>
          <t>Crawl as ranked source first, follow dated article cards, publications and event links, then apply normal signal gates.</t>
        </is>
      </c>
      <c r="L212" t="inlineStr">
        <is>
          <t>Discovered</t>
        </is>
      </c>
    </row>
    <row r="213">
      <c r="A213" t="inlineStr">
        <is>
          <t>Landesbank Baden-Württemberg (LBBW)</t>
        </is>
      </c>
      <c r="B213" t="inlineStr">
        <is>
          <t>https://www.lbbw.de/research</t>
        </is>
      </c>
      <c r="C213" t="inlineStr">
        <is>
          <t>Discovered source page</t>
        </is>
      </c>
      <c r="D213" t="inlineStr">
        <is>
          <t>High</t>
        </is>
      </c>
      <c r="E213" t="inlineStr">
        <is>
          <t>Medium</t>
        </is>
      </c>
      <c r="F213" t="inlineStr">
        <is>
          <t>Auto-discovered source-quality score 76; contains dated strategic/source-page signals.</t>
        </is>
      </c>
      <c r="G213" t="inlineStr">
        <is>
          <t>Auto-discovered; review after the next crawl.</t>
        </is>
      </c>
      <c r="H213" t="inlineStr">
        <is>
          <t>Crawl as ranked source first, follow dated article cards, publications and event links, then apply normal signal gates.</t>
        </is>
      </c>
      <c r="L213" t="inlineStr">
        <is>
          <t>Discovered</t>
        </is>
      </c>
    </row>
    <row r="214">
      <c r="A214" t="inlineStr">
        <is>
          <t>Landesbank Baden-Württemberg (LBBW)</t>
        </is>
      </c>
      <c r="B214" t="inlineStr">
        <is>
          <t>https://www.lbbw.de</t>
        </is>
      </c>
      <c r="C214" t="inlineStr">
        <is>
          <t>Discovered source page</t>
        </is>
      </c>
      <c r="D214" t="inlineStr">
        <is>
          <t>High</t>
        </is>
      </c>
      <c r="E214" t="inlineStr">
        <is>
          <t>Medium</t>
        </is>
      </c>
      <c r="F214" t="inlineStr">
        <is>
          <t>Auto-discovered source-quality score 60; contains dated strategic/source-page signals.</t>
        </is>
      </c>
      <c r="G214" t="inlineStr">
        <is>
          <t>Auto-discovered; review after the next crawl.</t>
        </is>
      </c>
      <c r="H214" t="inlineStr">
        <is>
          <t>Crawl as ranked source first, follow dated article cards, publications and event links, then apply normal signal gates.</t>
        </is>
      </c>
      <c r="L214" t="inlineStr">
        <is>
          <t>Discovered</t>
        </is>
      </c>
    </row>
    <row r="215">
      <c r="A215" t="inlineStr">
        <is>
          <t>LandesPsychotherapeutenKammer Rheinland-Pfalz</t>
        </is>
      </c>
      <c r="B215" t="inlineStr">
        <is>
          <t>https://www.lpk-rlp.de/news</t>
        </is>
      </c>
      <c r="C215" t="inlineStr">
        <is>
          <t>Discovered source page</t>
        </is>
      </c>
      <c r="D215" t="inlineStr">
        <is>
          <t>Medium</t>
        </is>
      </c>
      <c r="E215" t="inlineStr">
        <is>
          <t>Medium</t>
        </is>
      </c>
      <c r="F215" t="inlineStr">
        <is>
          <t>Auto-discovered source-quality score 32; contains dated strategic/source-page signals.</t>
        </is>
      </c>
      <c r="G215" t="inlineStr">
        <is>
          <t>Auto-discovered; review after the next crawl.</t>
        </is>
      </c>
      <c r="H215" t="inlineStr">
        <is>
          <t>Crawl as ranked source first, follow dated article cards, publications and event links, then apply normal signal gates.</t>
        </is>
      </c>
      <c r="L215" t="inlineStr">
        <is>
          <t>Discovered</t>
        </is>
      </c>
    </row>
    <row r="216">
      <c r="A216" t="inlineStr">
        <is>
          <t>LandesPsychotherapeutenKammer Rheinland-Pfalz</t>
        </is>
      </c>
      <c r="B216" t="inlineStr">
        <is>
          <t>https://www.lpk-rlp.de/termine</t>
        </is>
      </c>
      <c r="C216" t="inlineStr">
        <is>
          <t>Discovered source page</t>
        </is>
      </c>
      <c r="D216" t="inlineStr">
        <is>
          <t>High</t>
        </is>
      </c>
      <c r="E216" t="inlineStr">
        <is>
          <t>Medium</t>
        </is>
      </c>
      <c r="F216" t="inlineStr">
        <is>
          <t>Auto-discovered source-quality score 66; contains dated strategic/source-page signals.</t>
        </is>
      </c>
      <c r="G216" t="inlineStr">
        <is>
          <t>Auto-discovered; review after the next crawl.</t>
        </is>
      </c>
      <c r="H216" t="inlineStr">
        <is>
          <t>Crawl as ranked source first, follow dated article cards, publications and event links, then apply normal signal gates.</t>
        </is>
      </c>
      <c r="L216" t="inlineStr">
        <is>
          <t>Discovered</t>
        </is>
      </c>
    </row>
    <row r="217">
      <c r="A217" t="inlineStr">
        <is>
          <t>LandesPsychotherapeutenKammer Rheinland-Pfalz</t>
        </is>
      </c>
      <c r="B217" t="inlineStr">
        <is>
          <t>https://www.lpk-rlp.de</t>
        </is>
      </c>
      <c r="C217" t="inlineStr">
        <is>
          <t>Discovered source page</t>
        </is>
      </c>
      <c r="D217" t="inlineStr">
        <is>
          <t>Medium</t>
        </is>
      </c>
      <c r="E217" t="inlineStr">
        <is>
          <t>Medium</t>
        </is>
      </c>
      <c r="F217" t="inlineStr">
        <is>
          <t>Auto-discovered source-quality score 32; contains dated strategic/source-page signals.</t>
        </is>
      </c>
      <c r="G217" t="inlineStr">
        <is>
          <t>Auto-discovered; review after the next crawl.</t>
        </is>
      </c>
      <c r="H217" t="inlineStr">
        <is>
          <t>Crawl as ranked source first, follow dated article cards, publications and event links, then apply normal signal gates.</t>
        </is>
      </c>
      <c r="L217" t="inlineStr">
        <is>
          <t>Discovered</t>
        </is>
      </c>
    </row>
    <row r="218">
      <c r="A218" t="inlineStr">
        <is>
          <t>Landesärztekammer Rheinland-Pfalz</t>
        </is>
      </c>
      <c r="B218" t="inlineStr">
        <is>
          <t>https://www.laek-rlp.de/presse</t>
        </is>
      </c>
      <c r="C218" t="inlineStr">
        <is>
          <t>Discovered source page</t>
        </is>
      </c>
      <c r="D218" t="inlineStr">
        <is>
          <t>High</t>
        </is>
      </c>
      <c r="E218" t="inlineStr">
        <is>
          <t>Medium</t>
        </is>
      </c>
      <c r="F218" t="inlineStr">
        <is>
          <t>Auto-discovered source-quality score 78; contains dated strategic/source-page signals.</t>
        </is>
      </c>
      <c r="G218" t="inlineStr">
        <is>
          <t>Auto-discovered; review after the next crawl.</t>
        </is>
      </c>
      <c r="H218" t="inlineStr">
        <is>
          <t>Crawl as ranked source first, follow dated article cards, publications and event links, then apply normal signal gates.</t>
        </is>
      </c>
      <c r="L218" t="inlineStr">
        <is>
          <t>Discovered</t>
        </is>
      </c>
    </row>
    <row r="219">
      <c r="A219" t="inlineStr">
        <is>
          <t>Landesärztekammer Rheinland-Pfalz</t>
        </is>
      </c>
      <c r="B219" t="inlineStr">
        <is>
          <t>https://www.laek-rlp.de</t>
        </is>
      </c>
      <c r="C219" t="inlineStr">
        <is>
          <t>Discovered source page</t>
        </is>
      </c>
      <c r="D219" t="inlineStr">
        <is>
          <t>High</t>
        </is>
      </c>
      <c r="E219" t="inlineStr">
        <is>
          <t>Medium</t>
        </is>
      </c>
      <c r="F219" t="inlineStr">
        <is>
          <t>Auto-discovered source-quality score 56; contains dated strategic/source-page signals.</t>
        </is>
      </c>
      <c r="G219" t="inlineStr">
        <is>
          <t>Auto-discovered; review after the next crawl.</t>
        </is>
      </c>
      <c r="H219" t="inlineStr">
        <is>
          <t>Crawl as ranked source first, follow dated article cards, publications and event links, then apply normal signal gates.</t>
        </is>
      </c>
      <c r="L219" t="inlineStr">
        <is>
          <t>Discovered</t>
        </is>
      </c>
    </row>
    <row r="220">
      <c r="A220" t="inlineStr">
        <is>
          <t>Landesärztekammer Rheinland-Pfalz</t>
        </is>
      </c>
      <c r="B220" t="inlineStr">
        <is>
          <t>http://laek-rlp.de/aktuell-aerzteblatt.html</t>
        </is>
      </c>
      <c r="C220" t="inlineStr">
        <is>
          <t>Discovered source page</t>
        </is>
      </c>
      <c r="D220" t="inlineStr">
        <is>
          <t>High</t>
        </is>
      </c>
      <c r="E220" t="inlineStr">
        <is>
          <t>Medium</t>
        </is>
      </c>
      <c r="F220" t="inlineStr">
        <is>
          <t>Auto-discovered source-quality score 88; contains dated strategic/source-page signals.</t>
        </is>
      </c>
      <c r="G220" t="inlineStr">
        <is>
          <t>Auto-discovered; review after the next crawl.</t>
        </is>
      </c>
      <c r="H220" t="inlineStr">
        <is>
          <t>Crawl as ranked source first, follow dated article cards, publications and event links, then apply normal signal gates.</t>
        </is>
      </c>
      <c r="L220" t="inlineStr">
        <is>
          <t>Discovered</t>
        </is>
      </c>
    </row>
    <row r="221">
      <c r="A221" t="inlineStr">
        <is>
          <t>Landesärztekammer Rheinland-Pfalz</t>
        </is>
      </c>
      <c r="B221" t="inlineStr">
        <is>
          <t>http://laek-rlp.de/studierende</t>
        </is>
      </c>
      <c r="C221" t="inlineStr">
        <is>
          <t>Discovered source page</t>
        </is>
      </c>
      <c r="D221" t="inlineStr">
        <is>
          <t>High</t>
        </is>
      </c>
      <c r="E221" t="inlineStr">
        <is>
          <t>Medium</t>
        </is>
      </c>
      <c r="F221" t="inlineStr">
        <is>
          <t>Auto-discovered source-quality score 88; contains dated strategic/source-page signals.</t>
        </is>
      </c>
      <c r="G221" t="inlineStr">
        <is>
          <t>Auto-discovered; review after the next crawl.</t>
        </is>
      </c>
      <c r="H221" t="inlineStr">
        <is>
          <t>Crawl as ranked source first, follow dated article cards, publications and event links, then apply normal signal gates.</t>
        </is>
      </c>
      <c r="L221" t="inlineStr">
        <is>
          <t>Discovered</t>
        </is>
      </c>
    </row>
    <row r="222">
      <c r="A222" t="inlineStr">
        <is>
          <t>Landesärztekammer Rheinland-Pfalz</t>
        </is>
      </c>
      <c r="B222" t="inlineStr">
        <is>
          <t>http://laek-rlp.de/presse</t>
        </is>
      </c>
      <c r="C222" t="inlineStr">
        <is>
          <t>Discovered source page</t>
        </is>
      </c>
      <c r="D222" t="inlineStr">
        <is>
          <t>High</t>
        </is>
      </c>
      <c r="E222" t="inlineStr">
        <is>
          <t>Medium</t>
        </is>
      </c>
      <c r="F222" t="inlineStr">
        <is>
          <t>Auto-discovered source-quality score 78; contains dated strategic/source-page signals.</t>
        </is>
      </c>
      <c r="G222" t="inlineStr">
        <is>
          <t>Auto-discovered; review after the next crawl.</t>
        </is>
      </c>
      <c r="H222" t="inlineStr">
        <is>
          <t>Crawl as ranked source first, follow dated article cards, publications and event links, then apply normal signal gates.</t>
        </is>
      </c>
      <c r="L222" t="inlineStr">
        <is>
          <t>Discovered</t>
        </is>
      </c>
    </row>
    <row r="223">
      <c r="A223" t="inlineStr">
        <is>
          <t>Landesärztekammer Rheinland-Pfalz</t>
        </is>
      </c>
      <c r="B223" t="inlineStr">
        <is>
          <t>http://laek-rlp.de/presse/liste-nach-_-13-abs_-3-schwangerschaftskonfliktgesetz.html</t>
        </is>
      </c>
      <c r="C223" t="inlineStr">
        <is>
          <t>Discovered source page</t>
        </is>
      </c>
      <c r="D223" t="inlineStr">
        <is>
          <t>High</t>
        </is>
      </c>
      <c r="E223" t="inlineStr">
        <is>
          <t>Medium</t>
        </is>
      </c>
      <c r="F223" t="inlineStr">
        <is>
          <t>Auto-discovered source-quality score 66; contains dated strategic/source-page signals.</t>
        </is>
      </c>
      <c r="G223" t="inlineStr">
        <is>
          <t>Auto-discovered; review after the next crawl.</t>
        </is>
      </c>
      <c r="H223" t="inlineStr">
        <is>
          <t>Crawl as ranked source first, follow dated article cards, publications and event links, then apply normal signal gates.</t>
        </is>
      </c>
      <c r="L223" t="inlineStr">
        <is>
          <t>Discovered</t>
        </is>
      </c>
    </row>
    <row r="224">
      <c r="A224" t="inlineStr">
        <is>
          <t>Landkreistag Rheinland-Pfalz</t>
        </is>
      </c>
      <c r="B224" t="inlineStr">
        <is>
          <t>https://www.landkreistag.rlp.de/aktuell</t>
        </is>
      </c>
      <c r="C224" t="inlineStr">
        <is>
          <t>Discovered source page</t>
        </is>
      </c>
      <c r="D224" t="inlineStr">
        <is>
          <t>High</t>
        </is>
      </c>
      <c r="E224" t="inlineStr">
        <is>
          <t>Medium</t>
        </is>
      </c>
      <c r="F224" t="inlineStr">
        <is>
          <t>Auto-discovered source-quality score 66; contains dated strategic/source-page signals.</t>
        </is>
      </c>
      <c r="G224" t="inlineStr">
        <is>
          <t>Auto-discovered; review after the next crawl.</t>
        </is>
      </c>
      <c r="H224" t="inlineStr">
        <is>
          <t>Crawl as ranked source first, follow dated article cards, publications and event links, then apply normal signal gates.</t>
        </is>
      </c>
      <c r="L224" t="inlineStr">
        <is>
          <t>Discovered</t>
        </is>
      </c>
    </row>
    <row r="225">
      <c r="A225" t="inlineStr">
        <is>
          <t>Landkreistag Rheinland-Pfalz</t>
        </is>
      </c>
      <c r="B225" t="inlineStr">
        <is>
          <t>https://www.landkreistag.rlp.de</t>
        </is>
      </c>
      <c r="C225" t="inlineStr">
        <is>
          <t>Discovered source page</t>
        </is>
      </c>
      <c r="D225" t="inlineStr">
        <is>
          <t>Medium</t>
        </is>
      </c>
      <c r="E225" t="inlineStr">
        <is>
          <t>Medium</t>
        </is>
      </c>
      <c r="F225" t="inlineStr">
        <is>
          <t>Auto-discovered source-quality score 34; contains dated strategic/source-page signals.</t>
        </is>
      </c>
      <c r="G225" t="inlineStr">
        <is>
          <t>Auto-discovered; review after the next crawl.</t>
        </is>
      </c>
      <c r="H225" t="inlineStr">
        <is>
          <t>Crawl as ranked source first, follow dated article cards, publications and event links, then apply normal signal gates.</t>
        </is>
      </c>
      <c r="L225" t="inlineStr">
        <is>
          <t>Discovered</t>
        </is>
      </c>
    </row>
    <row r="226">
      <c r="A226" t="inlineStr">
        <is>
          <t>Landkreistag Rheinland-Pfalz</t>
        </is>
      </c>
      <c r="B226" t="inlineStr">
        <is>
          <t>https://landkreistag.rlp.de/homepage/aktuelles</t>
        </is>
      </c>
      <c r="C226" t="inlineStr">
        <is>
          <t>Discovered source page</t>
        </is>
      </c>
      <c r="D226" t="inlineStr">
        <is>
          <t>High</t>
        </is>
      </c>
      <c r="E226" t="inlineStr">
        <is>
          <t>Medium</t>
        </is>
      </c>
      <c r="F226" t="inlineStr">
        <is>
          <t>Auto-discovered source-quality score 66; contains dated strategic/source-page signals.</t>
        </is>
      </c>
      <c r="G226" t="inlineStr">
        <is>
          <t>Auto-discovered; review after the next crawl.</t>
        </is>
      </c>
      <c r="H226" t="inlineStr">
        <is>
          <t>Crawl as ranked source first, follow dated article cards, publications and event links, then apply normal signal gates.</t>
        </is>
      </c>
      <c r="L226" t="inlineStr">
        <is>
          <t>Discovered</t>
        </is>
      </c>
    </row>
    <row r="227">
      <c r="A227" t="inlineStr">
        <is>
          <t>Landkreistag Rheinland-Pfalz</t>
        </is>
      </c>
      <c r="B227" t="inlineStr">
        <is>
          <t>https://landkreistag.rlp.de/homepage/aktuelles/2018</t>
        </is>
      </c>
      <c r="C227" t="inlineStr">
        <is>
          <t>Discovered source page</t>
        </is>
      </c>
      <c r="D227" t="inlineStr">
        <is>
          <t>High</t>
        </is>
      </c>
      <c r="E227" t="inlineStr">
        <is>
          <t>Medium</t>
        </is>
      </c>
      <c r="F227" t="inlineStr">
        <is>
          <t>Auto-discovered source-quality score 50; contains dated strategic/source-page signals.</t>
        </is>
      </c>
      <c r="G227" t="inlineStr">
        <is>
          <t>Auto-discovered; review after the next crawl.</t>
        </is>
      </c>
      <c r="H227" t="inlineStr">
        <is>
          <t>Crawl as ranked source first, follow dated article cards, publications and event links, then apply normal signal gates.</t>
        </is>
      </c>
      <c r="L227" t="inlineStr">
        <is>
          <t>Discovered</t>
        </is>
      </c>
    </row>
    <row r="228">
      <c r="A228" t="inlineStr">
        <is>
          <t>LÖWEN ENTERTAINMENT GmbH</t>
        </is>
      </c>
      <c r="B228" t="inlineStr">
        <is>
          <t>https://www.loewen.de/news</t>
        </is>
      </c>
      <c r="C228" t="inlineStr">
        <is>
          <t>Discovered source page</t>
        </is>
      </c>
      <c r="D228" t="inlineStr">
        <is>
          <t>High</t>
        </is>
      </c>
      <c r="E228" t="inlineStr">
        <is>
          <t>Medium</t>
        </is>
      </c>
      <c r="F228" t="inlineStr">
        <is>
          <t>Auto-discovered source-quality score 58; contains dated strategic/source-page signals.</t>
        </is>
      </c>
      <c r="G228" t="inlineStr">
        <is>
          <t>Auto-discovered; review after the next crawl.</t>
        </is>
      </c>
      <c r="H228" t="inlineStr">
        <is>
          <t>Crawl as ranked source first, follow dated article cards, publications and event links, then apply normal signal gates.</t>
        </is>
      </c>
      <c r="L228" t="inlineStr">
        <is>
          <t>Discovered</t>
        </is>
      </c>
    </row>
    <row r="229">
      <c r="A229" t="inlineStr">
        <is>
          <t>Mainzer Stadtwerke AG</t>
        </is>
      </c>
      <c r="B229" t="inlineStr">
        <is>
          <t>https://www.mainzer-stadtwerke.de/nachhaltigkeit</t>
        </is>
      </c>
      <c r="C229" t="inlineStr">
        <is>
          <t>Discovered source page</t>
        </is>
      </c>
      <c r="D229" t="inlineStr">
        <is>
          <t>High</t>
        </is>
      </c>
      <c r="E229" t="inlineStr">
        <is>
          <t>Medium</t>
        </is>
      </c>
      <c r="F229" t="inlineStr">
        <is>
          <t>Auto-discovered source-quality score 42; contains dated strategic/source-page signals.</t>
        </is>
      </c>
      <c r="G229" t="inlineStr">
        <is>
          <t>Auto-discovered; review after the next crawl.</t>
        </is>
      </c>
      <c r="H229" t="inlineStr">
        <is>
          <t>Crawl as ranked source first, follow dated article cards, publications and event links, then apply normal signal gates.</t>
        </is>
      </c>
      <c r="L229" t="inlineStr">
        <is>
          <t>Discovered</t>
        </is>
      </c>
    </row>
    <row r="230">
      <c r="A230" t="inlineStr">
        <is>
          <t>Michelin Reifenwerke AG &amp; Co. KGaA</t>
        </is>
      </c>
      <c r="B230" t="inlineStr">
        <is>
          <t>https://www.michelin.de/why-michelin/innovation/michelin-zweirad-reifen-innovation</t>
        </is>
      </c>
      <c r="C230" t="inlineStr">
        <is>
          <t>Discovered source page</t>
        </is>
      </c>
      <c r="D230" t="inlineStr">
        <is>
          <t>Medium</t>
        </is>
      </c>
      <c r="E230" t="inlineStr">
        <is>
          <t>Medium</t>
        </is>
      </c>
      <c r="F230" t="inlineStr">
        <is>
          <t>Auto-discovered source-quality score 32; contains dated strategic/source-page signals.</t>
        </is>
      </c>
      <c r="G230" t="inlineStr">
        <is>
          <t>Auto-discovered; review after the next crawl.</t>
        </is>
      </c>
      <c r="H230" t="inlineStr">
        <is>
          <t>Crawl as ranked source first, follow dated article cards, publications and event links, then apply normal signal gates.</t>
        </is>
      </c>
      <c r="L230" t="inlineStr">
        <is>
          <t>Discovered</t>
        </is>
      </c>
    </row>
    <row r="231">
      <c r="A231" t="inlineStr">
        <is>
          <t>Ministerium für Wirtschaft, Verkehr, Landwirtschaft und Weinbau</t>
        </is>
      </c>
      <c r="B231" t="inlineStr">
        <is>
          <t>https://mwvlw.rlp.de/presse</t>
        </is>
      </c>
      <c r="C231" t="inlineStr">
        <is>
          <t>Discovered source page</t>
        </is>
      </c>
      <c r="D231" t="inlineStr">
        <is>
          <t>High</t>
        </is>
      </c>
      <c r="E231" t="inlineStr">
        <is>
          <t>Medium</t>
        </is>
      </c>
      <c r="F231" t="inlineStr">
        <is>
          <t>Auto-discovered source-quality score 48; contains dated strategic/source-page signals.</t>
        </is>
      </c>
      <c r="G231" t="inlineStr">
        <is>
          <t>Auto-discovered; review after the next crawl.</t>
        </is>
      </c>
      <c r="H231" t="inlineStr">
        <is>
          <t>Crawl as ranked source first, follow dated article cards, publications and event links, then apply normal signal gates.</t>
        </is>
      </c>
      <c r="L231" t="inlineStr">
        <is>
          <t>Discovered</t>
        </is>
      </c>
    </row>
    <row r="232">
      <c r="A232" t="inlineStr">
        <is>
          <t>Ministerium für Wirtschaft, Verkehr, Landwirtschaft und Weinbau</t>
        </is>
      </c>
      <c r="B232" t="inlineStr">
        <is>
          <t>https://mwvlw.rlp.de</t>
        </is>
      </c>
      <c r="C232" t="inlineStr">
        <is>
          <t>Discovered source page</t>
        </is>
      </c>
      <c r="D232" t="inlineStr">
        <is>
          <t>Medium</t>
        </is>
      </c>
      <c r="E232" t="inlineStr">
        <is>
          <t>Medium</t>
        </is>
      </c>
      <c r="F232" t="inlineStr">
        <is>
          <t>Auto-discovered source-quality score 38; contains dated strategic/source-page signals.</t>
        </is>
      </c>
      <c r="G232" t="inlineStr">
        <is>
          <t>Auto-discovered; review after the next crawl.</t>
        </is>
      </c>
      <c r="H232" t="inlineStr">
        <is>
          <t>Crawl as ranked source first, follow dated article cards, publications and event links, then apply normal signal gates.</t>
        </is>
      </c>
      <c r="L232" t="inlineStr">
        <is>
          <t>Discovered</t>
        </is>
      </c>
    </row>
    <row r="233">
      <c r="A233" t="inlineStr">
        <is>
          <t>PFAFF Industriesysteme und Maschinen GmbH</t>
        </is>
      </c>
      <c r="B233" t="inlineStr">
        <is>
          <t>https://www.pfaff-industrial.com/news</t>
        </is>
      </c>
      <c r="C233" t="inlineStr">
        <is>
          <t>Discovered source page</t>
        </is>
      </c>
      <c r="D233" t="inlineStr">
        <is>
          <t>High</t>
        </is>
      </c>
      <c r="E233" t="inlineStr">
        <is>
          <t>Medium</t>
        </is>
      </c>
      <c r="F233" t="inlineStr">
        <is>
          <t>Auto-discovered source-quality score 66; contains dated strategic/source-page signals.</t>
        </is>
      </c>
      <c r="G233" t="inlineStr">
        <is>
          <t>Auto-discovered; review after the next crawl.</t>
        </is>
      </c>
      <c r="H233" t="inlineStr">
        <is>
          <t>Crawl as ranked source first, follow dated article cards, publications and event links, then apply normal signal gates.</t>
        </is>
      </c>
      <c r="L233" t="inlineStr">
        <is>
          <t>Discovered</t>
        </is>
      </c>
    </row>
    <row r="234">
      <c r="A234" t="inlineStr">
        <is>
          <t>PFAFF Industriesysteme und Maschinen GmbH</t>
        </is>
      </c>
      <c r="B234" t="inlineStr">
        <is>
          <t>https://www.pfaff-industrial.com/de/news</t>
        </is>
      </c>
      <c r="C234" t="inlineStr">
        <is>
          <t>Discovered source page</t>
        </is>
      </c>
      <c r="D234" t="inlineStr">
        <is>
          <t>High</t>
        </is>
      </c>
      <c r="E234" t="inlineStr">
        <is>
          <t>Medium</t>
        </is>
      </c>
      <c r="F234" t="inlineStr">
        <is>
          <t>Auto-discovered source-quality score 76; contains dated strategic/source-page signals.</t>
        </is>
      </c>
      <c r="G234" t="inlineStr">
        <is>
          <t>Auto-discovered; review after the next crawl.</t>
        </is>
      </c>
      <c r="H234" t="inlineStr">
        <is>
          <t>Crawl as ranked source first, follow dated article cards, publications and event links, then apply normal signal gates.</t>
        </is>
      </c>
      <c r="L234" t="inlineStr">
        <is>
          <t>Discovered</t>
        </is>
      </c>
    </row>
    <row r="235">
      <c r="A235" t="inlineStr">
        <is>
          <t>Pfalzwerke AG</t>
        </is>
      </c>
      <c r="B235" t="inlineStr">
        <is>
          <t>https://www.pfalzwerke.de/news</t>
        </is>
      </c>
      <c r="C235" t="inlineStr">
        <is>
          <t>Discovered source page</t>
        </is>
      </c>
      <c r="D235" t="inlineStr">
        <is>
          <t>High</t>
        </is>
      </c>
      <c r="E235" t="inlineStr">
        <is>
          <t>Medium</t>
        </is>
      </c>
      <c r="F235" t="inlineStr">
        <is>
          <t>Auto-discovered source-quality score 48; contains dated strategic/source-page signals.</t>
        </is>
      </c>
      <c r="G235" t="inlineStr">
        <is>
          <t>Auto-discovered; review after the next crawl.</t>
        </is>
      </c>
      <c r="H235" t="inlineStr">
        <is>
          <t>Crawl as ranked source first, follow dated article cards, publications and event links, then apply normal signal gates.</t>
        </is>
      </c>
      <c r="L235" t="inlineStr">
        <is>
          <t>Discovered</t>
        </is>
      </c>
    </row>
    <row r="236">
      <c r="A236" t="inlineStr">
        <is>
          <t>Pfalzwerke AG</t>
        </is>
      </c>
      <c r="B236" t="inlineStr">
        <is>
          <t>https://www.pfalzwerke.de/forschung</t>
        </is>
      </c>
      <c r="C236" t="inlineStr">
        <is>
          <t>Discovered source page</t>
        </is>
      </c>
      <c r="D236" t="inlineStr">
        <is>
          <t>Medium</t>
        </is>
      </c>
      <c r="E236" t="inlineStr">
        <is>
          <t>Medium</t>
        </is>
      </c>
      <c r="F236" t="inlineStr">
        <is>
          <t>Auto-discovered source-quality score 32; contains dated strategic/source-page signals.</t>
        </is>
      </c>
      <c r="G236" t="inlineStr">
        <is>
          <t>Auto-discovered; review after the next crawl.</t>
        </is>
      </c>
      <c r="H236" t="inlineStr">
        <is>
          <t>Crawl as ranked source first, follow dated article cards, publications and event links, then apply normal signal gates.</t>
        </is>
      </c>
      <c r="L236" t="inlineStr">
        <is>
          <t>Discovered</t>
        </is>
      </c>
    </row>
    <row r="237">
      <c r="A237" t="inlineStr">
        <is>
          <t>Pfalzwerke AG</t>
        </is>
      </c>
      <c r="B237" t="inlineStr">
        <is>
          <t>https://www.pfalzwerke.de</t>
        </is>
      </c>
      <c r="C237" t="inlineStr">
        <is>
          <t>Discovered source page</t>
        </is>
      </c>
      <c r="D237" t="inlineStr">
        <is>
          <t>High</t>
        </is>
      </c>
      <c r="E237" t="inlineStr">
        <is>
          <t>Medium</t>
        </is>
      </c>
      <c r="F237" t="inlineStr">
        <is>
          <t>Auto-discovered source-quality score 56; contains dated strategic/source-page signals.</t>
        </is>
      </c>
      <c r="G237" t="inlineStr">
        <is>
          <t>Auto-discovered; review after the next crawl.</t>
        </is>
      </c>
      <c r="H237" t="inlineStr">
        <is>
          <t>Crawl as ranked source first, follow dated article cards, publications and event links, then apply normal signal gates.</t>
        </is>
      </c>
      <c r="L237" t="inlineStr">
        <is>
          <t>Discovered</t>
        </is>
      </c>
    </row>
    <row r="238">
      <c r="A238" t="inlineStr">
        <is>
          <t>Rheinland-Pfälzische Technische Universität Kaiserslautern-Landau (RPTU)</t>
        </is>
      </c>
      <c r="B238" t="inlineStr">
        <is>
          <t>https://regionalentwicklung-raumordnung.de/aktuelles</t>
        </is>
      </c>
      <c r="C238" t="inlineStr">
        <is>
          <t>Discovered source page</t>
        </is>
      </c>
      <c r="D238" t="inlineStr">
        <is>
          <t>High</t>
        </is>
      </c>
      <c r="E238" t="inlineStr">
        <is>
          <t>Medium</t>
        </is>
      </c>
      <c r="F238" t="inlineStr">
        <is>
          <t>Auto-discovered source-quality score 76; contains dated strategic/source-page signals.</t>
        </is>
      </c>
      <c r="G238" t="inlineStr">
        <is>
          <t>Auto-discovered; review after the next crawl.</t>
        </is>
      </c>
      <c r="H238" t="inlineStr">
        <is>
          <t>Crawl as ranked source first, follow dated article cards, publications and event links, then apply normal signal gates.</t>
        </is>
      </c>
      <c r="L238" t="inlineStr">
        <is>
          <t>Discovered</t>
        </is>
      </c>
    </row>
    <row r="239">
      <c r="A239" t="inlineStr">
        <is>
          <t>Rheinland-Pfälzische Technische Universität Kaiserslautern-Landau (RPTU)</t>
        </is>
      </c>
      <c r="B239" t="inlineStr">
        <is>
          <t>https://regionalentwicklung-raumordnung.de/forschung</t>
        </is>
      </c>
      <c r="C239" t="inlineStr">
        <is>
          <t>Discovered source page</t>
        </is>
      </c>
      <c r="D239" t="inlineStr">
        <is>
          <t>Medium</t>
        </is>
      </c>
      <c r="E239" t="inlineStr">
        <is>
          <t>Medium</t>
        </is>
      </c>
      <c r="F239" t="inlineStr">
        <is>
          <t>Auto-discovered source-quality score 32; contains dated strategic/source-page signals.</t>
        </is>
      </c>
      <c r="G239" t="inlineStr">
        <is>
          <t>Auto-discovered; review after the next crawl.</t>
        </is>
      </c>
      <c r="H239" t="inlineStr">
        <is>
          <t>Crawl as ranked source first, follow dated article cards, publications and event links, then apply normal signal gates.</t>
        </is>
      </c>
      <c r="L239" t="inlineStr">
        <is>
          <t>Discovered</t>
        </is>
      </c>
    </row>
    <row r="240">
      <c r="A240" t="inlineStr">
        <is>
          <t>Rheinland-Pfälzische Technische Universität Kaiserslautern-Landau (RPTU)</t>
        </is>
      </c>
      <c r="B240" t="inlineStr">
        <is>
          <t>https://regionalentwicklung-raumordnung.de/aktuell</t>
        </is>
      </c>
      <c r="C240" t="inlineStr">
        <is>
          <t>Discovered source page</t>
        </is>
      </c>
      <c r="D240" t="inlineStr">
        <is>
          <t>High</t>
        </is>
      </c>
      <c r="E240" t="inlineStr">
        <is>
          <t>Medium</t>
        </is>
      </c>
      <c r="F240" t="inlineStr">
        <is>
          <t>Auto-discovered source-quality score 66; contains dated strategic/source-page signals.</t>
        </is>
      </c>
      <c r="G240" t="inlineStr">
        <is>
          <t>Auto-discovered; review after the next crawl.</t>
        </is>
      </c>
      <c r="H240" t="inlineStr">
        <is>
          <t>Crawl as ranked source first, follow dated article cards, publications and event links, then apply normal signal gates.</t>
        </is>
      </c>
      <c r="L240" t="inlineStr">
        <is>
          <t>Discovered</t>
        </is>
      </c>
    </row>
    <row r="241">
      <c r="A241" t="inlineStr">
        <is>
          <t>Rheinland-Pfälzische Technische Universität Kaiserslautern-Landau (RPTU)</t>
        </is>
      </c>
      <c r="B241" t="inlineStr">
        <is>
          <t>https://regionalentwicklung-raumordnung.de</t>
        </is>
      </c>
      <c r="C241" t="inlineStr">
        <is>
          <t>Discovered source page</t>
        </is>
      </c>
      <c r="D241" t="inlineStr">
        <is>
          <t>Medium</t>
        </is>
      </c>
      <c r="E241" t="inlineStr">
        <is>
          <t>Medium</t>
        </is>
      </c>
      <c r="F241" t="inlineStr">
        <is>
          <t>Auto-discovered source-quality score 38; contains dated strategic/source-page signals.</t>
        </is>
      </c>
      <c r="G241" t="inlineStr">
        <is>
          <t>Auto-discovered; review after the next crawl.</t>
        </is>
      </c>
      <c r="H241" t="inlineStr">
        <is>
          <t>Crawl as ranked source first, follow dated article cards, publications and event links, then apply normal signal gates.</t>
        </is>
      </c>
      <c r="L241" t="inlineStr">
        <is>
          <t>Discovered</t>
        </is>
      </c>
    </row>
    <row r="242">
      <c r="A242" t="inlineStr">
        <is>
          <t>Rheinland-Pfälzische Technische Universität Kaiserslautern-Landau (RPTU)</t>
        </is>
      </c>
      <c r="B242" t="inlineStr">
        <is>
          <t>https://regionalentwicklung-raumordnung.de/aktuell/2024/9-konferenz-fuer-studentische-forschung-am-24-10-2024-an-der-universitaet-hohenheim</t>
        </is>
      </c>
      <c r="C242" t="inlineStr">
        <is>
          <t>Discovered source page</t>
        </is>
      </c>
      <c r="D242" t="inlineStr">
        <is>
          <t>High</t>
        </is>
      </c>
      <c r="E242" t="inlineStr">
        <is>
          <t>Medium</t>
        </is>
      </c>
      <c r="F242" t="inlineStr">
        <is>
          <t>Auto-discovered source-quality score 66; contains dated strategic/source-page signals.</t>
        </is>
      </c>
      <c r="G242" t="inlineStr">
        <is>
          <t>Auto-discovered; review after the next crawl.</t>
        </is>
      </c>
      <c r="H242" t="inlineStr">
        <is>
          <t>Crawl as ranked source first, follow dated article cards, publications and event links, then apply normal signal gates.</t>
        </is>
      </c>
      <c r="L242" t="inlineStr">
        <is>
          <t>Discovered</t>
        </is>
      </c>
    </row>
    <row r="243">
      <c r="A243" t="inlineStr">
        <is>
          <t>RPR1.</t>
        </is>
      </c>
      <c r="B243" t="inlineStr">
        <is>
          <t>https://www.rpr1.de</t>
        </is>
      </c>
      <c r="C243" t="inlineStr">
        <is>
          <t>Discovered source page</t>
        </is>
      </c>
      <c r="D243" t="inlineStr">
        <is>
          <t>High</t>
        </is>
      </c>
      <c r="E243" t="inlineStr">
        <is>
          <t>Medium</t>
        </is>
      </c>
      <c r="F243" t="inlineStr">
        <is>
          <t>Auto-discovered source-quality score 66; contains dated strategic/source-page signals.</t>
        </is>
      </c>
      <c r="G243" t="inlineStr">
        <is>
          <t>Auto-discovered; review after the next crawl.</t>
        </is>
      </c>
      <c r="H243" t="inlineStr">
        <is>
          <t>Crawl as ranked source first, follow dated article cards, publications and event links, then apply normal signal gates.</t>
        </is>
      </c>
      <c r="L243" t="inlineStr">
        <is>
          <t>Discovered</t>
        </is>
      </c>
    </row>
    <row r="244">
      <c r="A244" t="inlineStr">
        <is>
          <t>RPR1.</t>
        </is>
      </c>
      <c r="B244" t="inlineStr">
        <is>
          <t>https://www.rpr1.de/nachrichten/dpa-sport/medien-martin-demichelis-soll-rb-trainer-werner-ersetzen</t>
        </is>
      </c>
      <c r="C244" t="inlineStr">
        <is>
          <t>Discovered source page</t>
        </is>
      </c>
      <c r="D244" t="inlineStr">
        <is>
          <t>Medium</t>
        </is>
      </c>
      <c r="E244" t="inlineStr">
        <is>
          <t>Medium</t>
        </is>
      </c>
      <c r="F244" t="inlineStr">
        <is>
          <t>Auto-discovered source-quality score 38; contains dated strategic/source-page signals.</t>
        </is>
      </c>
      <c r="G244" t="inlineStr">
        <is>
          <t>Auto-discovered; review after the next crawl.</t>
        </is>
      </c>
      <c r="H244" t="inlineStr">
        <is>
          <t>Crawl as ranked source first, follow dated article cards, publications and event links, then apply normal signal gates.</t>
        </is>
      </c>
      <c r="L244" t="inlineStr">
        <is>
          <t>Discovered</t>
        </is>
      </c>
    </row>
    <row r="245">
      <c r="A245" t="inlineStr">
        <is>
          <t>Schoenergie GmbH</t>
        </is>
      </c>
      <c r="B245" t="inlineStr">
        <is>
          <t>http://www.schoenergie.de/presse</t>
        </is>
      </c>
      <c r="C245" t="inlineStr">
        <is>
          <t>Discovered source page</t>
        </is>
      </c>
      <c r="D245" t="inlineStr">
        <is>
          <t>High</t>
        </is>
      </c>
      <c r="E245" t="inlineStr">
        <is>
          <t>Medium</t>
        </is>
      </c>
      <c r="F245" t="inlineStr">
        <is>
          <t>Auto-discovered source-quality score 44; contains dated strategic/source-page signals.</t>
        </is>
      </c>
      <c r="G245" t="inlineStr">
        <is>
          <t>Auto-discovered; review after the next crawl.</t>
        </is>
      </c>
      <c r="H245" t="inlineStr">
        <is>
          <t>Crawl as ranked source first, follow dated article cards, publications and event links, then apply normal signal gates.</t>
        </is>
      </c>
      <c r="L245" t="inlineStr">
        <is>
          <t>Discovered</t>
        </is>
      </c>
    </row>
    <row r="246">
      <c r="A246" t="inlineStr">
        <is>
          <t>Schoenergie GmbH</t>
        </is>
      </c>
      <c r="B246" t="inlineStr">
        <is>
          <t>http://www.schoenergie.de/unternehmen/presse</t>
        </is>
      </c>
      <c r="C246" t="inlineStr">
        <is>
          <t>Discovered source page</t>
        </is>
      </c>
      <c r="D246" t="inlineStr">
        <is>
          <t>High</t>
        </is>
      </c>
      <c r="E246" t="inlineStr">
        <is>
          <t>Medium</t>
        </is>
      </c>
      <c r="F246" t="inlineStr">
        <is>
          <t>Auto-discovered source-quality score 44; contains dated strategic/source-page signals.</t>
        </is>
      </c>
      <c r="G246" t="inlineStr">
        <is>
          <t>Auto-discovered; review after the next crawl.</t>
        </is>
      </c>
      <c r="H246" t="inlineStr">
        <is>
          <t>Crawl as ranked source first, follow dated article cards, publications and event links, then apply normal signal gates.</t>
        </is>
      </c>
      <c r="L246" t="inlineStr">
        <is>
          <t>Discovered</t>
        </is>
      </c>
    </row>
    <row r="247">
      <c r="A247" t="inlineStr">
        <is>
          <t>Schoenergie GmbH</t>
        </is>
      </c>
      <c r="B247" t="inlineStr">
        <is>
          <t>http://www.schoenergie.de/de/presse</t>
        </is>
      </c>
      <c r="C247" t="inlineStr">
        <is>
          <t>Discovered source page</t>
        </is>
      </c>
      <c r="D247" t="inlineStr">
        <is>
          <t>High</t>
        </is>
      </c>
      <c r="E247" t="inlineStr">
        <is>
          <t>Medium</t>
        </is>
      </c>
      <c r="F247" t="inlineStr">
        <is>
          <t>Auto-discovered source-quality score 44; contains dated strategic/source-page signals.</t>
        </is>
      </c>
      <c r="G247" t="inlineStr">
        <is>
          <t>Auto-discovered; review after the next crawl.</t>
        </is>
      </c>
      <c r="H247" t="inlineStr">
        <is>
          <t>Crawl as ranked source first, follow dated article cards, publications and event links, then apply normal signal gates.</t>
        </is>
      </c>
      <c r="L247" t="inlineStr">
        <is>
          <t>Discovered</t>
        </is>
      </c>
    </row>
    <row r="248">
      <c r="A248" t="inlineStr">
        <is>
          <t>Schoenergie GmbH</t>
        </is>
      </c>
      <c r="B248" t="inlineStr">
        <is>
          <t>http://www.schoenergie.de</t>
        </is>
      </c>
      <c r="C248" t="inlineStr">
        <is>
          <t>Discovered source page</t>
        </is>
      </c>
      <c r="D248" t="inlineStr">
        <is>
          <t>Medium</t>
        </is>
      </c>
      <c r="E248" t="inlineStr">
        <is>
          <t>Medium</t>
        </is>
      </c>
      <c r="F248" t="inlineStr">
        <is>
          <t>Auto-discovered source-quality score 32; contains dated strategic/source-page signals.</t>
        </is>
      </c>
      <c r="G248" t="inlineStr">
        <is>
          <t>Auto-discovered; review after the next crawl.</t>
        </is>
      </c>
      <c r="H248" t="inlineStr">
        <is>
          <t>Crawl as ranked source first, follow dated article cards, publications and event links, then apply normal signal gates.</t>
        </is>
      </c>
      <c r="L248" t="inlineStr">
        <is>
          <t>Discovered</t>
        </is>
      </c>
    </row>
    <row r="249">
      <c r="A249" t="inlineStr">
        <is>
          <t>Schoenergie GmbH</t>
        </is>
      </c>
      <c r="B249" t="inlineStr">
        <is>
          <t>https://schoenergie.de/2024/09/09/schoenergie-eroeffnet-neuen-solarpark-minderlittgen_buergerbeteiligung-und-nachhaltigkeit-im-fokus</t>
        </is>
      </c>
      <c r="C249" t="inlineStr">
        <is>
          <t>Discovered source page</t>
        </is>
      </c>
      <c r="D249" t="inlineStr">
        <is>
          <t>Medium</t>
        </is>
      </c>
      <c r="E249" t="inlineStr">
        <is>
          <t>Medium</t>
        </is>
      </c>
      <c r="F249" t="inlineStr">
        <is>
          <t>Auto-discovered source-quality score 24; contains dated strategic/source-page signals.</t>
        </is>
      </c>
      <c r="G249" t="inlineStr">
        <is>
          <t>Auto-discovered; review after the next crawl.</t>
        </is>
      </c>
      <c r="H249" t="inlineStr">
        <is>
          <t>Crawl as ranked source first, follow dated article cards, publications and event links, then apply normal signal gates.</t>
        </is>
      </c>
      <c r="L249" t="inlineStr">
        <is>
          <t>Discovered</t>
        </is>
      </c>
    </row>
    <row r="250">
      <c r="A250" t="inlineStr">
        <is>
          <t>SCHOTT AG</t>
        </is>
      </c>
      <c r="B250" t="inlineStr">
        <is>
          <t>https://www.schott.com/news</t>
        </is>
      </c>
      <c r="C250" t="inlineStr">
        <is>
          <t>Discovered source page</t>
        </is>
      </c>
      <c r="D250" t="inlineStr">
        <is>
          <t>High</t>
        </is>
      </c>
      <c r="E250" t="inlineStr">
        <is>
          <t>Medium</t>
        </is>
      </c>
      <c r="F250" t="inlineStr">
        <is>
          <t>Auto-discovered source-quality score 58; contains dated strategic/source-page signals.</t>
        </is>
      </c>
      <c r="G250" t="inlineStr">
        <is>
          <t>Auto-discovered; review after the next crawl.</t>
        </is>
      </c>
      <c r="H250" t="inlineStr">
        <is>
          <t>Crawl as ranked source first, follow dated article cards, publications and event links, then apply normal signal gates.</t>
        </is>
      </c>
      <c r="L250" t="inlineStr">
        <is>
          <t>Discovered</t>
        </is>
      </c>
    </row>
    <row r="251">
      <c r="A251" t="inlineStr">
        <is>
          <t>SCHOTT AG</t>
        </is>
      </c>
      <c r="B251" t="inlineStr">
        <is>
          <t>https://www.schott.com/publikationen</t>
        </is>
      </c>
      <c r="C251" t="inlineStr">
        <is>
          <t>Discovered source page</t>
        </is>
      </c>
      <c r="D251" t="inlineStr">
        <is>
          <t>Medium</t>
        </is>
      </c>
      <c r="E251" t="inlineStr">
        <is>
          <t>Medium</t>
        </is>
      </c>
      <c r="F251" t="inlineStr">
        <is>
          <t>Auto-discovered source-quality score 38; contains dated strategic/source-page signals.</t>
        </is>
      </c>
      <c r="G251" t="inlineStr">
        <is>
          <t>Auto-discovered; review after the next crawl.</t>
        </is>
      </c>
      <c r="H251" t="inlineStr">
        <is>
          <t>Crawl as ranked source first, follow dated article cards, publications and event links, then apply normal signal gates.</t>
        </is>
      </c>
      <c r="L251" t="inlineStr">
        <is>
          <t>Discovered</t>
        </is>
      </c>
    </row>
    <row r="252">
      <c r="A252" t="inlineStr">
        <is>
          <t>SIMONA AG</t>
        </is>
      </c>
      <c r="B252" t="inlineStr">
        <is>
          <t>https://www.simona.de/events</t>
        </is>
      </c>
      <c r="C252" t="inlineStr">
        <is>
          <t>Discovered source page</t>
        </is>
      </c>
      <c r="D252" t="inlineStr">
        <is>
          <t>Medium</t>
        </is>
      </c>
      <c r="E252" t="inlineStr">
        <is>
          <t>Medium</t>
        </is>
      </c>
      <c r="F252" t="inlineStr">
        <is>
          <t>Auto-discovered source-quality score 30; contains dated strategic/source-page signals.</t>
        </is>
      </c>
      <c r="G252" t="inlineStr">
        <is>
          <t>Auto-discovered; review after the next crawl.</t>
        </is>
      </c>
      <c r="H252" t="inlineStr">
        <is>
          <t>Crawl as ranked source first, follow dated article cards, publications and event links, then apply normal signal gates.</t>
        </is>
      </c>
      <c r="L252" t="inlineStr">
        <is>
          <t>Discovered</t>
        </is>
      </c>
    </row>
    <row r="253">
      <c r="A253" t="inlineStr">
        <is>
          <t>SIMONA AG</t>
        </is>
      </c>
      <c r="B253" t="inlineStr">
        <is>
          <t>https://www.simona.de</t>
        </is>
      </c>
      <c r="C253" t="inlineStr">
        <is>
          <t>Discovered source page</t>
        </is>
      </c>
      <c r="D253" t="inlineStr">
        <is>
          <t>High</t>
        </is>
      </c>
      <c r="E253" t="inlineStr">
        <is>
          <t>Medium</t>
        </is>
      </c>
      <c r="F253" t="inlineStr">
        <is>
          <t>Auto-discovered source-quality score 48; contains dated strategic/source-page signals.</t>
        </is>
      </c>
      <c r="G253" t="inlineStr">
        <is>
          <t>Auto-discovered; review after the next crawl.</t>
        </is>
      </c>
      <c r="H253" t="inlineStr">
        <is>
          <t>Crawl as ranked source first, follow dated article cards, publications and event links, then apply normal signal gates.</t>
        </is>
      </c>
      <c r="L253" t="inlineStr">
        <is>
          <t>Discovered</t>
        </is>
      </c>
    </row>
    <row r="254">
      <c r="A254" t="inlineStr">
        <is>
          <t>SmartFactory KL e.V.</t>
        </is>
      </c>
      <c r="B254" t="inlineStr">
        <is>
          <t>https://smartfactory.de/aktuelles</t>
        </is>
      </c>
      <c r="C254" t="inlineStr">
        <is>
          <t>Discovered source page</t>
        </is>
      </c>
      <c r="D254" t="inlineStr">
        <is>
          <t>Medium</t>
        </is>
      </c>
      <c r="E254" t="inlineStr">
        <is>
          <t>Medium</t>
        </is>
      </c>
      <c r="F254" t="inlineStr">
        <is>
          <t>Auto-discovered source-quality score 40; contains dated strategic/source-page signals.</t>
        </is>
      </c>
      <c r="G254" t="inlineStr">
        <is>
          <t>Auto-discovered; review after the next crawl.</t>
        </is>
      </c>
      <c r="H254" t="inlineStr">
        <is>
          <t>Crawl as ranked source first, follow dated article cards, publications and event links, then apply normal signal gates.</t>
        </is>
      </c>
      <c r="L254" t="inlineStr">
        <is>
          <t>Discovered</t>
        </is>
      </c>
    </row>
    <row r="255">
      <c r="A255" t="inlineStr">
        <is>
          <t>SmartFactory KL e.V.</t>
        </is>
      </c>
      <c r="B255" t="inlineStr">
        <is>
          <t>https://smartfactory.de/news</t>
        </is>
      </c>
      <c r="C255" t="inlineStr">
        <is>
          <t>Discovered source page</t>
        </is>
      </c>
      <c r="D255" t="inlineStr">
        <is>
          <t>High</t>
        </is>
      </c>
      <c r="E255" t="inlineStr">
        <is>
          <t>Medium</t>
        </is>
      </c>
      <c r="F255" t="inlineStr">
        <is>
          <t>Auto-discovered source-quality score 48; contains dated strategic/source-page signals.</t>
        </is>
      </c>
      <c r="G255" t="inlineStr">
        <is>
          <t>Auto-discovered; review after the next crawl.</t>
        </is>
      </c>
      <c r="H255" t="inlineStr">
        <is>
          <t>Crawl as ranked source first, follow dated article cards, publications and event links, then apply normal signal gates.</t>
        </is>
      </c>
      <c r="L255" t="inlineStr">
        <is>
          <t>Discovered</t>
        </is>
      </c>
    </row>
    <row r="256">
      <c r="A256" t="inlineStr">
        <is>
          <t>SmartFactory KL e.V.</t>
        </is>
      </c>
      <c r="B256" t="inlineStr">
        <is>
          <t>https://smartfactory.de/termine</t>
        </is>
      </c>
      <c r="C256" t="inlineStr">
        <is>
          <t>Discovered source page</t>
        </is>
      </c>
      <c r="D256" t="inlineStr">
        <is>
          <t>High</t>
        </is>
      </c>
      <c r="E256" t="inlineStr">
        <is>
          <t>Medium</t>
        </is>
      </c>
      <c r="F256" t="inlineStr">
        <is>
          <t>Auto-discovered source-quality score 48; contains dated strategic/source-page signals.</t>
        </is>
      </c>
      <c r="G256" t="inlineStr">
        <is>
          <t>Auto-discovered; review after the next crawl.</t>
        </is>
      </c>
      <c r="H256" t="inlineStr">
        <is>
          <t>Crawl as ranked source first, follow dated article cards, publications and event links, then apply normal signal gates.</t>
        </is>
      </c>
      <c r="L256" t="inlineStr">
        <is>
          <t>Discovered</t>
        </is>
      </c>
    </row>
    <row r="257">
      <c r="A257" t="inlineStr">
        <is>
          <t>SmartFactory KL e.V.</t>
        </is>
      </c>
      <c r="B257" t="inlineStr">
        <is>
          <t>https://smartfactory.de/veranstaltungen</t>
        </is>
      </c>
      <c r="C257" t="inlineStr">
        <is>
          <t>Discovered source page</t>
        </is>
      </c>
      <c r="D257" t="inlineStr">
        <is>
          <t>High</t>
        </is>
      </c>
      <c r="E257" t="inlineStr">
        <is>
          <t>Medium</t>
        </is>
      </c>
      <c r="F257" t="inlineStr">
        <is>
          <t>Auto-discovered source-quality score 48; contains dated strategic/source-page signals.</t>
        </is>
      </c>
      <c r="G257" t="inlineStr">
        <is>
          <t>Auto-discovered; review after the next crawl.</t>
        </is>
      </c>
      <c r="H257" t="inlineStr">
        <is>
          <t>Crawl as ranked source first, follow dated article cards, publications and event links, then apply normal signal gates.</t>
        </is>
      </c>
      <c r="L257" t="inlineStr">
        <is>
          <t>Discovered</t>
        </is>
      </c>
    </row>
    <row r="258">
      <c r="A258" t="inlineStr">
        <is>
          <t>SmartFactory KL e.V.</t>
        </is>
      </c>
      <c r="B258" t="inlineStr">
        <is>
          <t>https://smartfactory.de/publikationen</t>
        </is>
      </c>
      <c r="C258" t="inlineStr">
        <is>
          <t>Discovered source page</t>
        </is>
      </c>
      <c r="D258" t="inlineStr">
        <is>
          <t>High</t>
        </is>
      </c>
      <c r="E258" t="inlineStr">
        <is>
          <t>Medium</t>
        </is>
      </c>
      <c r="F258" t="inlineStr">
        <is>
          <t>Auto-discovered source-quality score 48; contains dated strategic/source-page signals.</t>
        </is>
      </c>
      <c r="G258" t="inlineStr">
        <is>
          <t>Auto-discovered; review after the next crawl.</t>
        </is>
      </c>
      <c r="H258" t="inlineStr">
        <is>
          <t>Crawl as ranked source first, follow dated article cards, publications and event links, then apply normal signal gates.</t>
        </is>
      </c>
      <c r="L258" t="inlineStr">
        <is>
          <t>Discovered</t>
        </is>
      </c>
    </row>
    <row r="259">
      <c r="A259" t="inlineStr">
        <is>
          <t>SmartFactory KL e.V.</t>
        </is>
      </c>
      <c r="B259" t="inlineStr">
        <is>
          <t>https://smartfactory.de/innovation</t>
        </is>
      </c>
      <c r="C259" t="inlineStr">
        <is>
          <t>Discovered source page</t>
        </is>
      </c>
      <c r="D259" t="inlineStr">
        <is>
          <t>High</t>
        </is>
      </c>
      <c r="E259" t="inlineStr">
        <is>
          <t>Medium</t>
        </is>
      </c>
      <c r="F259" t="inlineStr">
        <is>
          <t>Auto-discovered source-quality score 48; contains dated strategic/source-page signals.</t>
        </is>
      </c>
      <c r="G259" t="inlineStr">
        <is>
          <t>Auto-discovered; review after the next crawl.</t>
        </is>
      </c>
      <c r="H259" t="inlineStr">
        <is>
          <t>Crawl as ranked source first, follow dated article cards, publications and event links, then apply normal signal gates.</t>
        </is>
      </c>
      <c r="L259" t="inlineStr">
        <is>
          <t>Discovered</t>
        </is>
      </c>
    </row>
    <row r="260">
      <c r="A260" t="inlineStr">
        <is>
          <t>SmartFactory KL e.V.</t>
        </is>
      </c>
      <c r="B260" t="inlineStr">
        <is>
          <t>https://smartfactory.de/digitalisierung</t>
        </is>
      </c>
      <c r="C260" t="inlineStr">
        <is>
          <t>Discovered source page</t>
        </is>
      </c>
      <c r="D260" t="inlineStr">
        <is>
          <t>High</t>
        </is>
      </c>
      <c r="E260" t="inlineStr">
        <is>
          <t>Medium</t>
        </is>
      </c>
      <c r="F260" t="inlineStr">
        <is>
          <t>Auto-discovered source-quality score 48; contains dated strategic/source-page signals.</t>
        </is>
      </c>
      <c r="G260" t="inlineStr">
        <is>
          <t>Auto-discovered; review after the next crawl.</t>
        </is>
      </c>
      <c r="H260" t="inlineStr">
        <is>
          <t>Crawl as ranked source first, follow dated article cards, publications and event links, then apply normal signal gates.</t>
        </is>
      </c>
      <c r="L260" t="inlineStr">
        <is>
          <t>Discovered</t>
        </is>
      </c>
    </row>
    <row r="261">
      <c r="A261" t="inlineStr">
        <is>
          <t>SmartFactory KL e.V.</t>
        </is>
      </c>
      <c r="B261" t="inlineStr">
        <is>
          <t>https://smartfactory.de/forschung</t>
        </is>
      </c>
      <c r="C261" t="inlineStr">
        <is>
          <t>Discovered source page</t>
        </is>
      </c>
      <c r="D261" t="inlineStr">
        <is>
          <t>High</t>
        </is>
      </c>
      <c r="E261" t="inlineStr">
        <is>
          <t>Medium</t>
        </is>
      </c>
      <c r="F261" t="inlineStr">
        <is>
          <t>Auto-discovered source-quality score 48; contains dated strategic/source-page signals.</t>
        </is>
      </c>
      <c r="G261" t="inlineStr">
        <is>
          <t>Auto-discovered; review after the next crawl.</t>
        </is>
      </c>
      <c r="H261" t="inlineStr">
        <is>
          <t>Crawl as ranked source first, follow dated article cards, publications and event links, then apply normal signal gates.</t>
        </is>
      </c>
      <c r="L261" t="inlineStr">
        <is>
          <t>Discovered</t>
        </is>
      </c>
    </row>
    <row r="262">
      <c r="A262" t="inlineStr">
        <is>
          <t>SmartFactory KL e.V.</t>
        </is>
      </c>
      <c r="B262" t="inlineStr">
        <is>
          <t>https://smartfactory.de/aktuell</t>
        </is>
      </c>
      <c r="C262" t="inlineStr">
        <is>
          <t>Discovered source page</t>
        </is>
      </c>
      <c r="D262" t="inlineStr">
        <is>
          <t>High</t>
        </is>
      </c>
      <c r="E262" t="inlineStr">
        <is>
          <t>Medium</t>
        </is>
      </c>
      <c r="F262" t="inlineStr">
        <is>
          <t>Auto-discovered source-quality score 48; contains dated strategic/source-page signals.</t>
        </is>
      </c>
      <c r="G262" t="inlineStr">
        <is>
          <t>Auto-discovered; review after the next crawl.</t>
        </is>
      </c>
      <c r="H262" t="inlineStr">
        <is>
          <t>Crawl as ranked source first, follow dated article cards, publications and event links, then apply normal signal gates.</t>
        </is>
      </c>
      <c r="L262" t="inlineStr">
        <is>
          <t>Discovered</t>
        </is>
      </c>
    </row>
    <row r="263">
      <c r="A263" t="inlineStr">
        <is>
          <t>SmartFactory KL e.V.</t>
        </is>
      </c>
      <c r="B263" t="inlineStr">
        <is>
          <t>https://smartfactory.de/meldungen</t>
        </is>
      </c>
      <c r="C263" t="inlineStr">
        <is>
          <t>Discovered source page</t>
        </is>
      </c>
      <c r="D263" t="inlineStr">
        <is>
          <t>High</t>
        </is>
      </c>
      <c r="E263" t="inlineStr">
        <is>
          <t>Medium</t>
        </is>
      </c>
      <c r="F263" t="inlineStr">
        <is>
          <t>Auto-discovered source-quality score 48; contains dated strategic/source-page signals.</t>
        </is>
      </c>
      <c r="G263" t="inlineStr">
        <is>
          <t>Auto-discovered; review after the next crawl.</t>
        </is>
      </c>
      <c r="H263" t="inlineStr">
        <is>
          <t>Crawl as ranked source first, follow dated article cards, publications and event links, then apply normal signal gates.</t>
        </is>
      </c>
      <c r="L263" t="inlineStr">
        <is>
          <t>Discovered</t>
        </is>
      </c>
    </row>
    <row r="264">
      <c r="A264" t="inlineStr">
        <is>
          <t>SmartFactory KL e.V.</t>
        </is>
      </c>
      <c r="B264" t="inlineStr">
        <is>
          <t>https://smartfactory.de/pressemitteilungen</t>
        </is>
      </c>
      <c r="C264" t="inlineStr">
        <is>
          <t>Discovered source page</t>
        </is>
      </c>
      <c r="D264" t="inlineStr">
        <is>
          <t>High</t>
        </is>
      </c>
      <c r="E264" t="inlineStr">
        <is>
          <t>Medium</t>
        </is>
      </c>
      <c r="F264" t="inlineStr">
        <is>
          <t>Auto-discovered source-quality score 48; contains dated strategic/source-page signals.</t>
        </is>
      </c>
      <c r="G264" t="inlineStr">
        <is>
          <t>Auto-discovered; review after the next crawl.</t>
        </is>
      </c>
      <c r="H264" t="inlineStr">
        <is>
          <t>Crawl as ranked source first, follow dated article cards, publications and event links, then apply normal signal gates.</t>
        </is>
      </c>
      <c r="L264" t="inlineStr">
        <is>
          <t>Discovered</t>
        </is>
      </c>
    </row>
    <row r="265">
      <c r="A265" t="inlineStr">
        <is>
          <t>SmartFactory KL e.V.</t>
        </is>
      </c>
      <c r="B265" t="inlineStr">
        <is>
          <t>https://smartfactory.de/newsroom</t>
        </is>
      </c>
      <c r="C265" t="inlineStr">
        <is>
          <t>Discovered source page</t>
        </is>
      </c>
      <c r="D265" t="inlineStr">
        <is>
          <t>High</t>
        </is>
      </c>
      <c r="E265" t="inlineStr">
        <is>
          <t>Medium</t>
        </is>
      </c>
      <c r="F265" t="inlineStr">
        <is>
          <t>Auto-discovered source-quality score 48; contains dated strategic/source-page signals.</t>
        </is>
      </c>
      <c r="G265" t="inlineStr">
        <is>
          <t>Auto-discovered; review after the next crawl.</t>
        </is>
      </c>
      <c r="H265" t="inlineStr">
        <is>
          <t>Crawl as ranked source first, follow dated article cards, publications and event links, then apply normal signal gates.</t>
        </is>
      </c>
      <c r="L265" t="inlineStr">
        <is>
          <t>Discovered</t>
        </is>
      </c>
    </row>
    <row r="266">
      <c r="A266" t="inlineStr">
        <is>
          <t>SmartFactory KL e.V.</t>
        </is>
      </c>
      <c r="B266" t="inlineStr">
        <is>
          <t>https://smartfactory.de/unternehmen/presse</t>
        </is>
      </c>
      <c r="C266" t="inlineStr">
        <is>
          <t>Discovered source page</t>
        </is>
      </c>
      <c r="D266" t="inlineStr">
        <is>
          <t>High</t>
        </is>
      </c>
      <c r="E266" t="inlineStr">
        <is>
          <t>Medium</t>
        </is>
      </c>
      <c r="F266" t="inlineStr">
        <is>
          <t>Auto-discovered source-quality score 48; contains dated strategic/source-page signals.</t>
        </is>
      </c>
      <c r="G266" t="inlineStr">
        <is>
          <t>Auto-discovered; review after the next crawl.</t>
        </is>
      </c>
      <c r="H266" t="inlineStr">
        <is>
          <t>Crawl as ranked source first, follow dated article cards, publications and event links, then apply normal signal gates.</t>
        </is>
      </c>
      <c r="L266" t="inlineStr">
        <is>
          <t>Discovered</t>
        </is>
      </c>
    </row>
    <row r="267">
      <c r="A267" t="inlineStr">
        <is>
          <t>SmartFactory KL e.V.</t>
        </is>
      </c>
      <c r="B267" t="inlineStr">
        <is>
          <t>https://smartfactory.de/de/news</t>
        </is>
      </c>
      <c r="C267" t="inlineStr">
        <is>
          <t>Discovered source page</t>
        </is>
      </c>
      <c r="D267" t="inlineStr">
        <is>
          <t>High</t>
        </is>
      </c>
      <c r="E267" t="inlineStr">
        <is>
          <t>Medium</t>
        </is>
      </c>
      <c r="F267" t="inlineStr">
        <is>
          <t>Auto-discovered source-quality score 48; contains dated strategic/source-page signals.</t>
        </is>
      </c>
      <c r="G267" t="inlineStr">
        <is>
          <t>Auto-discovered; review after the next crawl.</t>
        </is>
      </c>
      <c r="H267" t="inlineStr">
        <is>
          <t>Crawl as ranked source first, follow dated article cards, publications and event links, then apply normal signal gates.</t>
        </is>
      </c>
      <c r="L267" t="inlineStr">
        <is>
          <t>Discovered</t>
        </is>
      </c>
    </row>
    <row r="268">
      <c r="A268" t="inlineStr">
        <is>
          <t>SmartFactory KL e.V.</t>
        </is>
      </c>
      <c r="B268" t="inlineStr">
        <is>
          <t>https://smartfactory.de/de/presse</t>
        </is>
      </c>
      <c r="C268" t="inlineStr">
        <is>
          <t>Discovered source page</t>
        </is>
      </c>
      <c r="D268" t="inlineStr">
        <is>
          <t>High</t>
        </is>
      </c>
      <c r="E268" t="inlineStr">
        <is>
          <t>Medium</t>
        </is>
      </c>
      <c r="F268" t="inlineStr">
        <is>
          <t>Auto-discovered source-quality score 48; contains dated strategic/source-page signals.</t>
        </is>
      </c>
      <c r="G268" t="inlineStr">
        <is>
          <t>Auto-discovered; review after the next crawl.</t>
        </is>
      </c>
      <c r="H268" t="inlineStr">
        <is>
          <t>Crawl as ranked source first, follow dated article cards, publications and event links, then apply normal signal gates.</t>
        </is>
      </c>
      <c r="L268" t="inlineStr">
        <is>
          <t>Discovered</t>
        </is>
      </c>
    </row>
    <row r="269">
      <c r="A269" t="inlineStr">
        <is>
          <t>SmartFactory KL e.V.</t>
        </is>
      </c>
      <c r="B269" t="inlineStr">
        <is>
          <t>https://smartfactory.de/de/aktuelles</t>
        </is>
      </c>
      <c r="C269" t="inlineStr">
        <is>
          <t>Discovered source page</t>
        </is>
      </c>
      <c r="D269" t="inlineStr">
        <is>
          <t>High</t>
        </is>
      </c>
      <c r="E269" t="inlineStr">
        <is>
          <t>Medium</t>
        </is>
      </c>
      <c r="F269" t="inlineStr">
        <is>
          <t>Auto-discovered source-quality score 48; contains dated strategic/source-page signals.</t>
        </is>
      </c>
      <c r="G269" t="inlineStr">
        <is>
          <t>Auto-discovered; review after the next crawl.</t>
        </is>
      </c>
      <c r="H269" t="inlineStr">
        <is>
          <t>Crawl as ranked source first, follow dated article cards, publications and event links, then apply normal signal gates.</t>
        </is>
      </c>
      <c r="L269" t="inlineStr">
        <is>
          <t>Discovered</t>
        </is>
      </c>
    </row>
    <row r="270">
      <c r="A270" t="inlineStr">
        <is>
          <t>SmartFactory KL e.V.</t>
        </is>
      </c>
      <c r="B270" t="inlineStr">
        <is>
          <t>https://smartfactory.de/de/newsroom</t>
        </is>
      </c>
      <c r="C270" t="inlineStr">
        <is>
          <t>Discovered source page</t>
        </is>
      </c>
      <c r="D270" t="inlineStr">
        <is>
          <t>High</t>
        </is>
      </c>
      <c r="E270" t="inlineStr">
        <is>
          <t>Medium</t>
        </is>
      </c>
      <c r="F270" t="inlineStr">
        <is>
          <t>Auto-discovered source-quality score 48; contains dated strategic/source-page signals.</t>
        </is>
      </c>
      <c r="G270" t="inlineStr">
        <is>
          <t>Auto-discovered; review after the next crawl.</t>
        </is>
      </c>
      <c r="H270" t="inlineStr">
        <is>
          <t>Crawl as ranked source first, follow dated article cards, publications and event links, then apply normal signal gates.</t>
        </is>
      </c>
      <c r="L270" t="inlineStr">
        <is>
          <t>Discovered</t>
        </is>
      </c>
    </row>
    <row r="271">
      <c r="A271" t="inlineStr">
        <is>
          <t>SmartFactory KL e.V.</t>
        </is>
      </c>
      <c r="B271" t="inlineStr">
        <is>
          <t>https://smartfactory.de/events</t>
        </is>
      </c>
      <c r="C271" t="inlineStr">
        <is>
          <t>Discovered source page</t>
        </is>
      </c>
      <c r="D271" t="inlineStr">
        <is>
          <t>High</t>
        </is>
      </c>
      <c r="E271" t="inlineStr">
        <is>
          <t>Medium</t>
        </is>
      </c>
      <c r="F271" t="inlineStr">
        <is>
          <t>Auto-discovered source-quality score 58; contains dated strategic/source-page signals.</t>
        </is>
      </c>
      <c r="G271" t="inlineStr">
        <is>
          <t>Auto-discovered; review after the next crawl.</t>
        </is>
      </c>
      <c r="H271" t="inlineStr">
        <is>
          <t>Crawl as ranked source first, follow dated article cards, publications and event links, then apply normal signal gates.</t>
        </is>
      </c>
      <c r="L271" t="inlineStr">
        <is>
          <t>Discovered</t>
        </is>
      </c>
    </row>
    <row r="272">
      <c r="A272" t="inlineStr">
        <is>
          <t>SmartFactory KL e.V.</t>
        </is>
      </c>
      <c r="B272" t="inlineStr">
        <is>
          <t>https://smartfactory.de/transfer</t>
        </is>
      </c>
      <c r="C272" t="inlineStr">
        <is>
          <t>Discovered source page</t>
        </is>
      </c>
      <c r="D272" t="inlineStr">
        <is>
          <t>High</t>
        </is>
      </c>
      <c r="E272" t="inlineStr">
        <is>
          <t>Medium</t>
        </is>
      </c>
      <c r="F272" t="inlineStr">
        <is>
          <t>Auto-discovered source-quality score 48; contains dated strategic/source-page signals.</t>
        </is>
      </c>
      <c r="G272" t="inlineStr">
        <is>
          <t>Auto-discovered; review after the next crawl.</t>
        </is>
      </c>
      <c r="H272" t="inlineStr">
        <is>
          <t>Crawl as ranked source first, follow dated article cards, publications and event links, then apply normal signal gates.</t>
        </is>
      </c>
      <c r="L272" t="inlineStr">
        <is>
          <t>Discovered</t>
        </is>
      </c>
    </row>
    <row r="273">
      <c r="A273" t="inlineStr">
        <is>
          <t>SmartFactory KL e.V.</t>
        </is>
      </c>
      <c r="B273" t="inlineStr">
        <is>
          <t>https://smartfactory.de/studien</t>
        </is>
      </c>
      <c r="C273" t="inlineStr">
        <is>
          <t>Discovered source page</t>
        </is>
      </c>
      <c r="D273" t="inlineStr">
        <is>
          <t>High</t>
        </is>
      </c>
      <c r="E273" t="inlineStr">
        <is>
          <t>Medium</t>
        </is>
      </c>
      <c r="F273" t="inlineStr">
        <is>
          <t>Auto-discovered source-quality score 48; contains dated strategic/source-page signals.</t>
        </is>
      </c>
      <c r="G273" t="inlineStr">
        <is>
          <t>Auto-discovered; review after the next crawl.</t>
        </is>
      </c>
      <c r="H273" t="inlineStr">
        <is>
          <t>Crawl as ranked source first, follow dated article cards, publications and event links, then apply normal signal gates.</t>
        </is>
      </c>
      <c r="L273" t="inlineStr">
        <is>
          <t>Discovered</t>
        </is>
      </c>
    </row>
    <row r="274">
      <c r="A274" t="inlineStr">
        <is>
          <t>SmartFactory KL e.V.</t>
        </is>
      </c>
      <c r="B274" t="inlineStr">
        <is>
          <t>https://smartfactory.de/research</t>
        </is>
      </c>
      <c r="C274" t="inlineStr">
        <is>
          <t>Discovered source page</t>
        </is>
      </c>
      <c r="D274" t="inlineStr">
        <is>
          <t>High</t>
        </is>
      </c>
      <c r="E274" t="inlineStr">
        <is>
          <t>Medium</t>
        </is>
      </c>
      <c r="F274" t="inlineStr">
        <is>
          <t>Auto-discovered source-quality score 48; contains dated strategic/source-page signals.</t>
        </is>
      </c>
      <c r="G274" t="inlineStr">
        <is>
          <t>Auto-discovered; review after the next crawl.</t>
        </is>
      </c>
      <c r="H274" t="inlineStr">
        <is>
          <t>Crawl as ranked source first, follow dated article cards, publications and event links, then apply normal signal gates.</t>
        </is>
      </c>
      <c r="L274" t="inlineStr">
        <is>
          <t>Discovered</t>
        </is>
      </c>
    </row>
    <row r="275">
      <c r="A275" t="inlineStr">
        <is>
          <t>SmartFactory KL e.V.</t>
        </is>
      </c>
      <c r="B275" t="inlineStr">
        <is>
          <t>https://smartfactory.de/analysen</t>
        </is>
      </c>
      <c r="C275" t="inlineStr">
        <is>
          <t>Discovered source page</t>
        </is>
      </c>
      <c r="D275" t="inlineStr">
        <is>
          <t>High</t>
        </is>
      </c>
      <c r="E275" t="inlineStr">
        <is>
          <t>Medium</t>
        </is>
      </c>
      <c r="F275" t="inlineStr">
        <is>
          <t>Auto-discovered source-quality score 48; contains dated strategic/source-page signals.</t>
        </is>
      </c>
      <c r="G275" t="inlineStr">
        <is>
          <t>Auto-discovered; review after the next crawl.</t>
        </is>
      </c>
      <c r="H275" t="inlineStr">
        <is>
          <t>Crawl as ranked source first, follow dated article cards, publications and event links, then apply normal signal gates.</t>
        </is>
      </c>
      <c r="L275" t="inlineStr">
        <is>
          <t>Discovered</t>
        </is>
      </c>
    </row>
    <row r="276">
      <c r="A276" t="inlineStr">
        <is>
          <t>SmartFactory KL e.V.</t>
        </is>
      </c>
      <c r="B276" t="inlineStr">
        <is>
          <t>https://smartfactory.de/downloads</t>
        </is>
      </c>
      <c r="C276" t="inlineStr">
        <is>
          <t>Discovered source page</t>
        </is>
      </c>
      <c r="D276" t="inlineStr">
        <is>
          <t>Medium</t>
        </is>
      </c>
      <c r="E276" t="inlineStr">
        <is>
          <t>Medium</t>
        </is>
      </c>
      <c r="F276" t="inlineStr">
        <is>
          <t>Auto-discovered source-quality score 38; contains dated strategic/source-page signals.</t>
        </is>
      </c>
      <c r="G276" t="inlineStr">
        <is>
          <t>Auto-discovered; review after the next crawl.</t>
        </is>
      </c>
      <c r="H276" t="inlineStr">
        <is>
          <t>Crawl as ranked source first, follow dated article cards, publications and event links, then apply normal signal gates.</t>
        </is>
      </c>
      <c r="L276" t="inlineStr">
        <is>
          <t>Discovered</t>
        </is>
      </c>
    </row>
    <row r="277">
      <c r="A277" t="inlineStr">
        <is>
          <t>SmartFactory KL e.V.</t>
        </is>
      </c>
      <c r="B277" t="inlineStr">
        <is>
          <t>https://smartfactory.de/nachhaltigkeit</t>
        </is>
      </c>
      <c r="C277" t="inlineStr">
        <is>
          <t>Discovered source page</t>
        </is>
      </c>
      <c r="D277" t="inlineStr">
        <is>
          <t>High</t>
        </is>
      </c>
      <c r="E277" t="inlineStr">
        <is>
          <t>Medium</t>
        </is>
      </c>
      <c r="F277" t="inlineStr">
        <is>
          <t>Auto-discovered source-quality score 48; contains dated strategic/source-page signals.</t>
        </is>
      </c>
      <c r="G277" t="inlineStr">
        <is>
          <t>Auto-discovered; review after the next crawl.</t>
        </is>
      </c>
      <c r="H277" t="inlineStr">
        <is>
          <t>Crawl as ranked source first, follow dated article cards, publications and event links, then apply normal signal gates.</t>
        </is>
      </c>
      <c r="L277" t="inlineStr">
        <is>
          <t>Discovered</t>
        </is>
      </c>
    </row>
    <row r="278">
      <c r="A278" t="inlineStr">
        <is>
          <t>SmartFactory KL e.V.</t>
        </is>
      </c>
      <c r="B278" t="inlineStr">
        <is>
          <t>https://smartfactory.de</t>
        </is>
      </c>
      <c r="C278" t="inlineStr">
        <is>
          <t>Discovered source page</t>
        </is>
      </c>
      <c r="D278" t="inlineStr">
        <is>
          <t>High</t>
        </is>
      </c>
      <c r="E278" t="inlineStr">
        <is>
          <t>Medium</t>
        </is>
      </c>
      <c r="F278" t="inlineStr">
        <is>
          <t>Auto-discovered source-quality score 48; contains dated strategic/source-page signals.</t>
        </is>
      </c>
      <c r="G278" t="inlineStr">
        <is>
          <t>Auto-discovered; review after the next crawl.</t>
        </is>
      </c>
      <c r="H278" t="inlineStr">
        <is>
          <t>Crawl as ranked source first, follow dated article cards, publications and event links, then apply normal signal gates.</t>
        </is>
      </c>
      <c r="L278" t="inlineStr">
        <is>
          <t>Discovered</t>
        </is>
      </c>
    </row>
    <row r="279">
      <c r="A279" t="inlineStr">
        <is>
          <t>SmartFactory KL e.V.</t>
        </is>
      </c>
      <c r="B279" t="inlineStr">
        <is>
          <t>https://smartfactory.de/angebot-forschungsprojekte</t>
        </is>
      </c>
      <c r="C279" t="inlineStr">
        <is>
          <t>Discovered source page</t>
        </is>
      </c>
      <c r="D279" t="inlineStr">
        <is>
          <t>High</t>
        </is>
      </c>
      <c r="E279" t="inlineStr">
        <is>
          <t>Medium</t>
        </is>
      </c>
      <c r="F279" t="inlineStr">
        <is>
          <t>Auto-discovered source-quality score 58; contains dated strategic/source-page signals.</t>
        </is>
      </c>
      <c r="G279" t="inlineStr">
        <is>
          <t>Auto-discovered; review after the next crawl.</t>
        </is>
      </c>
      <c r="H279" t="inlineStr">
        <is>
          <t>Crawl as ranked source first, follow dated article cards, publications and event links, then apply normal signal gates.</t>
        </is>
      </c>
      <c r="L279" t="inlineStr">
        <is>
          <t>Discovered</t>
        </is>
      </c>
    </row>
    <row r="280">
      <c r="A280" t="inlineStr">
        <is>
          <t>Sparkassenverband Rheinland-Pfalz</t>
        </is>
      </c>
      <c r="B280" t="inlineStr">
        <is>
          <t>https://www.sv-rlp.de/newsroom</t>
        </is>
      </c>
      <c r="C280" t="inlineStr">
        <is>
          <t>Discovered source page</t>
        </is>
      </c>
      <c r="D280" t="inlineStr">
        <is>
          <t>High</t>
        </is>
      </c>
      <c r="E280" t="inlineStr">
        <is>
          <t>Medium</t>
        </is>
      </c>
      <c r="F280" t="inlineStr">
        <is>
          <t>Auto-discovered source-quality score 70; contains dated strategic/source-page signals.</t>
        </is>
      </c>
      <c r="G280" t="inlineStr">
        <is>
          <t>Auto-discovered; review after the next crawl.</t>
        </is>
      </c>
      <c r="H280" t="inlineStr">
        <is>
          <t>Crawl as ranked source first, follow dated article cards, publications and event links, then apply normal signal gates.</t>
        </is>
      </c>
      <c r="L280" t="inlineStr">
        <is>
          <t>Discovered</t>
        </is>
      </c>
    </row>
    <row r="281">
      <c r="A281" t="inlineStr">
        <is>
          <t>Sparkassenverband Rheinland-Pfalz</t>
        </is>
      </c>
      <c r="B281" t="inlineStr">
        <is>
          <t>https://www.sv-rlp.de/pressemitteilungen</t>
        </is>
      </c>
      <c r="C281" t="inlineStr">
        <is>
          <t>Discovered source page</t>
        </is>
      </c>
      <c r="D281" t="inlineStr">
        <is>
          <t>Medium</t>
        </is>
      </c>
      <c r="E281" t="inlineStr">
        <is>
          <t>Medium</t>
        </is>
      </c>
      <c r="F281" t="inlineStr">
        <is>
          <t>Auto-discovered source-quality score 38; contains dated strategic/source-page signals.</t>
        </is>
      </c>
      <c r="G281" t="inlineStr">
        <is>
          <t>Auto-discovered; review after the next crawl.</t>
        </is>
      </c>
      <c r="H281" t="inlineStr">
        <is>
          <t>Crawl as ranked source first, follow dated article cards, publications and event links, then apply normal signal gates.</t>
        </is>
      </c>
      <c r="L281" t="inlineStr">
        <is>
          <t>Discovered</t>
        </is>
      </c>
    </row>
    <row r="282">
      <c r="A282" t="inlineStr">
        <is>
          <t>Sparkassenverband Rheinland-Pfalz</t>
        </is>
      </c>
      <c r="B282" t="inlineStr">
        <is>
          <t>https://www.sv-rlp.de</t>
        </is>
      </c>
      <c r="C282" t="inlineStr">
        <is>
          <t>Discovered source page</t>
        </is>
      </c>
      <c r="D282" t="inlineStr">
        <is>
          <t>Medium</t>
        </is>
      </c>
      <c r="E282" t="inlineStr">
        <is>
          <t>Medium</t>
        </is>
      </c>
      <c r="F282" t="inlineStr">
        <is>
          <t>Auto-discovered source-quality score 38; contains dated strategic/source-page signals.</t>
        </is>
      </c>
      <c r="G282" t="inlineStr">
        <is>
          <t>Auto-discovered; review after the next crawl.</t>
        </is>
      </c>
      <c r="H282" t="inlineStr">
        <is>
          <t>Crawl as ranked source first, follow dated article cards, publications and event links, then apply normal signal gates.</t>
        </is>
      </c>
      <c r="L282" t="inlineStr">
        <is>
          <t>Discovered</t>
        </is>
      </c>
    </row>
    <row r="283">
      <c r="A283" t="inlineStr">
        <is>
          <t>Staatskanzlei des Landes Rheinland-Pfalz</t>
        </is>
      </c>
      <c r="B283" t="inlineStr">
        <is>
          <t>https://www.rlp.de/regierung/staatskanzlei</t>
        </is>
      </c>
      <c r="C283" t="inlineStr">
        <is>
          <t>Discovered source page</t>
        </is>
      </c>
      <c r="D283" t="inlineStr">
        <is>
          <t>Medium</t>
        </is>
      </c>
      <c r="E283" t="inlineStr">
        <is>
          <t>Medium</t>
        </is>
      </c>
      <c r="F283" t="inlineStr">
        <is>
          <t>Auto-discovered source-quality score 34; contains dated strategic/source-page signals.</t>
        </is>
      </c>
      <c r="G283" t="inlineStr">
        <is>
          <t>Auto-discovered; review after the next crawl.</t>
        </is>
      </c>
      <c r="H283" t="inlineStr">
        <is>
          <t>Crawl as ranked source first, follow dated article cards, publications and event links, then apply normal signal gates.</t>
        </is>
      </c>
      <c r="L283" t="inlineStr">
        <is>
          <t>Discovered</t>
        </is>
      </c>
    </row>
    <row r="284">
      <c r="A284" t="inlineStr">
        <is>
          <t>Steuerberaterkammer Rheinland-Pfalz</t>
        </is>
      </c>
      <c r="B284" t="inlineStr">
        <is>
          <t>https://www.sbk-rlp.de/aktuelles</t>
        </is>
      </c>
      <c r="C284" t="inlineStr">
        <is>
          <t>Discovered source page</t>
        </is>
      </c>
      <c r="D284" t="inlineStr">
        <is>
          <t>High</t>
        </is>
      </c>
      <c r="E284" t="inlineStr">
        <is>
          <t>Medium</t>
        </is>
      </c>
      <c r="F284" t="inlineStr">
        <is>
          <t>Auto-discovered source-quality score 58; contains dated strategic/source-page signals.</t>
        </is>
      </c>
      <c r="G284" t="inlineStr">
        <is>
          <t>Auto-discovered; review after the next crawl.</t>
        </is>
      </c>
      <c r="H284" t="inlineStr">
        <is>
          <t>Crawl as ranked source first, follow dated article cards, publications and event links, then apply normal signal gates.</t>
        </is>
      </c>
      <c r="L284" t="inlineStr">
        <is>
          <t>Discovered</t>
        </is>
      </c>
    </row>
    <row r="285">
      <c r="A285" t="inlineStr">
        <is>
          <t>Steuerberaterkammer Rheinland-Pfalz</t>
        </is>
      </c>
      <c r="B285" t="inlineStr">
        <is>
          <t>https://www.sbk-rlp.de/de/aktuelles</t>
        </is>
      </c>
      <c r="C285" t="inlineStr">
        <is>
          <t>Discovered source page</t>
        </is>
      </c>
      <c r="D285" t="inlineStr">
        <is>
          <t>High</t>
        </is>
      </c>
      <c r="E285" t="inlineStr">
        <is>
          <t>Medium</t>
        </is>
      </c>
      <c r="F285" t="inlineStr">
        <is>
          <t>Auto-discovered source-quality score 58; contains dated strategic/source-page signals.</t>
        </is>
      </c>
      <c r="G285" t="inlineStr">
        <is>
          <t>Auto-discovered; review after the next crawl.</t>
        </is>
      </c>
      <c r="H285" t="inlineStr">
        <is>
          <t>Crawl as ranked source first, follow dated article cards, publications and event links, then apply normal signal gates.</t>
        </is>
      </c>
      <c r="L285" t="inlineStr">
        <is>
          <t>Discovered</t>
        </is>
      </c>
    </row>
    <row r="286">
      <c r="A286" t="inlineStr">
        <is>
          <t>Steuerberaterkammer Rheinland-Pfalz</t>
        </is>
      </c>
      <c r="B286" t="inlineStr">
        <is>
          <t>https://www.sbk-rlp.de/best-handlungsbedarf-pruefen-kurzfristiger-austausch-einer-technischen-komponente-innerhalb-des-egvp-rechtsverkehrs-kann-versand-ueber-best-ab-dem-16-maerz-2026-beeintraechtigen</t>
        </is>
      </c>
      <c r="C286" t="inlineStr">
        <is>
          <t>Discovered source page</t>
        </is>
      </c>
      <c r="D286" t="inlineStr">
        <is>
          <t>Medium</t>
        </is>
      </c>
      <c r="E286" t="inlineStr">
        <is>
          <t>Medium</t>
        </is>
      </c>
      <c r="F286" t="inlineStr">
        <is>
          <t>Auto-discovered source-quality score 38; contains dated strategic/source-page signals.</t>
        </is>
      </c>
      <c r="G286" t="inlineStr">
        <is>
          <t>Auto-discovered; review after the next crawl.</t>
        </is>
      </c>
      <c r="H286" t="inlineStr">
        <is>
          <t>Crawl as ranked source first, follow dated article cards, publications and event links, then apply normal signal gates.</t>
        </is>
      </c>
      <c r="L286" t="inlineStr">
        <is>
          <t>Discovered</t>
        </is>
      </c>
    </row>
    <row r="287">
      <c r="A287" t="inlineStr">
        <is>
          <t>Städtetag Rheinland-Pfalz</t>
        </is>
      </c>
      <c r="B287" t="inlineStr">
        <is>
          <t>https://www.staedtetag-rlp.de/presse</t>
        </is>
      </c>
      <c r="C287" t="inlineStr">
        <is>
          <t>Discovered source page</t>
        </is>
      </c>
      <c r="D287" t="inlineStr">
        <is>
          <t>High</t>
        </is>
      </c>
      <c r="E287" t="inlineStr">
        <is>
          <t>Medium</t>
        </is>
      </c>
      <c r="F287" t="inlineStr">
        <is>
          <t>Auto-discovered source-quality score 56; contains dated strategic/source-page signals.</t>
        </is>
      </c>
      <c r="G287" t="inlineStr">
        <is>
          <t>Auto-discovered; review after the next crawl.</t>
        </is>
      </c>
      <c r="H287" t="inlineStr">
        <is>
          <t>Crawl as ranked source first, follow dated article cards, publications and event links, then apply normal signal gates.</t>
        </is>
      </c>
      <c r="L287" t="inlineStr">
        <is>
          <t>Discovered</t>
        </is>
      </c>
    </row>
    <row r="288">
      <c r="A288" t="inlineStr">
        <is>
          <t>Städtetag Rheinland-Pfalz</t>
        </is>
      </c>
      <c r="B288" t="inlineStr">
        <is>
          <t>https://www.staedtetag-rlp.de/aktuell</t>
        </is>
      </c>
      <c r="C288" t="inlineStr">
        <is>
          <t>Discovered source page</t>
        </is>
      </c>
      <c r="D288" t="inlineStr">
        <is>
          <t>High</t>
        </is>
      </c>
      <c r="E288" t="inlineStr">
        <is>
          <t>Medium</t>
        </is>
      </c>
      <c r="F288" t="inlineStr">
        <is>
          <t>Auto-discovered source-quality score 56; contains dated strategic/source-page signals.</t>
        </is>
      </c>
      <c r="G288" t="inlineStr">
        <is>
          <t>Auto-discovered; review after the next crawl.</t>
        </is>
      </c>
      <c r="H288" t="inlineStr">
        <is>
          <t>Crawl as ranked source first, follow dated article cards, publications and event links, then apply normal signal gates.</t>
        </is>
      </c>
      <c r="L288" t="inlineStr">
        <is>
          <t>Discovered</t>
        </is>
      </c>
    </row>
    <row r="289">
      <c r="A289" t="inlineStr">
        <is>
          <t>Städtetag Rheinland-Pfalz</t>
        </is>
      </c>
      <c r="B289" t="inlineStr">
        <is>
          <t>https://www.staedtetag-rlp.de</t>
        </is>
      </c>
      <c r="C289" t="inlineStr">
        <is>
          <t>Discovered source page</t>
        </is>
      </c>
      <c r="D289" t="inlineStr">
        <is>
          <t>High</t>
        </is>
      </c>
      <c r="E289" t="inlineStr">
        <is>
          <t>Medium</t>
        </is>
      </c>
      <c r="F289" t="inlineStr">
        <is>
          <t>Auto-discovered source-quality score 66; contains dated strategic/source-page signals.</t>
        </is>
      </c>
      <c r="G289" t="inlineStr">
        <is>
          <t>Auto-discovered; review after the next crawl.</t>
        </is>
      </c>
      <c r="H289" t="inlineStr">
        <is>
          <t>Crawl as ranked source first, follow dated article cards, publications and event links, then apply normal signal gates.</t>
        </is>
      </c>
      <c r="L289" t="inlineStr">
        <is>
          <t>Discovered</t>
        </is>
      </c>
    </row>
    <row r="290">
      <c r="A290" t="inlineStr">
        <is>
          <t>SWR – Südwestrundfunk</t>
        </is>
      </c>
      <c r="B290" t="inlineStr">
        <is>
          <t>https://www.swr.de/presse</t>
        </is>
      </c>
      <c r="C290" t="inlineStr">
        <is>
          <t>Discovered source page</t>
        </is>
      </c>
      <c r="D290" t="inlineStr">
        <is>
          <t>High</t>
        </is>
      </c>
      <c r="E290" t="inlineStr">
        <is>
          <t>Medium</t>
        </is>
      </c>
      <c r="F290" t="inlineStr">
        <is>
          <t>Auto-discovered source-quality score 48; contains dated strategic/source-page signals.</t>
        </is>
      </c>
      <c r="G290" t="inlineStr">
        <is>
          <t>Auto-discovered; review after the next crawl.</t>
        </is>
      </c>
      <c r="H290" t="inlineStr">
        <is>
          <t>Crawl as ranked source first, follow dated article cards, publications and event links, then apply normal signal gates.</t>
        </is>
      </c>
      <c r="L290" t="inlineStr">
        <is>
          <t>Discovered</t>
        </is>
      </c>
    </row>
    <row r="291">
      <c r="A291" t="inlineStr">
        <is>
          <t>SWR – Südwestrundfunk</t>
        </is>
      </c>
      <c r="B291" t="inlineStr">
        <is>
          <t>https://www.swr.de/veranstaltungen</t>
        </is>
      </c>
      <c r="C291" t="inlineStr">
        <is>
          <t>Discovered source page</t>
        </is>
      </c>
      <c r="D291" t="inlineStr">
        <is>
          <t>High</t>
        </is>
      </c>
      <c r="E291" t="inlineStr">
        <is>
          <t>Medium</t>
        </is>
      </c>
      <c r="F291" t="inlineStr">
        <is>
          <t>Auto-discovered source-quality score 76; contains dated strategic/source-page signals.</t>
        </is>
      </c>
      <c r="G291" t="inlineStr">
        <is>
          <t>Auto-discovered; review after the next crawl.</t>
        </is>
      </c>
      <c r="H291" t="inlineStr">
        <is>
          <t>Crawl as ranked source first, follow dated article cards, publications and event links, then apply normal signal gates.</t>
        </is>
      </c>
      <c r="L291" t="inlineStr">
        <is>
          <t>Discovered</t>
        </is>
      </c>
    </row>
    <row r="292">
      <c r="A292" t="inlineStr">
        <is>
          <t>SWR – Südwestrundfunk</t>
        </is>
      </c>
      <c r="B292" t="inlineStr">
        <is>
          <t>https://www.swr.de/events</t>
        </is>
      </c>
      <c r="C292" t="inlineStr">
        <is>
          <t>Discovered source page</t>
        </is>
      </c>
      <c r="D292" t="inlineStr">
        <is>
          <t>High</t>
        </is>
      </c>
      <c r="E292" t="inlineStr">
        <is>
          <t>Medium</t>
        </is>
      </c>
      <c r="F292" t="inlineStr">
        <is>
          <t>Auto-discovered source-quality score 76; contains dated strategic/source-page signals.</t>
        </is>
      </c>
      <c r="G292" t="inlineStr">
        <is>
          <t>Auto-discovered; review after the next crawl.</t>
        </is>
      </c>
      <c r="H292" t="inlineStr">
        <is>
          <t>Crawl as ranked source first, follow dated article cards, publications and event links, then apply normal signal gates.</t>
        </is>
      </c>
      <c r="L292" t="inlineStr">
        <is>
          <t>Discovered</t>
        </is>
      </c>
    </row>
    <row r="293">
      <c r="A293" t="inlineStr">
        <is>
          <t>SWR – Südwestrundfunk</t>
        </is>
      </c>
      <c r="B293" t="inlineStr">
        <is>
          <t>https://www.swr.de</t>
        </is>
      </c>
      <c r="C293" t="inlineStr">
        <is>
          <t>Discovered source page</t>
        </is>
      </c>
      <c r="D293" t="inlineStr">
        <is>
          <t>High</t>
        </is>
      </c>
      <c r="E293" t="inlineStr">
        <is>
          <t>Medium</t>
        </is>
      </c>
      <c r="F293" t="inlineStr">
        <is>
          <t>Auto-discovered source-quality score 48; contains dated strategic/source-page signals.</t>
        </is>
      </c>
      <c r="G293" t="inlineStr">
        <is>
          <t>Auto-discovered; review after the next crawl.</t>
        </is>
      </c>
      <c r="H293" t="inlineStr">
        <is>
          <t>Crawl as ranked source first, follow dated article cards, publications and event links, then apply normal signal gates.</t>
        </is>
      </c>
      <c r="L293" t="inlineStr">
        <is>
          <t>Discovered</t>
        </is>
      </c>
    </row>
    <row r="294">
      <c r="A294" t="inlineStr">
        <is>
          <t>Technische Hochschule Bingen</t>
        </is>
      </c>
      <c r="B294" t="inlineStr">
        <is>
          <t>https://www.th-bingen.de/forschung</t>
        </is>
      </c>
      <c r="C294" t="inlineStr">
        <is>
          <t>Discovered source page</t>
        </is>
      </c>
      <c r="D294" t="inlineStr">
        <is>
          <t>High</t>
        </is>
      </c>
      <c r="E294" t="inlineStr">
        <is>
          <t>Medium</t>
        </is>
      </c>
      <c r="F294" t="inlineStr">
        <is>
          <t>Auto-discovered source-quality score 58; contains dated strategic/source-page signals.</t>
        </is>
      </c>
      <c r="G294" t="inlineStr">
        <is>
          <t>Auto-discovered; review after the next crawl.</t>
        </is>
      </c>
      <c r="H294" t="inlineStr">
        <is>
          <t>Crawl as ranked source first, follow dated article cards, publications and event links, then apply normal signal gates.</t>
        </is>
      </c>
      <c r="L294" t="inlineStr">
        <is>
          <t>Discovered</t>
        </is>
      </c>
    </row>
    <row r="295">
      <c r="A295" t="inlineStr">
        <is>
          <t>Technische Hochschule Bingen</t>
        </is>
      </c>
      <c r="B295" t="inlineStr">
        <is>
          <t>https://www.th-bingen.de/presse</t>
        </is>
      </c>
      <c r="C295" t="inlineStr">
        <is>
          <t>Discovered source page</t>
        </is>
      </c>
      <c r="D295" t="inlineStr">
        <is>
          <t>High</t>
        </is>
      </c>
      <c r="E295" t="inlineStr">
        <is>
          <t>Medium</t>
        </is>
      </c>
      <c r="F295" t="inlineStr">
        <is>
          <t>Auto-discovered source-quality score 48; contains dated strategic/source-page signals.</t>
        </is>
      </c>
      <c r="G295" t="inlineStr">
        <is>
          <t>Auto-discovered; review after the next crawl.</t>
        </is>
      </c>
      <c r="H295" t="inlineStr">
        <is>
          <t>Crawl as ranked source first, follow dated article cards, publications and event links, then apply normal signal gates.</t>
        </is>
      </c>
      <c r="L295" t="inlineStr">
        <is>
          <t>Discovered</t>
        </is>
      </c>
    </row>
    <row r="296">
      <c r="A296" t="inlineStr">
        <is>
          <t>thyssenkrupp Rasselstein GmbH</t>
        </is>
      </c>
      <c r="B296" t="inlineStr">
        <is>
          <t>https://www.thyssenkrupp-steel.com/nachhaltigkeit</t>
        </is>
      </c>
      <c r="C296" t="inlineStr">
        <is>
          <t>Discovered source page</t>
        </is>
      </c>
      <c r="D296" t="inlineStr">
        <is>
          <t>Medium</t>
        </is>
      </c>
      <c r="E296" t="inlineStr">
        <is>
          <t>Medium</t>
        </is>
      </c>
      <c r="F296" t="inlineStr">
        <is>
          <t>Auto-discovered source-quality score 32; contains dated strategic/source-page signals.</t>
        </is>
      </c>
      <c r="G296" t="inlineStr">
        <is>
          <t>Auto-discovered; review after the next crawl.</t>
        </is>
      </c>
      <c r="H296" t="inlineStr">
        <is>
          <t>Crawl as ranked source first, follow dated article cards, publications and event links, then apply normal signal gates.</t>
        </is>
      </c>
      <c r="L296" t="inlineStr">
        <is>
          <t>Discovered</t>
        </is>
      </c>
    </row>
    <row r="297">
      <c r="A297" t="inlineStr">
        <is>
          <t>TÜV Rheinland Berlin Brandenburg Pfalz e.V.</t>
        </is>
      </c>
      <c r="B297" t="inlineStr">
        <is>
          <t>https://www.tuv.com/veranstaltungen</t>
        </is>
      </c>
      <c r="C297" t="inlineStr">
        <is>
          <t>Discovered source page</t>
        </is>
      </c>
      <c r="D297" t="inlineStr">
        <is>
          <t>Medium</t>
        </is>
      </c>
      <c r="E297" t="inlineStr">
        <is>
          <t>Medium</t>
        </is>
      </c>
      <c r="F297" t="inlineStr">
        <is>
          <t>Auto-discovered source-quality score 24; contains dated strategic/source-page signals.</t>
        </is>
      </c>
      <c r="G297" t="inlineStr">
        <is>
          <t>Auto-discovered; review after the next crawl.</t>
        </is>
      </c>
      <c r="H297" t="inlineStr">
        <is>
          <t>Crawl as ranked source first, follow dated article cards, publications and event links, then apply normal signal gates.</t>
        </is>
      </c>
      <c r="L297" t="inlineStr">
        <is>
          <t>Discovered</t>
        </is>
      </c>
    </row>
    <row r="298">
      <c r="A298" t="inlineStr">
        <is>
          <t>TÜV Rheinland Berlin Brandenburg Pfalz e.V.</t>
        </is>
      </c>
      <c r="B298" t="inlineStr">
        <is>
          <t>https://www.tuv.com/innovation</t>
        </is>
      </c>
      <c r="C298" t="inlineStr">
        <is>
          <t>Discovered source page</t>
        </is>
      </c>
      <c r="D298" t="inlineStr">
        <is>
          <t>High</t>
        </is>
      </c>
      <c r="E298" t="inlineStr">
        <is>
          <t>Medium</t>
        </is>
      </c>
      <c r="F298" t="inlineStr">
        <is>
          <t>Auto-discovered source-quality score 44; contains dated strategic/source-page signals.</t>
        </is>
      </c>
      <c r="G298" t="inlineStr">
        <is>
          <t>Auto-discovered; review after the next crawl.</t>
        </is>
      </c>
      <c r="H298" t="inlineStr">
        <is>
          <t>Crawl as ranked source first, follow dated article cards, publications and event links, then apply normal signal gates.</t>
        </is>
      </c>
      <c r="L298" t="inlineStr">
        <is>
          <t>Discovered</t>
        </is>
      </c>
    </row>
    <row r="299">
      <c r="A299" t="inlineStr">
        <is>
          <t>TÜV Rheinland Berlin Brandenburg Pfalz e.V.</t>
        </is>
      </c>
      <c r="B299" t="inlineStr">
        <is>
          <t>https://www.tuv.com/nachhaltigkeit</t>
        </is>
      </c>
      <c r="C299" t="inlineStr">
        <is>
          <t>Discovered source page</t>
        </is>
      </c>
      <c r="D299" t="inlineStr">
        <is>
          <t>High</t>
        </is>
      </c>
      <c r="E299" t="inlineStr">
        <is>
          <t>Medium</t>
        </is>
      </c>
      <c r="F299" t="inlineStr">
        <is>
          <t>Auto-discovered source-quality score 58; contains dated strategic/source-page signals.</t>
        </is>
      </c>
      <c r="G299" t="inlineStr">
        <is>
          <t>Auto-discovered; review after the next crawl.</t>
        </is>
      </c>
      <c r="H299" t="inlineStr">
        <is>
          <t>Crawl as ranked source first, follow dated article cards, publications and event links, then apply normal signal gates.</t>
        </is>
      </c>
      <c r="L299" t="inlineStr">
        <is>
          <t>Discovered</t>
        </is>
      </c>
    </row>
    <row r="300">
      <c r="A300" t="inlineStr">
        <is>
          <t>TÜV Rheinland Berlin Brandenburg Pfalz e.V.</t>
        </is>
      </c>
      <c r="B300" t="inlineStr">
        <is>
          <t>https://www.tuv.com/events</t>
        </is>
      </c>
      <c r="C300" t="inlineStr">
        <is>
          <t>Discovered source page</t>
        </is>
      </c>
      <c r="D300" t="inlineStr">
        <is>
          <t>Medium</t>
        </is>
      </c>
      <c r="E300" t="inlineStr">
        <is>
          <t>Medium</t>
        </is>
      </c>
      <c r="F300" t="inlineStr">
        <is>
          <t>Auto-discovered source-quality score 24; contains dated strategic/source-page signals.</t>
        </is>
      </c>
      <c r="G300" t="inlineStr">
        <is>
          <t>Auto-discovered; review after the next crawl.</t>
        </is>
      </c>
      <c r="H300" t="inlineStr">
        <is>
          <t>Crawl as ranked source first, follow dated article cards, publications and event links, then apply normal signal gates.</t>
        </is>
      </c>
      <c r="L300" t="inlineStr">
        <is>
          <t>Discovered</t>
        </is>
      </c>
    </row>
    <row r="301">
      <c r="A301" t="inlineStr">
        <is>
          <t>TÜV Rheinland Berlin Brandenburg Pfalz e.V.</t>
        </is>
      </c>
      <c r="B301" t="inlineStr">
        <is>
          <t>https://www.tuv.com/germany/de</t>
        </is>
      </c>
      <c r="C301" t="inlineStr">
        <is>
          <t>Discovered source page</t>
        </is>
      </c>
      <c r="D301" t="inlineStr">
        <is>
          <t>Medium</t>
        </is>
      </c>
      <c r="E301" t="inlineStr">
        <is>
          <t>Medium</t>
        </is>
      </c>
      <c r="F301" t="inlineStr">
        <is>
          <t>Auto-discovered source-quality score 32; contains dated strategic/source-page signals.</t>
        </is>
      </c>
      <c r="G301" t="inlineStr">
        <is>
          <t>Auto-discovered; review after the next crawl.</t>
        </is>
      </c>
      <c r="H301" t="inlineStr">
        <is>
          <t>Crawl as ranked source first, follow dated article cards, publications and event links, then apply normal signal gates.</t>
        </is>
      </c>
      <c r="L301" t="inlineStr">
        <is>
          <t>Discovered</t>
        </is>
      </c>
    </row>
    <row r="302">
      <c r="A302" t="inlineStr">
        <is>
          <t>Universität Koblenz</t>
        </is>
      </c>
      <c r="B302" t="inlineStr">
        <is>
          <t>http://www.uni-koblenz.de/de/newsroom</t>
        </is>
      </c>
      <c r="C302" t="inlineStr">
        <is>
          <t>Discovered source page</t>
        </is>
      </c>
      <c r="D302" t="inlineStr">
        <is>
          <t>Medium</t>
        </is>
      </c>
      <c r="E302" t="inlineStr">
        <is>
          <t>Medium</t>
        </is>
      </c>
      <c r="F302" t="inlineStr">
        <is>
          <t>Auto-discovered source-quality score 24; contains dated strategic/source-page signals.</t>
        </is>
      </c>
      <c r="G302" t="inlineStr">
        <is>
          <t>Auto-discovered; review after the next crawl.</t>
        </is>
      </c>
      <c r="H302" t="inlineStr">
        <is>
          <t>Crawl as ranked source first, follow dated article cards, publications and event links, then apply normal signal gates.</t>
        </is>
      </c>
      <c r="L302" t="inlineStr">
        <is>
          <t>Discovered</t>
        </is>
      </c>
    </row>
    <row r="303">
      <c r="A303" t="inlineStr">
        <is>
          <t>Universität Koblenz</t>
        </is>
      </c>
      <c r="B303" t="inlineStr">
        <is>
          <t>http://www.uni-koblenz.de</t>
        </is>
      </c>
      <c r="C303" t="inlineStr">
        <is>
          <t>Discovered source page</t>
        </is>
      </c>
      <c r="D303" t="inlineStr">
        <is>
          <t>Medium</t>
        </is>
      </c>
      <c r="E303" t="inlineStr">
        <is>
          <t>Medium</t>
        </is>
      </c>
      <c r="F303" t="inlineStr">
        <is>
          <t>Auto-discovered source-quality score 32; contains dated strategic/source-page signals.</t>
        </is>
      </c>
      <c r="G303" t="inlineStr">
        <is>
          <t>Auto-discovered; review after the next crawl.</t>
        </is>
      </c>
      <c r="H303" t="inlineStr">
        <is>
          <t>Crawl as ranked source first, follow dated article cards, publications and event links, then apply normal signal gates.</t>
        </is>
      </c>
      <c r="L303" t="inlineStr">
        <is>
          <t>Discovered</t>
        </is>
      </c>
    </row>
    <row r="304">
      <c r="A304" t="inlineStr">
        <is>
          <t>Universität Trier</t>
        </is>
      </c>
      <c r="B304" t="inlineStr">
        <is>
          <t>https://www.uni-trier.de/forschung</t>
        </is>
      </c>
      <c r="C304" t="inlineStr">
        <is>
          <t>Discovered source page</t>
        </is>
      </c>
      <c r="D304" t="inlineStr">
        <is>
          <t>High</t>
        </is>
      </c>
      <c r="E304" t="inlineStr">
        <is>
          <t>Medium</t>
        </is>
      </c>
      <c r="F304" t="inlineStr">
        <is>
          <t>Auto-discovered source-quality score 58; contains dated strategic/source-page signals.</t>
        </is>
      </c>
      <c r="G304" t="inlineStr">
        <is>
          <t>Auto-discovered; review after the next crawl.</t>
        </is>
      </c>
      <c r="H304" t="inlineStr">
        <is>
          <t>Crawl as ranked source first, follow dated article cards, publications and event links, then apply normal signal gates.</t>
        </is>
      </c>
      <c r="L304" t="inlineStr">
        <is>
          <t>Discovered</t>
        </is>
      </c>
    </row>
    <row r="305">
      <c r="A305" t="inlineStr">
        <is>
          <t>Universität Trier</t>
        </is>
      </c>
      <c r="B305" t="inlineStr">
        <is>
          <t>https://www.uni-trier.de</t>
        </is>
      </c>
      <c r="C305" t="inlineStr">
        <is>
          <t>Discovered source page</t>
        </is>
      </c>
      <c r="D305" t="inlineStr">
        <is>
          <t>High</t>
        </is>
      </c>
      <c r="E305" t="inlineStr">
        <is>
          <t>Medium</t>
        </is>
      </c>
      <c r="F305" t="inlineStr">
        <is>
          <t>Auto-discovered source-quality score 48; contains dated strategic/source-page signals.</t>
        </is>
      </c>
      <c r="G305" t="inlineStr">
        <is>
          <t>Auto-discovered; review after the next crawl.</t>
        </is>
      </c>
      <c r="H305" t="inlineStr">
        <is>
          <t>Crawl as ranked source first, follow dated article cards, publications and event links, then apply normal signal gates.</t>
        </is>
      </c>
      <c r="L305" t="inlineStr">
        <is>
          <t>Discovered</t>
        </is>
      </c>
    </row>
    <row r="306">
      <c r="A306" t="inlineStr">
        <is>
          <t>Vereinigte VR Bank Kur- und Rheinpfalz eG</t>
        </is>
      </c>
      <c r="B306" t="inlineStr">
        <is>
          <t>https://www.vvrbank-krp.de/nachhaltigkeit</t>
        </is>
      </c>
      <c r="C306" t="inlineStr">
        <is>
          <t>Discovered source page</t>
        </is>
      </c>
      <c r="D306" t="inlineStr">
        <is>
          <t>High</t>
        </is>
      </c>
      <c r="E306" t="inlineStr">
        <is>
          <t>Medium</t>
        </is>
      </c>
      <c r="F306" t="inlineStr">
        <is>
          <t>Auto-discovered source-quality score 60; contains dated strategic/source-page signals.</t>
        </is>
      </c>
      <c r="G306" t="inlineStr">
        <is>
          <t>Auto-discovered; review after the next crawl.</t>
        </is>
      </c>
      <c r="H306" t="inlineStr">
        <is>
          <t>Crawl as ranked source first, follow dated article cards, publications and event links, then apply normal signal gates.</t>
        </is>
      </c>
      <c r="L306" t="inlineStr">
        <is>
          <t>Discovered</t>
        </is>
      </c>
    </row>
    <row r="307">
      <c r="A307" t="inlineStr">
        <is>
          <t>Vereinigte VR Bank Kur- und Rheinpfalz eG</t>
        </is>
      </c>
      <c r="B307" t="inlineStr">
        <is>
          <t>https://www.vvrbank-krp.de/firmenkunden/versicherung/produkte/versicherungen-fuer-bauunternehmen-ruv.html</t>
        </is>
      </c>
      <c r="C307" t="inlineStr">
        <is>
          <t>Discovered source page</t>
        </is>
      </c>
      <c r="D307" t="inlineStr">
        <is>
          <t>High</t>
        </is>
      </c>
      <c r="E307" t="inlineStr">
        <is>
          <t>Medium</t>
        </is>
      </c>
      <c r="F307" t="inlineStr">
        <is>
          <t>Auto-discovered source-quality score 56; contains dated strategic/source-page signals.</t>
        </is>
      </c>
      <c r="G307" t="inlineStr">
        <is>
          <t>Auto-discovered; review after the next crawl.</t>
        </is>
      </c>
      <c r="H307" t="inlineStr">
        <is>
          <t>Crawl as ranked source first, follow dated article cards, publications and event links, then apply normal signal gates.</t>
        </is>
      </c>
      <c r="L307" t="inlineStr">
        <is>
          <t>Discovered</t>
        </is>
      </c>
    </row>
    <row r="308">
      <c r="A308" t="inlineStr">
        <is>
          <t>Vereinigte VR Bank Kur- und Rheinpfalz eG</t>
        </is>
      </c>
      <c r="B308" t="inlineStr">
        <is>
          <t>https://www.vvrbank-krp.de/firmenkunden/finanzierung/produkte/e-mobilitaet-im-unternehmen.html</t>
        </is>
      </c>
      <c r="C308" t="inlineStr">
        <is>
          <t>Discovered source page</t>
        </is>
      </c>
      <c r="D308" t="inlineStr">
        <is>
          <t>Medium</t>
        </is>
      </c>
      <c r="E308" t="inlineStr">
        <is>
          <t>Medium</t>
        </is>
      </c>
      <c r="F308" t="inlineStr">
        <is>
          <t>Auto-discovered source-quality score 38; contains dated strategic/source-page signals.</t>
        </is>
      </c>
      <c r="G308" t="inlineStr">
        <is>
          <t>Auto-discovered; review after the next crawl.</t>
        </is>
      </c>
      <c r="H308" t="inlineStr">
        <is>
          <t>Crawl as ranked source first, follow dated article cards, publications and event links, then apply normal signal gates.</t>
        </is>
      </c>
      <c r="L308" t="inlineStr">
        <is>
          <t>Discovered</t>
        </is>
      </c>
    </row>
    <row r="309">
      <c r="A309" t="inlineStr">
        <is>
          <t>vero – Verband der Bau- und Rohstoffindustrie</t>
        </is>
      </c>
      <c r="B309" t="inlineStr">
        <is>
          <t>http://www.vero-baustoffe.de/presse</t>
        </is>
      </c>
      <c r="C309" t="inlineStr">
        <is>
          <t>Discovered source page</t>
        </is>
      </c>
      <c r="D309" t="inlineStr">
        <is>
          <t>Medium</t>
        </is>
      </c>
      <c r="E309" t="inlineStr">
        <is>
          <t>Medium</t>
        </is>
      </c>
      <c r="F309" t="inlineStr">
        <is>
          <t>Auto-discovered source-quality score 24; contains dated strategic/source-page signals.</t>
        </is>
      </c>
      <c r="G309" t="inlineStr">
        <is>
          <t>Auto-discovered; review after the next crawl.</t>
        </is>
      </c>
      <c r="H309" t="inlineStr">
        <is>
          <t>Crawl as ranked source first, follow dated article cards, publications and event links, then apply normal signal gates.</t>
        </is>
      </c>
      <c r="L309" t="inlineStr">
        <is>
          <t>Discovered</t>
        </is>
      </c>
    </row>
    <row r="310">
      <c r="A310" t="inlineStr">
        <is>
          <t>vero – Verband der Bau- und Rohstoffindustrie</t>
        </is>
      </c>
      <c r="B310" t="inlineStr">
        <is>
          <t>http://www.vero-baustoffe.de/news</t>
        </is>
      </c>
      <c r="C310" t="inlineStr">
        <is>
          <t>Discovered source page</t>
        </is>
      </c>
      <c r="D310" t="inlineStr">
        <is>
          <t>Medium</t>
        </is>
      </c>
      <c r="E310" t="inlineStr">
        <is>
          <t>Medium</t>
        </is>
      </c>
      <c r="F310" t="inlineStr">
        <is>
          <t>Auto-discovered source-quality score 24; contains dated strategic/source-page signals.</t>
        </is>
      </c>
      <c r="G310" t="inlineStr">
        <is>
          <t>Auto-discovered; review after the next crawl.</t>
        </is>
      </c>
      <c r="H310" t="inlineStr">
        <is>
          <t>Crawl as ranked source first, follow dated article cards, publications and event links, then apply normal signal gates.</t>
        </is>
      </c>
      <c r="L310" t="inlineStr">
        <is>
          <t>Discovered</t>
        </is>
      </c>
    </row>
    <row r="311">
      <c r="A311" t="inlineStr">
        <is>
          <t>vero – Verband der Bau- und Rohstoffindustrie</t>
        </is>
      </c>
      <c r="B311" t="inlineStr">
        <is>
          <t>http://www.vero-baustoffe.de/pressemitteilungen</t>
        </is>
      </c>
      <c r="C311" t="inlineStr">
        <is>
          <t>Discovered source page</t>
        </is>
      </c>
      <c r="D311" t="inlineStr">
        <is>
          <t>Medium</t>
        </is>
      </c>
      <c r="E311" t="inlineStr">
        <is>
          <t>Medium</t>
        </is>
      </c>
      <c r="F311" t="inlineStr">
        <is>
          <t>Auto-discovered source-quality score 24; contains dated strategic/source-page signals.</t>
        </is>
      </c>
      <c r="G311" t="inlineStr">
        <is>
          <t>Auto-discovered; review after the next crawl.</t>
        </is>
      </c>
      <c r="H311" t="inlineStr">
        <is>
          <t>Crawl as ranked source first, follow dated article cards, publications and event links, then apply normal signal gates.</t>
        </is>
      </c>
      <c r="L311" t="inlineStr">
        <is>
          <t>Discovered</t>
        </is>
      </c>
    </row>
    <row r="312">
      <c r="A312" t="inlineStr">
        <is>
          <t>vero – Verband der Bau- und Rohstoffindustrie</t>
        </is>
      </c>
      <c r="B312" t="inlineStr">
        <is>
          <t>http://www.vero-baustoffe.de/downloads</t>
        </is>
      </c>
      <c r="C312" t="inlineStr">
        <is>
          <t>Discovered source page</t>
        </is>
      </c>
      <c r="D312" t="inlineStr">
        <is>
          <t>Medium</t>
        </is>
      </c>
      <c r="E312" t="inlineStr">
        <is>
          <t>Medium</t>
        </is>
      </c>
      <c r="F312" t="inlineStr">
        <is>
          <t>Auto-discovered source-quality score 26; contains dated strategic/source-page signals.</t>
        </is>
      </c>
      <c r="G312" t="inlineStr">
        <is>
          <t>Auto-discovered; review after the next crawl.</t>
        </is>
      </c>
      <c r="H312" t="inlineStr">
        <is>
          <t>Crawl as ranked source first, follow dated article cards, publications and event links, then apply normal signal gates.</t>
        </is>
      </c>
      <c r="L312" t="inlineStr">
        <is>
          <t>Discovered</t>
        </is>
      </c>
    </row>
    <row r="313">
      <c r="A313" t="inlineStr">
        <is>
          <t>vero – Verband der Bau- und Rohstoffindustrie</t>
        </is>
      </c>
      <c r="B313" t="inlineStr">
        <is>
          <t>http://www.vero-baustoffe.de</t>
        </is>
      </c>
      <c r="C313" t="inlineStr">
        <is>
          <t>Discovered source page</t>
        </is>
      </c>
      <c r="D313" t="inlineStr">
        <is>
          <t>Medium</t>
        </is>
      </c>
      <c r="E313" t="inlineStr">
        <is>
          <t>Medium</t>
        </is>
      </c>
      <c r="F313" t="inlineStr">
        <is>
          <t>Auto-discovered source-quality score 32; contains dated strategic/source-page signals.</t>
        </is>
      </c>
      <c r="G313" t="inlineStr">
        <is>
          <t>Auto-discovered; review after the next crawl.</t>
        </is>
      </c>
      <c r="H313" t="inlineStr">
        <is>
          <t>Crawl as ranked source first, follow dated article cards, publications and event links, then apply normal signal gates.</t>
        </is>
      </c>
      <c r="L313" t="inlineStr">
        <is>
          <t>Discovered</t>
        </is>
      </c>
    </row>
    <row r="314">
      <c r="A314" t="inlineStr">
        <is>
          <t>vero – Verband der Bau- und Rohstoffindustrie</t>
        </is>
      </c>
      <c r="B314" t="inlineStr">
        <is>
          <t>https://www.vero-baustoffe.de</t>
        </is>
      </c>
      <c r="C314" t="inlineStr">
        <is>
          <t>Discovered source page</t>
        </is>
      </c>
      <c r="D314" t="inlineStr">
        <is>
          <t>Medium</t>
        </is>
      </c>
      <c r="E314" t="inlineStr">
        <is>
          <t>Medium</t>
        </is>
      </c>
      <c r="F314" t="inlineStr">
        <is>
          <t>Auto-discovered source-quality score 32; contains dated strategic/source-page signals.</t>
        </is>
      </c>
      <c r="G314" t="inlineStr">
        <is>
          <t>Auto-discovered; review after the next crawl.</t>
        </is>
      </c>
      <c r="H314" t="inlineStr">
        <is>
          <t>Crawl as ranked source first, follow dated article cards, publications and event links, then apply normal signal gates.</t>
        </is>
      </c>
      <c r="L314" t="inlineStr">
        <is>
          <t>Discovered</t>
        </is>
      </c>
    </row>
    <row r="315">
      <c r="A315" t="inlineStr">
        <is>
          <t>Villa Musica Rheinland-Pfalz</t>
        </is>
      </c>
      <c r="B315" t="inlineStr">
        <is>
          <t>https://www.villamusica.de/news</t>
        </is>
      </c>
      <c r="C315" t="inlineStr">
        <is>
          <t>Discovered source page</t>
        </is>
      </c>
      <c r="D315" t="inlineStr">
        <is>
          <t>High</t>
        </is>
      </c>
      <c r="E315" t="inlineStr">
        <is>
          <t>Medium</t>
        </is>
      </c>
      <c r="F315" t="inlineStr">
        <is>
          <t>Auto-discovered source-quality score 76; contains dated strategic/source-page signals.</t>
        </is>
      </c>
      <c r="G315" t="inlineStr">
        <is>
          <t>Auto-discovered; review after the next crawl.</t>
        </is>
      </c>
      <c r="H315" t="inlineStr">
        <is>
          <t>Crawl as ranked source first, follow dated article cards, publications and event links, then apply normal signal gates.</t>
        </is>
      </c>
      <c r="L315" t="inlineStr">
        <is>
          <t>Discovered</t>
        </is>
      </c>
    </row>
    <row r="316">
      <c r="A316" t="inlineStr">
        <is>
          <t>Villa Musica Rheinland-Pfalz</t>
        </is>
      </c>
      <c r="B316" t="inlineStr">
        <is>
          <t>https://www.villamusica.de/presse</t>
        </is>
      </c>
      <c r="C316" t="inlineStr">
        <is>
          <t>Discovered source page</t>
        </is>
      </c>
      <c r="D316" t="inlineStr">
        <is>
          <t>High</t>
        </is>
      </c>
      <c r="E316" t="inlineStr">
        <is>
          <t>Medium</t>
        </is>
      </c>
      <c r="F316" t="inlineStr">
        <is>
          <t>Auto-discovered source-quality score 58; contains dated strategic/source-page signals.</t>
        </is>
      </c>
      <c r="G316" t="inlineStr">
        <is>
          <t>Auto-discovered; review after the next crawl.</t>
        </is>
      </c>
      <c r="H316" t="inlineStr">
        <is>
          <t>Crawl as ranked source first, follow dated article cards, publications and event links, then apply normal signal gates.</t>
        </is>
      </c>
      <c r="L316" t="inlineStr">
        <is>
          <t>Discovered</t>
        </is>
      </c>
    </row>
    <row r="317">
      <c r="A317" t="inlineStr">
        <is>
          <t>Villa Musica Rheinland-Pfalz</t>
        </is>
      </c>
      <c r="B317" t="inlineStr">
        <is>
          <t>https://www.villamusica.de/pressemitteilungen</t>
        </is>
      </c>
      <c r="C317" t="inlineStr">
        <is>
          <t>Discovered source page</t>
        </is>
      </c>
      <c r="D317" t="inlineStr">
        <is>
          <t>High</t>
        </is>
      </c>
      <c r="E317" t="inlineStr">
        <is>
          <t>Medium</t>
        </is>
      </c>
      <c r="F317" t="inlineStr">
        <is>
          <t>Auto-discovered source-quality score 58; contains dated strategic/source-page signals.</t>
        </is>
      </c>
      <c r="G317" t="inlineStr">
        <is>
          <t>Auto-discovered; review after the next crawl.</t>
        </is>
      </c>
      <c r="H317" t="inlineStr">
        <is>
          <t>Crawl as ranked source first, follow dated article cards, publications and event links, then apply normal signal gates.</t>
        </is>
      </c>
      <c r="L317" t="inlineStr">
        <is>
          <t>Discovered</t>
        </is>
      </c>
    </row>
    <row r="318">
      <c r="A318" t="inlineStr">
        <is>
          <t>Villa Musica Rheinland-Pfalz</t>
        </is>
      </c>
      <c r="B318" t="inlineStr">
        <is>
          <t>https://www.villamusica.de</t>
        </is>
      </c>
      <c r="C318" t="inlineStr">
        <is>
          <t>Discovered source page</t>
        </is>
      </c>
      <c r="D318" t="inlineStr">
        <is>
          <t>Medium</t>
        </is>
      </c>
      <c r="E318" t="inlineStr">
        <is>
          <t>Medium</t>
        </is>
      </c>
      <c r="F318" t="inlineStr">
        <is>
          <t>Auto-discovered source-quality score 38; contains dated strategic/source-page signals.</t>
        </is>
      </c>
      <c r="G318" t="inlineStr">
        <is>
          <t>Auto-discovered; review after the next crawl.</t>
        </is>
      </c>
      <c r="H318" t="inlineStr">
        <is>
          <t>Crawl as ranked source first, follow dated article cards, publications and event links, then apply normal signal gates.</t>
        </is>
      </c>
      <c r="L318" t="inlineStr">
        <is>
          <t>Discovered</t>
        </is>
      </c>
    </row>
    <row r="319">
      <c r="A319" t="inlineStr">
        <is>
          <t>Vinzenz Pallotti University gGmbH</t>
        </is>
      </c>
      <c r="B319" t="inlineStr">
        <is>
          <t>https://vp-uni.de/aktuelles</t>
        </is>
      </c>
      <c r="C319" t="inlineStr">
        <is>
          <t>Discovered source page</t>
        </is>
      </c>
      <c r="D319" t="inlineStr">
        <is>
          <t>Medium</t>
        </is>
      </c>
      <c r="E319" t="inlineStr">
        <is>
          <t>Medium</t>
        </is>
      </c>
      <c r="F319" t="inlineStr">
        <is>
          <t>Auto-discovered source-quality score 24; contains dated strategic/source-page signals.</t>
        </is>
      </c>
      <c r="G319" t="inlineStr">
        <is>
          <t>Auto-discovered; review after the next crawl.</t>
        </is>
      </c>
      <c r="H319" t="inlineStr">
        <is>
          <t>Crawl as ranked source first, follow dated article cards, publications and event links, then apply normal signal gates.</t>
        </is>
      </c>
      <c r="L319" t="inlineStr">
        <is>
          <t>Discovered</t>
        </is>
      </c>
    </row>
    <row r="320">
      <c r="A320" t="inlineStr">
        <is>
          <t>Vinzenz Pallotti University gGmbH</t>
        </is>
      </c>
      <c r="B320" t="inlineStr">
        <is>
          <t>https://vp-uni.de/news</t>
        </is>
      </c>
      <c r="C320" t="inlineStr">
        <is>
          <t>Discovered source page</t>
        </is>
      </c>
      <c r="D320" t="inlineStr">
        <is>
          <t>High</t>
        </is>
      </c>
      <c r="E320" t="inlineStr">
        <is>
          <t>Medium</t>
        </is>
      </c>
      <c r="F320" t="inlineStr">
        <is>
          <t>Auto-discovered source-quality score 78; contains dated strategic/source-page signals.</t>
        </is>
      </c>
      <c r="G320" t="inlineStr">
        <is>
          <t>Auto-discovered; review after the next crawl.</t>
        </is>
      </c>
      <c r="H320" t="inlineStr">
        <is>
          <t>Crawl as ranked source first, follow dated article cards, publications and event links, then apply normal signal gates.</t>
        </is>
      </c>
      <c r="L320" t="inlineStr">
        <is>
          <t>Discovered</t>
        </is>
      </c>
    </row>
    <row r="321">
      <c r="A321" t="inlineStr">
        <is>
          <t>Vinzenz Pallotti University gGmbH</t>
        </is>
      </c>
      <c r="B321" t="inlineStr">
        <is>
          <t>https://vp-uni.de/forschung</t>
        </is>
      </c>
      <c r="C321" t="inlineStr">
        <is>
          <t>Discovered source page</t>
        </is>
      </c>
      <c r="D321" t="inlineStr">
        <is>
          <t>Medium</t>
        </is>
      </c>
      <c r="E321" t="inlineStr">
        <is>
          <t>Medium</t>
        </is>
      </c>
      <c r="F321" t="inlineStr">
        <is>
          <t>Auto-discovered source-quality score 32; contains dated strategic/source-page signals.</t>
        </is>
      </c>
      <c r="G321" t="inlineStr">
        <is>
          <t>Auto-discovered; review after the next crawl.</t>
        </is>
      </c>
      <c r="H321" t="inlineStr">
        <is>
          <t>Crawl as ranked source first, follow dated article cards, publications and event links, then apply normal signal gates.</t>
        </is>
      </c>
      <c r="L321" t="inlineStr">
        <is>
          <t>Discovered</t>
        </is>
      </c>
    </row>
    <row r="322">
      <c r="A322" t="inlineStr">
        <is>
          <t>Vinzenz Pallotti University gGmbH</t>
        </is>
      </c>
      <c r="B322" t="inlineStr">
        <is>
          <t>https://vp-uni.de/veranstaltungen</t>
        </is>
      </c>
      <c r="C322" t="inlineStr">
        <is>
          <t>Discovered source page</t>
        </is>
      </c>
      <c r="D322" t="inlineStr">
        <is>
          <t>High</t>
        </is>
      </c>
      <c r="E322" t="inlineStr">
        <is>
          <t>Medium</t>
        </is>
      </c>
      <c r="F322" t="inlineStr">
        <is>
          <t>Auto-discovered source-quality score 58; contains dated strategic/source-page signals.</t>
        </is>
      </c>
      <c r="G322" t="inlineStr">
        <is>
          <t>Auto-discovered; review after the next crawl.</t>
        </is>
      </c>
      <c r="H322" t="inlineStr">
        <is>
          <t>Crawl as ranked source first, follow dated article cards, publications and event links, then apply normal signal gates.</t>
        </is>
      </c>
      <c r="L322" t="inlineStr">
        <is>
          <t>Discovered</t>
        </is>
      </c>
    </row>
    <row r="323">
      <c r="A323" t="inlineStr">
        <is>
          <t>Vinzenz Pallotti University gGmbH</t>
        </is>
      </c>
      <c r="B323" t="inlineStr">
        <is>
          <t>https://vp-uni.de/presse</t>
        </is>
      </c>
      <c r="C323" t="inlineStr">
        <is>
          <t>Discovered source page</t>
        </is>
      </c>
      <c r="D323" t="inlineStr">
        <is>
          <t>High</t>
        </is>
      </c>
      <c r="E323" t="inlineStr">
        <is>
          <t>Medium</t>
        </is>
      </c>
      <c r="F323" t="inlineStr">
        <is>
          <t>Auto-discovered source-quality score 68; contains dated strategic/source-page signals.</t>
        </is>
      </c>
      <c r="G323" t="inlineStr">
        <is>
          <t>Auto-discovered; review after the next crawl.</t>
        </is>
      </c>
      <c r="H323" t="inlineStr">
        <is>
          <t>Crawl as ranked source first, follow dated article cards, publications and event links, then apply normal signal gates.</t>
        </is>
      </c>
      <c r="L323" t="inlineStr">
        <is>
          <t>Discovered</t>
        </is>
      </c>
    </row>
    <row r="324">
      <c r="A324" t="inlineStr">
        <is>
          <t>Vinzenz Pallotti University gGmbH</t>
        </is>
      </c>
      <c r="B324" t="inlineStr">
        <is>
          <t>https://vp-uni.de/unternehmen/presse</t>
        </is>
      </c>
      <c r="C324" t="inlineStr">
        <is>
          <t>Discovered source page</t>
        </is>
      </c>
      <c r="D324" t="inlineStr">
        <is>
          <t>High</t>
        </is>
      </c>
      <c r="E324" t="inlineStr">
        <is>
          <t>Medium</t>
        </is>
      </c>
      <c r="F324" t="inlineStr">
        <is>
          <t>Auto-discovered source-quality score 68; contains dated strategic/source-page signals.</t>
        </is>
      </c>
      <c r="G324" t="inlineStr">
        <is>
          <t>Auto-discovered; review after the next crawl.</t>
        </is>
      </c>
      <c r="H324" t="inlineStr">
        <is>
          <t>Crawl as ranked source first, follow dated article cards, publications and event links, then apply normal signal gates.</t>
        </is>
      </c>
      <c r="L324" t="inlineStr">
        <is>
          <t>Discovered</t>
        </is>
      </c>
    </row>
    <row r="325">
      <c r="A325" t="inlineStr">
        <is>
          <t>Vinzenz Pallotti University gGmbH</t>
        </is>
      </c>
      <c r="B325" t="inlineStr">
        <is>
          <t>https://vp-uni.de/de/news</t>
        </is>
      </c>
      <c r="C325" t="inlineStr">
        <is>
          <t>Discovered source page</t>
        </is>
      </c>
      <c r="D325" t="inlineStr">
        <is>
          <t>High</t>
        </is>
      </c>
      <c r="E325" t="inlineStr">
        <is>
          <t>Medium</t>
        </is>
      </c>
      <c r="F325" t="inlineStr">
        <is>
          <t>Auto-discovered source-quality score 78; contains dated strategic/source-page signals.</t>
        </is>
      </c>
      <c r="G325" t="inlineStr">
        <is>
          <t>Auto-discovered; review after the next crawl.</t>
        </is>
      </c>
      <c r="H325" t="inlineStr">
        <is>
          <t>Crawl as ranked source first, follow dated article cards, publications and event links, then apply normal signal gates.</t>
        </is>
      </c>
      <c r="L325" t="inlineStr">
        <is>
          <t>Discovered</t>
        </is>
      </c>
    </row>
    <row r="326">
      <c r="A326" t="inlineStr">
        <is>
          <t>Vinzenz Pallotti University gGmbH</t>
        </is>
      </c>
      <c r="B326" t="inlineStr">
        <is>
          <t>https://vp-uni.de/de/presse</t>
        </is>
      </c>
      <c r="C326" t="inlineStr">
        <is>
          <t>Discovered source page</t>
        </is>
      </c>
      <c r="D326" t="inlineStr">
        <is>
          <t>High</t>
        </is>
      </c>
      <c r="E326" t="inlineStr">
        <is>
          <t>Medium</t>
        </is>
      </c>
      <c r="F326" t="inlineStr">
        <is>
          <t>Auto-discovered source-quality score 68; contains dated strategic/source-page signals.</t>
        </is>
      </c>
      <c r="G326" t="inlineStr">
        <is>
          <t>Auto-discovered; review after the next crawl.</t>
        </is>
      </c>
      <c r="H326" t="inlineStr">
        <is>
          <t>Crawl as ranked source first, follow dated article cards, publications and event links, then apply normal signal gates.</t>
        </is>
      </c>
      <c r="L326" t="inlineStr">
        <is>
          <t>Discovered</t>
        </is>
      </c>
    </row>
    <row r="327">
      <c r="A327" t="inlineStr">
        <is>
          <t>Vinzenz Pallotti University gGmbH</t>
        </is>
      </c>
      <c r="B327" t="inlineStr">
        <is>
          <t>https://vp-uni.de/de/aktuelles</t>
        </is>
      </c>
      <c r="C327" t="inlineStr">
        <is>
          <t>Discovered source page</t>
        </is>
      </c>
      <c r="D327" t="inlineStr">
        <is>
          <t>Medium</t>
        </is>
      </c>
      <c r="E327" t="inlineStr">
        <is>
          <t>Medium</t>
        </is>
      </c>
      <c r="F327" t="inlineStr">
        <is>
          <t>Auto-discovered source-quality score 24; contains dated strategic/source-page signals.</t>
        </is>
      </c>
      <c r="G327" t="inlineStr">
        <is>
          <t>Auto-discovered; review after the next crawl.</t>
        </is>
      </c>
      <c r="H327" t="inlineStr">
        <is>
          <t>Crawl as ranked source first, follow dated article cards, publications and event links, then apply normal signal gates.</t>
        </is>
      </c>
      <c r="L327" t="inlineStr">
        <is>
          <t>Discovered</t>
        </is>
      </c>
    </row>
    <row r="328">
      <c r="A328" t="inlineStr">
        <is>
          <t>Vinzenz Pallotti University gGmbH</t>
        </is>
      </c>
      <c r="B328" t="inlineStr">
        <is>
          <t>https://vp-uni.de/publikationen</t>
        </is>
      </c>
      <c r="C328" t="inlineStr">
        <is>
          <t>Discovered source page</t>
        </is>
      </c>
      <c r="D328" t="inlineStr">
        <is>
          <t>High</t>
        </is>
      </c>
      <c r="E328" t="inlineStr">
        <is>
          <t>Medium</t>
        </is>
      </c>
      <c r="F328" t="inlineStr">
        <is>
          <t>Auto-discovered source-quality score 58; contains dated strategic/source-page signals.</t>
        </is>
      </c>
      <c r="G328" t="inlineStr">
        <is>
          <t>Auto-discovered; review after the next crawl.</t>
        </is>
      </c>
      <c r="H328" t="inlineStr">
        <is>
          <t>Crawl as ranked source first, follow dated article cards, publications and event links, then apply normal signal gates.</t>
        </is>
      </c>
      <c r="L328" t="inlineStr">
        <is>
          <t>Discovered</t>
        </is>
      </c>
    </row>
    <row r="329">
      <c r="A329" t="inlineStr">
        <is>
          <t>Vinzenz Pallotti University gGmbH</t>
        </is>
      </c>
      <c r="B329" t="inlineStr">
        <is>
          <t>https://vp-uni.de/studien</t>
        </is>
      </c>
      <c r="C329" t="inlineStr">
        <is>
          <t>Discovered source page</t>
        </is>
      </c>
      <c r="D329" t="inlineStr">
        <is>
          <t>Medium</t>
        </is>
      </c>
      <c r="E329" t="inlineStr">
        <is>
          <t>Medium</t>
        </is>
      </c>
      <c r="F329" t="inlineStr">
        <is>
          <t>Auto-discovered source-quality score 32; contains dated strategic/source-page signals.</t>
        </is>
      </c>
      <c r="G329" t="inlineStr">
        <is>
          <t>Auto-discovered; review after the next crawl.</t>
        </is>
      </c>
      <c r="H329" t="inlineStr">
        <is>
          <t>Crawl as ranked source first, follow dated article cards, publications and event links, then apply normal signal gates.</t>
        </is>
      </c>
      <c r="L329" t="inlineStr">
        <is>
          <t>Discovered</t>
        </is>
      </c>
    </row>
    <row r="330">
      <c r="A330" t="inlineStr">
        <is>
          <t>Vinzenz Pallotti University gGmbH</t>
        </is>
      </c>
      <c r="B330" t="inlineStr">
        <is>
          <t>https://vp-uni.de/nachhaltigkeit</t>
        </is>
      </c>
      <c r="C330" t="inlineStr">
        <is>
          <t>Discovered source page</t>
        </is>
      </c>
      <c r="D330" t="inlineStr">
        <is>
          <t>Medium</t>
        </is>
      </c>
      <c r="E330" t="inlineStr">
        <is>
          <t>Medium</t>
        </is>
      </c>
      <c r="F330" t="inlineStr">
        <is>
          <t>Auto-discovered source-quality score 32; contains dated strategic/source-page signals.</t>
        </is>
      </c>
      <c r="G330" t="inlineStr">
        <is>
          <t>Auto-discovered; review after the next crawl.</t>
        </is>
      </c>
      <c r="H330" t="inlineStr">
        <is>
          <t>Crawl as ranked source first, follow dated article cards, publications and event links, then apply normal signal gates.</t>
        </is>
      </c>
      <c r="L330" t="inlineStr">
        <is>
          <t>Discovered</t>
        </is>
      </c>
    </row>
    <row r="331">
      <c r="A331" t="inlineStr">
        <is>
          <t>Vinzenz Pallotti University gGmbH</t>
        </is>
      </c>
      <c r="B331" t="inlineStr">
        <is>
          <t>https://vp-uni.de</t>
        </is>
      </c>
      <c r="C331" t="inlineStr">
        <is>
          <t>Discovered source page</t>
        </is>
      </c>
      <c r="D331" t="inlineStr">
        <is>
          <t>High</t>
        </is>
      </c>
      <c r="E331" t="inlineStr">
        <is>
          <t>Medium</t>
        </is>
      </c>
      <c r="F331" t="inlineStr">
        <is>
          <t>Auto-discovered source-quality score 48; contains dated strategic/source-page signals.</t>
        </is>
      </c>
      <c r="G331" t="inlineStr">
        <is>
          <t>Auto-discovered; review after the next crawl.</t>
        </is>
      </c>
      <c r="H331" t="inlineStr">
        <is>
          <t>Crawl as ranked source first, follow dated article cards, publications and event links, then apply normal signal gates.</t>
        </is>
      </c>
      <c r="L331" t="inlineStr">
        <is>
          <t>Discovered</t>
        </is>
      </c>
    </row>
    <row r="332">
      <c r="A332" t="inlineStr">
        <is>
          <t>Vinzenz Pallotti University gGmbH</t>
        </is>
      </c>
      <c r="B332" t="inlineStr">
        <is>
          <t>https://vp-uni.de/campus-day-an-der-vinzenz-pallotti-university-am-27-juni-studieninteressierte-erhalten-einblicke-in-studium-und-hochschulleben</t>
        </is>
      </c>
      <c r="C332" t="inlineStr">
        <is>
          <t>Discovered source page</t>
        </is>
      </c>
      <c r="D332" t="inlineStr">
        <is>
          <t>High</t>
        </is>
      </c>
      <c r="E332" t="inlineStr">
        <is>
          <t>Medium</t>
        </is>
      </c>
      <c r="F332" t="inlineStr">
        <is>
          <t>Auto-discovered source-quality score 48; contains dated strategic/source-page signals.</t>
        </is>
      </c>
      <c r="G332" t="inlineStr">
        <is>
          <t>Auto-discovered; review after the next crawl.</t>
        </is>
      </c>
      <c r="H332" t="inlineStr">
        <is>
          <t>Crawl as ranked source first, follow dated article cards, publications and event links, then apply normal signal gates.</t>
        </is>
      </c>
      <c r="L332" t="inlineStr">
        <is>
          <t>Discovered</t>
        </is>
      </c>
    </row>
    <row r="333">
      <c r="A333" t="inlineStr">
        <is>
          <t>WHU – Otto Beisheim School of Management</t>
        </is>
      </c>
      <c r="B333" t="inlineStr">
        <is>
          <t>https://www.whu.edu/presse</t>
        </is>
      </c>
      <c r="C333" t="inlineStr">
        <is>
          <t>Discovered source page</t>
        </is>
      </c>
      <c r="D333" t="inlineStr">
        <is>
          <t>Medium</t>
        </is>
      </c>
      <c r="E333" t="inlineStr">
        <is>
          <t>Medium</t>
        </is>
      </c>
      <c r="F333" t="inlineStr">
        <is>
          <t>Auto-discovered source-quality score 32; contains dated strategic/source-page signals.</t>
        </is>
      </c>
      <c r="G333" t="inlineStr">
        <is>
          <t>Auto-discovered; review after the next crawl.</t>
        </is>
      </c>
      <c r="H333" t="inlineStr">
        <is>
          <t>Crawl as ranked source first, follow dated article cards, publications and event links, then apply normal signal gates.</t>
        </is>
      </c>
      <c r="L333" t="inlineStr">
        <is>
          <t>Discovered</t>
        </is>
      </c>
    </row>
    <row r="334">
      <c r="A334" t="inlineStr">
        <is>
          <t>WHU – Otto Beisheim School of Management</t>
        </is>
      </c>
      <c r="B334" t="inlineStr">
        <is>
          <t>https://www.whu.edu/de/presse</t>
        </is>
      </c>
      <c r="C334" t="inlineStr">
        <is>
          <t>Discovered source page</t>
        </is>
      </c>
      <c r="D334" t="inlineStr">
        <is>
          <t>Medium</t>
        </is>
      </c>
      <c r="E334" t="inlineStr">
        <is>
          <t>Medium</t>
        </is>
      </c>
      <c r="F334" t="inlineStr">
        <is>
          <t>Auto-discovered source-quality score 32; contains dated strategic/source-page signals.</t>
        </is>
      </c>
      <c r="G334" t="inlineStr">
        <is>
          <t>Auto-discovered; review after the next crawl.</t>
        </is>
      </c>
      <c r="H334" t="inlineStr">
        <is>
          <t>Crawl as ranked source first, follow dated article cards, publications and event links, then apply normal signal gates.</t>
        </is>
      </c>
      <c r="L334" t="inlineStr">
        <is>
          <t>Discovered</t>
        </is>
      </c>
    </row>
    <row r="335">
      <c r="A335" t="inlineStr">
        <is>
          <t>WHU – Otto Beisheim School of Management</t>
        </is>
      </c>
      <c r="B335" t="inlineStr">
        <is>
          <t>https://www.whu.edu</t>
        </is>
      </c>
      <c r="C335" t="inlineStr">
        <is>
          <t>Discovered source page</t>
        </is>
      </c>
      <c r="D335" t="inlineStr">
        <is>
          <t>High</t>
        </is>
      </c>
      <c r="E335" t="inlineStr">
        <is>
          <t>Medium</t>
        </is>
      </c>
      <c r="F335" t="inlineStr">
        <is>
          <t>Auto-discovered source-quality score 48; contains dated strategic/source-page signals.</t>
        </is>
      </c>
      <c r="G335" t="inlineStr">
        <is>
          <t>Auto-discovered; review after the next crawl.</t>
        </is>
      </c>
      <c r="H335" t="inlineStr">
        <is>
          <t>Crawl as ranked source first, follow dated article cards, publications and event links, then apply normal signal gates.</t>
        </is>
      </c>
      <c r="L335" t="inlineStr">
        <is>
          <t>Discovered</t>
        </is>
      </c>
    </row>
    <row r="336">
      <c r="A336" t="inlineStr">
        <is>
          <t>Wilhelm Faber GmbH</t>
        </is>
      </c>
      <c r="B336" t="inlineStr">
        <is>
          <t>https://www.wilhelm-faber.de</t>
        </is>
      </c>
      <c r="C336" t="inlineStr">
        <is>
          <t>Discovered source page</t>
        </is>
      </c>
      <c r="D336" t="inlineStr">
        <is>
          <t>Medium</t>
        </is>
      </c>
      <c r="E336" t="inlineStr">
        <is>
          <t>Medium</t>
        </is>
      </c>
      <c r="F336" t="inlineStr">
        <is>
          <t>Auto-discovered source-quality score 26; contains dated strategic/source-page signals.</t>
        </is>
      </c>
      <c r="G336" t="inlineStr">
        <is>
          <t>Auto-discovered; review after the next crawl.</t>
        </is>
      </c>
      <c r="H336" t="inlineStr">
        <is>
          <t>Crawl as ranked source first, follow dated article cards, publications and event links, then apply normal signal gates.</t>
        </is>
      </c>
      <c r="L336" t="inlineStr">
        <is>
          <t>Discovered</t>
        </is>
      </c>
    </row>
    <row r="337">
      <c r="A337" t="inlineStr">
        <is>
          <t>Wilhelm Faber GmbH</t>
        </is>
      </c>
      <c r="B337" t="inlineStr">
        <is>
          <t>https://wilhelm-faber.de</t>
        </is>
      </c>
      <c r="C337" t="inlineStr">
        <is>
          <t>Discovered source page</t>
        </is>
      </c>
      <c r="D337" t="inlineStr">
        <is>
          <t>Medium</t>
        </is>
      </c>
      <c r="E337" t="inlineStr">
        <is>
          <t>Medium</t>
        </is>
      </c>
      <c r="F337" t="inlineStr">
        <is>
          <t>Auto-discovered source-quality score 26; contains dated strategic/source-page signals.</t>
        </is>
      </c>
      <c r="G337" t="inlineStr">
        <is>
          <t>Auto-discovered; review after the next crawl.</t>
        </is>
      </c>
      <c r="H337" t="inlineStr">
        <is>
          <t>Crawl as ranked source first, follow dated article cards, publications and event links, then apply normal signal gates.</t>
        </is>
      </c>
      <c r="L337" t="inlineStr">
        <is>
          <t>Discovered</t>
        </is>
      </c>
    </row>
    <row r="338">
      <c r="A338" t="inlineStr">
        <is>
          <t>Zahnen Technik GmbH</t>
        </is>
      </c>
      <c r="B338" t="inlineStr">
        <is>
          <t>https://zahnen-technik.de/innovation</t>
        </is>
      </c>
      <c r="C338" t="inlineStr">
        <is>
          <t>Discovered source page</t>
        </is>
      </c>
      <c r="D338" t="inlineStr">
        <is>
          <t>High</t>
        </is>
      </c>
      <c r="E338" t="inlineStr">
        <is>
          <t>Medium</t>
        </is>
      </c>
      <c r="F338" t="inlineStr">
        <is>
          <t>Auto-discovered source-quality score 48; contains dated strategic/source-page signals.</t>
        </is>
      </c>
      <c r="G338" t="inlineStr">
        <is>
          <t>Auto-discovered; review after the next crawl.</t>
        </is>
      </c>
      <c r="H338" t="inlineStr">
        <is>
          <t>Crawl as ranked source first, follow dated article cards, publications and event links, then apply normal signal gates.</t>
        </is>
      </c>
      <c r="L338" t="inlineStr">
        <is>
          <t>Discovered</t>
        </is>
      </c>
    </row>
    <row r="339">
      <c r="A339" t="inlineStr">
        <is>
          <t>Zahnen Technik GmbH</t>
        </is>
      </c>
      <c r="B339" t="inlineStr">
        <is>
          <t>https://zahnen-technik.de/aktuelles</t>
        </is>
      </c>
      <c r="C339" t="inlineStr">
        <is>
          <t>Discovered source page</t>
        </is>
      </c>
      <c r="D339" t="inlineStr">
        <is>
          <t>High</t>
        </is>
      </c>
      <c r="E339" t="inlineStr">
        <is>
          <t>Medium</t>
        </is>
      </c>
      <c r="F339" t="inlineStr">
        <is>
          <t>Auto-discovered source-quality score 58; contains dated strategic/source-page signals.</t>
        </is>
      </c>
      <c r="G339" t="inlineStr">
        <is>
          <t>Auto-discovered; review after the next crawl.</t>
        </is>
      </c>
      <c r="H339" t="inlineStr">
        <is>
          <t>Crawl as ranked source first, follow dated article cards, publications and event links, then apply normal signal gates.</t>
        </is>
      </c>
      <c r="L339" t="inlineStr">
        <is>
          <t>Discovered</t>
        </is>
      </c>
    </row>
    <row r="340">
      <c r="A340" t="inlineStr">
        <is>
          <t>Zahnen Technik GmbH</t>
        </is>
      </c>
      <c r="B340" t="inlineStr">
        <is>
          <t>https://zahnen-technik.de/aktuell</t>
        </is>
      </c>
      <c r="C340" t="inlineStr">
        <is>
          <t>Discovered source page</t>
        </is>
      </c>
      <c r="D340" t="inlineStr">
        <is>
          <t>High</t>
        </is>
      </c>
      <c r="E340" t="inlineStr">
        <is>
          <t>Medium</t>
        </is>
      </c>
      <c r="F340" t="inlineStr">
        <is>
          <t>Auto-discovered source-quality score 58; contains dated strategic/source-page signals.</t>
        </is>
      </c>
      <c r="G340" t="inlineStr">
        <is>
          <t>Auto-discovered; review after the next crawl.</t>
        </is>
      </c>
      <c r="H340" t="inlineStr">
        <is>
          <t>Crawl as ranked source first, follow dated article cards, publications and event links, then apply normal signal gates.</t>
        </is>
      </c>
      <c r="L340" t="inlineStr">
        <is>
          <t>Discovered</t>
        </is>
      </c>
    </row>
    <row r="341">
      <c r="A341" t="inlineStr">
        <is>
          <t>Zahnen Technik GmbH</t>
        </is>
      </c>
      <c r="B341" t="inlineStr">
        <is>
          <t>https://zahnen-technik.de/de/aktuelles</t>
        </is>
      </c>
      <c r="C341" t="inlineStr">
        <is>
          <t>Discovered source page</t>
        </is>
      </c>
      <c r="D341" t="inlineStr">
        <is>
          <t>High</t>
        </is>
      </c>
      <c r="E341" t="inlineStr">
        <is>
          <t>Medium</t>
        </is>
      </c>
      <c r="F341" t="inlineStr">
        <is>
          <t>Auto-discovered source-quality score 58; contains dated strategic/source-page signals.</t>
        </is>
      </c>
      <c r="G341" t="inlineStr">
        <is>
          <t>Auto-discovered; review after the next crawl.</t>
        </is>
      </c>
      <c r="H341" t="inlineStr">
        <is>
          <t>Crawl as ranked source first, follow dated article cards, publications and event links, then apply normal signal gates.</t>
        </is>
      </c>
      <c r="L341" t="inlineStr">
        <is>
          <t>Discovered</t>
        </is>
      </c>
    </row>
    <row r="342">
      <c r="A342" t="inlineStr">
        <is>
          <t>Zahnen Technik GmbH</t>
        </is>
      </c>
      <c r="B342" t="inlineStr">
        <is>
          <t>https://zahnen-technik.de/research</t>
        </is>
      </c>
      <c r="C342" t="inlineStr">
        <is>
          <t>Discovered source page</t>
        </is>
      </c>
      <c r="D342" t="inlineStr">
        <is>
          <t>High</t>
        </is>
      </c>
      <c r="E342" t="inlineStr">
        <is>
          <t>Medium</t>
        </is>
      </c>
      <c r="F342" t="inlineStr">
        <is>
          <t>Auto-discovered source-quality score 58; contains dated strategic/source-page signals.</t>
        </is>
      </c>
      <c r="G342" t="inlineStr">
        <is>
          <t>Auto-discovered; review after the next crawl.</t>
        </is>
      </c>
      <c r="H342" t="inlineStr">
        <is>
          <t>Crawl as ranked source first, follow dated article cards, publications and event links, then apply normal signal gates.</t>
        </is>
      </c>
      <c r="L342" t="inlineStr">
        <is>
          <t>Discovered</t>
        </is>
      </c>
    </row>
    <row r="343">
      <c r="A343" t="inlineStr">
        <is>
          <t>Zahnen Technik GmbH</t>
        </is>
      </c>
      <c r="B343" t="inlineStr">
        <is>
          <t>https://zahnen-technik.de/downloads</t>
        </is>
      </c>
      <c r="C343" t="inlineStr">
        <is>
          <t>Discovered source page</t>
        </is>
      </c>
      <c r="D343" t="inlineStr">
        <is>
          <t>Medium</t>
        </is>
      </c>
      <c r="E343" t="inlineStr">
        <is>
          <t>Medium</t>
        </is>
      </c>
      <c r="F343" t="inlineStr">
        <is>
          <t>Auto-discovered source-quality score 38; contains dated strategic/source-page signals.</t>
        </is>
      </c>
      <c r="G343" t="inlineStr">
        <is>
          <t>Auto-discovered; review after the next crawl.</t>
        </is>
      </c>
      <c r="H343" t="inlineStr">
        <is>
          <t>Crawl as ranked source first, follow dated article cards, publications and event links, then apply normal signal gates.</t>
        </is>
      </c>
      <c r="L343" t="inlineStr">
        <is>
          <t>Discovered</t>
        </is>
      </c>
    </row>
    <row r="344">
      <c r="A344" t="inlineStr">
        <is>
          <t>Zahnen Technik GmbH</t>
        </is>
      </c>
      <c r="B344" t="inlineStr">
        <is>
          <t>https://zahnen-technik.de</t>
        </is>
      </c>
      <c r="C344" t="inlineStr">
        <is>
          <t>Discovered source page</t>
        </is>
      </c>
      <c r="D344" t="inlineStr">
        <is>
          <t>High</t>
        </is>
      </c>
      <c r="E344" t="inlineStr">
        <is>
          <t>Medium</t>
        </is>
      </c>
      <c r="F344" t="inlineStr">
        <is>
          <t>Auto-discovered source-quality score 48; contains dated strategic/source-page signals.</t>
        </is>
      </c>
      <c r="G344" t="inlineStr">
        <is>
          <t>Auto-discovered; review after the next crawl.</t>
        </is>
      </c>
      <c r="H344" t="inlineStr">
        <is>
          <t>Crawl as ranked source first, follow dated article cards, publications and event links, then apply normal signal gates.</t>
        </is>
      </c>
      <c r="L344" t="inlineStr">
        <is>
          <t>Discovered</t>
        </is>
      </c>
    </row>
    <row r="345">
      <c r="A345" t="inlineStr">
        <is>
          <t>Zahnen Technik GmbH</t>
        </is>
      </c>
      <c r="B345" t="inlineStr">
        <is>
          <t>https://zahnen-technik.de/dwh-deutsche-wasser-holding-gmbh-gegruendet-marktfuehrender-unternehmensverbund-fuer-die-wasserwirtschaft</t>
        </is>
      </c>
      <c r="C345" t="inlineStr">
        <is>
          <t>Discovered source page</t>
        </is>
      </c>
      <c r="D345" t="inlineStr">
        <is>
          <t>High</t>
        </is>
      </c>
      <c r="E345" t="inlineStr">
        <is>
          <t>Medium</t>
        </is>
      </c>
      <c r="F345" t="inlineStr">
        <is>
          <t>Auto-discovered source-quality score 66; contains dated strategic/source-page signals.</t>
        </is>
      </c>
      <c r="G345" t="inlineStr">
        <is>
          <t>Auto-discovered; review after the next crawl.</t>
        </is>
      </c>
      <c r="H345" t="inlineStr">
        <is>
          <t>Crawl as ranked source first, follow dated article cards, publications and event links, then apply normal signal gates.</t>
        </is>
      </c>
      <c r="L345" t="inlineStr">
        <is>
          <t>Discovered</t>
        </is>
      </c>
    </row>
    <row r="346">
      <c r="A346" t="inlineStr">
        <is>
          <t>ZDF – Zweites Deutsches Fernsehen</t>
        </is>
      </c>
      <c r="B346" t="inlineStr">
        <is>
          <t>https://www.zdf.de</t>
        </is>
      </c>
      <c r="C346" t="inlineStr">
        <is>
          <t>Discovered source page</t>
        </is>
      </c>
      <c r="D346" t="inlineStr">
        <is>
          <t>High</t>
        </is>
      </c>
      <c r="E346" t="inlineStr">
        <is>
          <t>Medium</t>
        </is>
      </c>
      <c r="F346" t="inlineStr">
        <is>
          <t>Auto-discovered source-quality score 44; contains dated strategic/source-page signals.</t>
        </is>
      </c>
      <c r="G346" t="inlineStr">
        <is>
          <t>Auto-discovered; review after the next crawl.</t>
        </is>
      </c>
      <c r="H346" t="inlineStr">
        <is>
          <t>Crawl as ranked source first, follow dated article cards, publications and event links, then apply normal signal gates.</t>
        </is>
      </c>
      <c r="L346" t="inlineStr">
        <is>
          <t>Discovered</t>
        </is>
      </c>
    </row>
    <row r="347">
      <c r="A347" t="inlineStr">
        <is>
          <t>Architektenkammer Rheinland-Pfalz</t>
        </is>
      </c>
      <c r="B347" t="inlineStr">
        <is>
          <t>https://www.diearchitekten.org/downloads</t>
        </is>
      </c>
      <c r="C347" t="inlineStr">
        <is>
          <t>Discovered source page</t>
        </is>
      </c>
      <c r="D347" t="inlineStr">
        <is>
          <t>High</t>
        </is>
      </c>
      <c r="E347" t="inlineStr">
        <is>
          <t>Medium</t>
        </is>
      </c>
      <c r="F347" t="inlineStr">
        <is>
          <t>Auto-discovered source-quality score 89; contains dated strategic/source-page signals.</t>
        </is>
      </c>
      <c r="G347" t="inlineStr">
        <is>
          <t>Auto-discovered; review after the next crawl.</t>
        </is>
      </c>
      <c r="H347" t="inlineStr">
        <is>
          <t>Crawl as ranked source first, follow dated article cards, publications and event links, then apply normal signal gates.</t>
        </is>
      </c>
      <c r="L347" t="inlineStr">
        <is>
          <t>Discovered</t>
        </is>
      </c>
    </row>
    <row r="348">
      <c r="A348" t="inlineStr">
        <is>
          <t>Barmherzige Brüder Trier gGmbH</t>
        </is>
      </c>
      <c r="B348" t="inlineStr">
        <is>
          <t>https://www.bbtgruppe.de/faktencheck</t>
        </is>
      </c>
      <c r="C348" t="inlineStr">
        <is>
          <t>Discovered source page</t>
        </is>
      </c>
      <c r="D348" t="inlineStr">
        <is>
          <t>High</t>
        </is>
      </c>
      <c r="E348" t="inlineStr">
        <is>
          <t>Medium</t>
        </is>
      </c>
      <c r="F348" t="inlineStr">
        <is>
          <t>Auto-discovered source-quality score 96; contains dated strategic/source-page signals.</t>
        </is>
      </c>
      <c r="G348" t="inlineStr">
        <is>
          <t>Auto-discovered; review after the next crawl.</t>
        </is>
      </c>
      <c r="H348" t="inlineStr">
        <is>
          <t>Crawl as ranked source first, follow dated article cards, publications and event links, then apply normal signal gates.</t>
        </is>
      </c>
      <c r="L348" t="inlineStr">
        <is>
          <t>Discovered</t>
        </is>
      </c>
    </row>
    <row r="349">
      <c r="A349" t="inlineStr">
        <is>
          <t>Barmherzige Brüder Trier gGmbH</t>
        </is>
      </c>
      <c r="B349" t="inlineStr">
        <is>
          <t>https://www.bbtgruppe.de/gesundheitsberichte</t>
        </is>
      </c>
      <c r="C349" t="inlineStr">
        <is>
          <t>Discovered source page</t>
        </is>
      </c>
      <c r="D349" t="inlineStr">
        <is>
          <t>High</t>
        </is>
      </c>
      <c r="E349" t="inlineStr">
        <is>
          <t>Medium</t>
        </is>
      </c>
      <c r="F349" t="inlineStr">
        <is>
          <t>Auto-discovered source-quality score 96; contains dated strategic/source-page signals.</t>
        </is>
      </c>
      <c r="G349" t="inlineStr">
        <is>
          <t>Auto-discovered; review after the next crawl.</t>
        </is>
      </c>
      <c r="H349" t="inlineStr">
        <is>
          <t>Crawl as ranked source first, follow dated article cards, publications and event links, then apply normal signal gates.</t>
        </is>
      </c>
      <c r="L349" t="inlineStr">
        <is>
          <t>Discovered</t>
        </is>
      </c>
    </row>
    <row r="350">
      <c r="A350" t="inlineStr">
        <is>
          <t>Barmherzige Brüder Trier gGmbH</t>
        </is>
      </c>
      <c r="B350" t="inlineStr">
        <is>
          <t>https://www.bbtgruppe.de/positionen</t>
        </is>
      </c>
      <c r="C350" t="inlineStr">
        <is>
          <t>Discovered source page</t>
        </is>
      </c>
      <c r="D350" t="inlineStr">
        <is>
          <t>High</t>
        </is>
      </c>
      <c r="E350" t="inlineStr">
        <is>
          <t>Medium</t>
        </is>
      </c>
      <c r="F350" t="inlineStr">
        <is>
          <t>Auto-discovered source-quality score 96; contains dated strategic/source-page signals.</t>
        </is>
      </c>
      <c r="G350" t="inlineStr">
        <is>
          <t>Auto-discovered; review after the next crawl.</t>
        </is>
      </c>
      <c r="H350" t="inlineStr">
        <is>
          <t>Crawl as ranked source first, follow dated article cards, publications and event links, then apply normal signal gates.</t>
        </is>
      </c>
      <c r="L350" t="inlineStr">
        <is>
          <t>Discovered</t>
        </is>
      </c>
    </row>
    <row r="351">
      <c r="A351" t="inlineStr">
        <is>
          <t>Barmherzige Brüder Trier gGmbH</t>
        </is>
      </c>
      <c r="B351" t="inlineStr">
        <is>
          <t>https://www.bbtgruppe.de/kampagnen</t>
        </is>
      </c>
      <c r="C351" t="inlineStr">
        <is>
          <t>Discovered source page</t>
        </is>
      </c>
      <c r="D351" t="inlineStr">
        <is>
          <t>High</t>
        </is>
      </c>
      <c r="E351" t="inlineStr">
        <is>
          <t>Medium</t>
        </is>
      </c>
      <c r="F351" t="inlineStr">
        <is>
          <t>Auto-discovered source-quality score 96; contains dated strategic/source-page signals.</t>
        </is>
      </c>
      <c r="G351" t="inlineStr">
        <is>
          <t>Auto-discovered; review after the next crawl.</t>
        </is>
      </c>
      <c r="H351" t="inlineStr">
        <is>
          <t>Crawl as ranked source first, follow dated article cards, publications and event links, then apply normal signal gates.</t>
        </is>
      </c>
      <c r="L351" t="inlineStr">
        <is>
          <t>Discovered</t>
        </is>
      </c>
    </row>
    <row r="352">
      <c r="A352" t="inlineStr">
        <is>
          <t>Barmherzige Brüder Trier gGmbH</t>
        </is>
      </c>
      <c r="B352" t="inlineStr">
        <is>
          <t>https://www.bbtgruppe.de/mediathek</t>
        </is>
      </c>
      <c r="C352" t="inlineStr">
        <is>
          <t>Discovered source page</t>
        </is>
      </c>
      <c r="D352" t="inlineStr">
        <is>
          <t>High</t>
        </is>
      </c>
      <c r="E352" t="inlineStr">
        <is>
          <t>Medium</t>
        </is>
      </c>
      <c r="F352" t="inlineStr">
        <is>
          <t>Auto-discovered source-quality score 96; contains dated strategic/source-page signals.</t>
        </is>
      </c>
      <c r="G352" t="inlineStr">
        <is>
          <t>Auto-discovered; review after the next crawl.</t>
        </is>
      </c>
      <c r="H352" t="inlineStr">
        <is>
          <t>Crawl as ranked source first, follow dated article cards, publications and event links, then apply normal signal gates.</t>
        </is>
      </c>
      <c r="L352" t="inlineStr">
        <is>
          <t>Discovered</t>
        </is>
      </c>
    </row>
    <row r="353">
      <c r="A353" t="inlineStr">
        <is>
          <t>BASF SE</t>
        </is>
      </c>
      <c r="B353" t="inlineStr">
        <is>
          <t>https://www.basf.com/pressemitteilungen</t>
        </is>
      </c>
      <c r="C353" t="inlineStr">
        <is>
          <t>Discovered source page</t>
        </is>
      </c>
      <c r="D353" t="inlineStr">
        <is>
          <t>Medium</t>
        </is>
      </c>
      <c r="E353" t="inlineStr">
        <is>
          <t>Medium</t>
        </is>
      </c>
      <c r="F353" t="inlineStr">
        <is>
          <t>Auto-discovered source-quality score 34; contains dated strategic/source-page signals.</t>
        </is>
      </c>
      <c r="G353" t="inlineStr">
        <is>
          <t>Auto-discovered; review after the next crawl.</t>
        </is>
      </c>
      <c r="H353" t="inlineStr">
        <is>
          <t>Crawl as ranked source first, follow dated article cards, publications and event links, then apply normal signal gates.</t>
        </is>
      </c>
      <c r="L353" t="inlineStr">
        <is>
          <t>Discovered</t>
        </is>
      </c>
    </row>
    <row r="354">
      <c r="A354" t="inlineStr">
        <is>
          <t>BASF SE</t>
        </is>
      </c>
      <c r="B354" t="inlineStr">
        <is>
          <t>https://www.basf.com/global/de/media/news-releases.html</t>
        </is>
      </c>
      <c r="C354" t="inlineStr">
        <is>
          <t>Discovered source page</t>
        </is>
      </c>
      <c r="D354" t="inlineStr">
        <is>
          <t>Medium</t>
        </is>
      </c>
      <c r="E354" t="inlineStr">
        <is>
          <t>Medium</t>
        </is>
      </c>
      <c r="F354" t="inlineStr">
        <is>
          <t>Auto-discovered source-quality score 34; contains dated strategic/source-page signals.</t>
        </is>
      </c>
      <c r="G354" t="inlineStr">
        <is>
          <t>Auto-discovered; review after the next crawl.</t>
        </is>
      </c>
      <c r="H354" t="inlineStr">
        <is>
          <t>Crawl as ranked source first, follow dated article cards, publications and event links, then apply normal signal gates.</t>
        </is>
      </c>
      <c r="L354" t="inlineStr">
        <is>
          <t>Discovered</t>
        </is>
      </c>
    </row>
    <row r="355">
      <c r="A355" t="inlineStr">
        <is>
          <t>Bauwirtschaft Rheinland-Pfalz e.V.</t>
        </is>
      </c>
      <c r="B355" t="inlineStr">
        <is>
          <t>https://www.bauwirtschaft-rlp.de/presse</t>
        </is>
      </c>
      <c r="C355" t="inlineStr">
        <is>
          <t>Discovered source page</t>
        </is>
      </c>
      <c r="D355" t="inlineStr">
        <is>
          <t>Medium</t>
        </is>
      </c>
      <c r="E355" t="inlineStr">
        <is>
          <t>Medium</t>
        </is>
      </c>
      <c r="F355" t="inlineStr">
        <is>
          <t>Auto-discovered source-quality score 35; contains dated strategic/source-page signals.</t>
        </is>
      </c>
      <c r="G355" t="inlineStr">
        <is>
          <t>Auto-discovered; review after the next crawl.</t>
        </is>
      </c>
      <c r="H355" t="inlineStr">
        <is>
          <t>Crawl as ranked source first, follow dated article cards, publications and event links, then apply normal signal gates.</t>
        </is>
      </c>
      <c r="L355" t="inlineStr">
        <is>
          <t>Discovered</t>
        </is>
      </c>
    </row>
    <row r="356">
      <c r="A356" t="inlineStr">
        <is>
          <t>Bauwirtschaft Rheinland-Pfalz e.V.</t>
        </is>
      </c>
      <c r="B356" t="inlineStr">
        <is>
          <t>https://www.bauwirtschaft-rlp.de/events</t>
        </is>
      </c>
      <c r="C356" t="inlineStr">
        <is>
          <t>Discovered source page</t>
        </is>
      </c>
      <c r="D356" t="inlineStr">
        <is>
          <t>Medium</t>
        </is>
      </c>
      <c r="E356" t="inlineStr">
        <is>
          <t>Medium</t>
        </is>
      </c>
      <c r="F356" t="inlineStr">
        <is>
          <t>Auto-discovered source-quality score 35; contains dated strategic/source-page signals.</t>
        </is>
      </c>
      <c r="G356" t="inlineStr">
        <is>
          <t>Auto-discovered; review after the next crawl.</t>
        </is>
      </c>
      <c r="H356" t="inlineStr">
        <is>
          <t>Crawl as ranked source first, follow dated article cards, publications and event links, then apply normal signal gates.</t>
        </is>
      </c>
      <c r="L356" t="inlineStr">
        <is>
          <t>Discovered</t>
        </is>
      </c>
    </row>
    <row r="357">
      <c r="A357" t="inlineStr">
        <is>
          <t>Erster FC Kaiserslautern GmbH &amp; Co. KGaA</t>
        </is>
      </c>
      <c r="B357" t="inlineStr">
        <is>
          <t>https://fck.de/blog/traditionelle-saisoneroeffnung-das-fck-fanspiel-2026-in-salmrohr</t>
        </is>
      </c>
      <c r="C357" t="inlineStr">
        <is>
          <t>Discovered source page</t>
        </is>
      </c>
      <c r="D357" t="inlineStr">
        <is>
          <t>High</t>
        </is>
      </c>
      <c r="E357" t="inlineStr">
        <is>
          <t>Medium</t>
        </is>
      </c>
      <c r="F357" t="inlineStr">
        <is>
          <t>Auto-discovered source-quality score 48; contains dated strategic/source-page signals.</t>
        </is>
      </c>
      <c r="G357" t="inlineStr">
        <is>
          <t>Auto-discovered; review after the next crawl.</t>
        </is>
      </c>
      <c r="H357" t="inlineStr">
        <is>
          <t>Crawl as ranked source first, follow dated article cards, publications and event links, then apply normal signal gates.</t>
        </is>
      </c>
      <c r="L357" t="inlineStr">
        <is>
          <t>Discovered</t>
        </is>
      </c>
    </row>
    <row r="358">
      <c r="A358" t="inlineStr">
        <is>
          <t>Handwerkskammern Rheinland-Pfalz</t>
        </is>
      </c>
      <c r="B358" t="inlineStr">
        <is>
          <t>https://handwerk-rlp.de/softwaremesse-handwerk-finden-sie-die-loesung-die-zu-ihrem-betrieb-passt</t>
        </is>
      </c>
      <c r="C358" t="inlineStr">
        <is>
          <t>Discovered source page</t>
        </is>
      </c>
      <c r="D358" t="inlineStr">
        <is>
          <t>Medium</t>
        </is>
      </c>
      <c r="E358" t="inlineStr">
        <is>
          <t>Medium</t>
        </is>
      </c>
      <c r="F358" t="inlineStr">
        <is>
          <t>Auto-discovered source-quality score 40; contains dated strategic/source-page signals.</t>
        </is>
      </c>
      <c r="G358" t="inlineStr">
        <is>
          <t>Auto-discovered; review after the next crawl.</t>
        </is>
      </c>
      <c r="H358" t="inlineStr">
        <is>
          <t>Crawl as ranked source first, follow dated article cards, publications and event links, then apply normal signal gates.</t>
        </is>
      </c>
      <c r="L358" t="inlineStr">
        <is>
          <t>Discovered</t>
        </is>
      </c>
    </row>
    <row r="359">
      <c r="A359" t="inlineStr">
        <is>
          <t>Heberger Gruppe</t>
        </is>
      </c>
      <c r="B359" t="inlineStr">
        <is>
          <t>https://www.heberger.de/news</t>
        </is>
      </c>
      <c r="C359" t="inlineStr">
        <is>
          <t>Discovered source page</t>
        </is>
      </c>
      <c r="D359" t="inlineStr">
        <is>
          <t>Medium</t>
        </is>
      </c>
      <c r="E359" t="inlineStr">
        <is>
          <t>Medium</t>
        </is>
      </c>
      <c r="F359" t="inlineStr">
        <is>
          <t>Auto-discovered source-quality score 40; contains dated strategic/source-page signals.</t>
        </is>
      </c>
      <c r="G359" t="inlineStr">
        <is>
          <t>Auto-discovered; review after the next crawl.</t>
        </is>
      </c>
      <c r="H359" t="inlineStr">
        <is>
          <t>Crawl as ranked source first, follow dated article cards, publications and event links, then apply normal signal gates.</t>
        </is>
      </c>
      <c r="L359" t="inlineStr">
        <is>
          <t>Discovered</t>
        </is>
      </c>
    </row>
    <row r="360">
      <c r="A360" t="inlineStr">
        <is>
          <t>Heberger Gruppe</t>
        </is>
      </c>
      <c r="B360" t="inlineStr">
        <is>
          <t>https://www.heberger.de/presse</t>
        </is>
      </c>
      <c r="C360" t="inlineStr">
        <is>
          <t>Discovered source page</t>
        </is>
      </c>
      <c r="D360" t="inlineStr">
        <is>
          <t>Medium</t>
        </is>
      </c>
      <c r="E360" t="inlineStr">
        <is>
          <t>Medium</t>
        </is>
      </c>
      <c r="F360" t="inlineStr">
        <is>
          <t>Auto-discovered source-quality score 40; contains dated strategic/source-page signals.</t>
        </is>
      </c>
      <c r="G360" t="inlineStr">
        <is>
          <t>Auto-discovered; review after the next crawl.</t>
        </is>
      </c>
      <c r="H360" t="inlineStr">
        <is>
          <t>Crawl as ranked source first, follow dated article cards, publications and event links, then apply normal signal gates.</t>
        </is>
      </c>
      <c r="L360" t="inlineStr">
        <is>
          <t>Discovered</t>
        </is>
      </c>
    </row>
    <row r="361">
      <c r="A361" t="inlineStr">
        <is>
          <t>Heberger Gruppe</t>
        </is>
      </c>
      <c r="B361" t="inlineStr">
        <is>
          <t>https://www.heberger.de/nachhaltigkeit</t>
        </is>
      </c>
      <c r="C361" t="inlineStr">
        <is>
          <t>Discovered source page</t>
        </is>
      </c>
      <c r="D361" t="inlineStr">
        <is>
          <t>High</t>
        </is>
      </c>
      <c r="E361" t="inlineStr">
        <is>
          <t>Medium</t>
        </is>
      </c>
      <c r="F361" t="inlineStr">
        <is>
          <t>Auto-discovered source-quality score 60; contains dated strategic/source-page signals.</t>
        </is>
      </c>
      <c r="G361" t="inlineStr">
        <is>
          <t>Auto-discovered; review after the next crawl.</t>
        </is>
      </c>
      <c r="H361" t="inlineStr">
        <is>
          <t>Crawl as ranked source first, follow dated article cards, publications and event links, then apply normal signal gates.</t>
        </is>
      </c>
      <c r="L361" t="inlineStr">
        <is>
          <t>Discovered</t>
        </is>
      </c>
    </row>
    <row r="362">
      <c r="A362" t="inlineStr">
        <is>
          <t>Hochschule Koblenz</t>
        </is>
      </c>
      <c r="B362" t="inlineStr">
        <is>
          <t>https://www.hs-koblenz.de/unternehmen/presse</t>
        </is>
      </c>
      <c r="C362" t="inlineStr">
        <is>
          <t>Discovered source page</t>
        </is>
      </c>
      <c r="D362" t="inlineStr">
        <is>
          <t>High</t>
        </is>
      </c>
      <c r="E362" t="inlineStr">
        <is>
          <t>Medium</t>
        </is>
      </c>
      <c r="F362" t="inlineStr">
        <is>
          <t>Auto-discovered source-quality score 42; contains dated strategic/source-page signals.</t>
        </is>
      </c>
      <c r="G362" t="inlineStr">
        <is>
          <t>Auto-discovered; review after the next crawl.</t>
        </is>
      </c>
      <c r="H362" t="inlineStr">
        <is>
          <t>Crawl as ranked source first, follow dated article cards, publications and event links, then apply normal signal gates.</t>
        </is>
      </c>
      <c r="L362" t="inlineStr">
        <is>
          <t>Discovered</t>
        </is>
      </c>
    </row>
    <row r="363">
      <c r="A363" t="inlineStr">
        <is>
          <t>Hochschule Koblenz</t>
        </is>
      </c>
      <c r="B363" t="inlineStr">
        <is>
          <t>https://www.hs-koblenz.de/termine</t>
        </is>
      </c>
      <c r="C363" t="inlineStr">
        <is>
          <t>Discovered source page</t>
        </is>
      </c>
      <c r="D363" t="inlineStr">
        <is>
          <t>High</t>
        </is>
      </c>
      <c r="E363" t="inlineStr">
        <is>
          <t>Medium</t>
        </is>
      </c>
      <c r="F363" t="inlineStr">
        <is>
          <t>Auto-discovered source-quality score 42; contains dated strategic/source-page signals.</t>
        </is>
      </c>
      <c r="G363" t="inlineStr">
        <is>
          <t>Auto-discovered; review after the next crawl.</t>
        </is>
      </c>
      <c r="H363" t="inlineStr">
        <is>
          <t>Crawl as ranked source first, follow dated article cards, publications and event links, then apply normal signal gates.</t>
        </is>
      </c>
      <c r="L363" t="inlineStr">
        <is>
          <t>Discovered</t>
        </is>
      </c>
    </row>
    <row r="364">
      <c r="A364" t="inlineStr">
        <is>
          <t>Karl Gemünden GmbH &amp; Co. KG</t>
        </is>
      </c>
      <c r="B364" t="inlineStr">
        <is>
          <t>https://www.gemuenden-bau.de/nachhaltigkeit</t>
        </is>
      </c>
      <c r="C364" t="inlineStr">
        <is>
          <t>Discovered source page</t>
        </is>
      </c>
      <c r="D364" t="inlineStr">
        <is>
          <t>High</t>
        </is>
      </c>
      <c r="E364" t="inlineStr">
        <is>
          <t>Medium</t>
        </is>
      </c>
      <c r="F364" t="inlineStr">
        <is>
          <t>Auto-discovered source-quality score 70; contains dated strategic/source-page signals.</t>
        </is>
      </c>
      <c r="G364" t="inlineStr">
        <is>
          <t>Auto-discovered; review after the next crawl.</t>
        </is>
      </c>
      <c r="H364" t="inlineStr">
        <is>
          <t>Crawl as ranked source first, follow dated article cards, publications and event links, then apply normal signal gates.</t>
        </is>
      </c>
      <c r="L364" t="inlineStr">
        <is>
          <t>Discovered</t>
        </is>
      </c>
    </row>
    <row r="365">
      <c r="A365" t="inlineStr">
        <is>
          <t>Kassenärztliche Vereinigung Rheinland-Pfalz</t>
        </is>
      </c>
      <c r="B365" t="inlineStr">
        <is>
          <t>https://www.kv-rlp.de/presse</t>
        </is>
      </c>
      <c r="C365" t="inlineStr">
        <is>
          <t>Discovered source page</t>
        </is>
      </c>
      <c r="D365" t="inlineStr">
        <is>
          <t>High</t>
        </is>
      </c>
      <c r="E365" t="inlineStr">
        <is>
          <t>Medium</t>
        </is>
      </c>
      <c r="F365" t="inlineStr">
        <is>
          <t>Auto-discovered source-quality score 60; contains dated strategic/source-page signals.</t>
        </is>
      </c>
      <c r="G365" t="inlineStr">
        <is>
          <t>Auto-discovered; review after the next crawl.</t>
        </is>
      </c>
      <c r="H365" t="inlineStr">
        <is>
          <t>Crawl as ranked source first, follow dated article cards, publications and event links, then apply normal signal gates.</t>
        </is>
      </c>
      <c r="L365" t="inlineStr">
        <is>
          <t>Discovered</t>
        </is>
      </c>
    </row>
    <row r="366">
      <c r="A366" t="inlineStr">
        <is>
          <t>Katholische Hochschule Mainz</t>
        </is>
      </c>
      <c r="B366" t="inlineStr">
        <is>
          <t>https://www.kh-mz.de/presse</t>
        </is>
      </c>
      <c r="C366" t="inlineStr">
        <is>
          <t>Discovered source page</t>
        </is>
      </c>
      <c r="D366" t="inlineStr">
        <is>
          <t>High</t>
        </is>
      </c>
      <c r="E366" t="inlineStr">
        <is>
          <t>Medium</t>
        </is>
      </c>
      <c r="F366" t="inlineStr">
        <is>
          <t>Auto-discovered source-quality score 42; contains dated strategic/source-page signals.</t>
        </is>
      </c>
      <c r="G366" t="inlineStr">
        <is>
          <t>Auto-discovered; review after the next crawl.</t>
        </is>
      </c>
      <c r="H366" t="inlineStr">
        <is>
          <t>Crawl as ranked source first, follow dated article cards, publications and event links, then apply normal signal gates.</t>
        </is>
      </c>
      <c r="L366" t="inlineStr">
        <is>
          <t>Discovered</t>
        </is>
      </c>
    </row>
    <row r="367">
      <c r="A367" t="inlineStr">
        <is>
          <t>Katholische Hochschule Mainz</t>
        </is>
      </c>
      <c r="B367" t="inlineStr">
        <is>
          <t>https://www.kh-mz.de/events</t>
        </is>
      </c>
      <c r="C367" t="inlineStr">
        <is>
          <t>Discovered source page</t>
        </is>
      </c>
      <c r="D367" t="inlineStr">
        <is>
          <t>Medium</t>
        </is>
      </c>
      <c r="E367" t="inlineStr">
        <is>
          <t>Medium</t>
        </is>
      </c>
      <c r="F367" t="inlineStr">
        <is>
          <t>Auto-discovered source-quality score 34; contains dated strategic/source-page signals.</t>
        </is>
      </c>
      <c r="G367" t="inlineStr">
        <is>
          <t>Auto-discovered; review after the next crawl.</t>
        </is>
      </c>
      <c r="H367" t="inlineStr">
        <is>
          <t>Crawl as ranked source first, follow dated article cards, publications and event links, then apply normal signal gates.</t>
        </is>
      </c>
      <c r="L367" t="inlineStr">
        <is>
          <t>Discovered</t>
        </is>
      </c>
    </row>
    <row r="368">
      <c r="A368" t="inlineStr">
        <is>
          <t>KÜBLER GmbH</t>
        </is>
      </c>
      <c r="B368" t="inlineStr">
        <is>
          <t>https://www.kuebler-hallenheizungen.de/technologie</t>
        </is>
      </c>
      <c r="C368" t="inlineStr">
        <is>
          <t>Discovered source page</t>
        </is>
      </c>
      <c r="D368" t="inlineStr">
        <is>
          <t>High</t>
        </is>
      </c>
      <c r="E368" t="inlineStr">
        <is>
          <t>Medium</t>
        </is>
      </c>
      <c r="F368" t="inlineStr">
        <is>
          <t>Auto-discovered source-quality score 67; contains dated strategic/source-page signals.</t>
        </is>
      </c>
      <c r="G368" t="inlineStr">
        <is>
          <t>Auto-discovered; review after the next crawl.</t>
        </is>
      </c>
      <c r="H368" t="inlineStr">
        <is>
          <t>Crawl as ranked source first, follow dated article cards, publications and event links, then apply normal signal gates.</t>
        </is>
      </c>
      <c r="L368" t="inlineStr">
        <is>
          <t>Discovered</t>
        </is>
      </c>
    </row>
    <row r="369">
      <c r="A369" t="inlineStr">
        <is>
          <t>KÜBLER GmbH</t>
        </is>
      </c>
      <c r="B369" t="inlineStr">
        <is>
          <t>https://www.kuebler-hallenheizungen.de/digitalisierung</t>
        </is>
      </c>
      <c r="C369" t="inlineStr">
        <is>
          <t>Discovered source page</t>
        </is>
      </c>
      <c r="D369" t="inlineStr">
        <is>
          <t>Medium</t>
        </is>
      </c>
      <c r="E369" t="inlineStr">
        <is>
          <t>Medium</t>
        </is>
      </c>
      <c r="F369" t="inlineStr">
        <is>
          <t>Auto-discovered source-quality score 41; contains dated strategic/source-page signals.</t>
        </is>
      </c>
      <c r="G369" t="inlineStr">
        <is>
          <t>Auto-discovered; review after the next crawl.</t>
        </is>
      </c>
      <c r="H369" t="inlineStr">
        <is>
          <t>Crawl as ranked source first, follow dated article cards, publications and event links, then apply normal signal gates.</t>
        </is>
      </c>
      <c r="L369" t="inlineStr">
        <is>
          <t>Discovered</t>
        </is>
      </c>
    </row>
    <row r="370">
      <c r="A370" t="inlineStr">
        <is>
          <t>Mainzer Stadtwerke AG</t>
        </is>
      </c>
      <c r="B370" t="inlineStr">
        <is>
          <t>https://www.mainzer-stadtwerke.de/presse</t>
        </is>
      </c>
      <c r="C370" t="inlineStr">
        <is>
          <t>Discovered source page</t>
        </is>
      </c>
      <c r="D370" t="inlineStr">
        <is>
          <t>Medium</t>
        </is>
      </c>
      <c r="E370" t="inlineStr">
        <is>
          <t>Medium</t>
        </is>
      </c>
      <c r="F370" t="inlineStr">
        <is>
          <t>Auto-discovered source-quality score 29; contains dated strategic/source-page signals.</t>
        </is>
      </c>
      <c r="G370" t="inlineStr">
        <is>
          <t>Auto-discovered; review after the next crawl.</t>
        </is>
      </c>
      <c r="H370" t="inlineStr">
        <is>
          <t>Crawl as ranked source first, follow dated article cards, publications and event links, then apply normal signal gates.</t>
        </is>
      </c>
      <c r="L370" t="inlineStr">
        <is>
          <t>Discovered</t>
        </is>
      </c>
    </row>
    <row r="371">
      <c r="A371" t="inlineStr">
        <is>
          <t>Mainzer Stadtwerke AG</t>
        </is>
      </c>
      <c r="B371" t="inlineStr">
        <is>
          <t>https://www.mainzer-stadtwerke.de/aktuelles</t>
        </is>
      </c>
      <c r="C371" t="inlineStr">
        <is>
          <t>Discovered source page</t>
        </is>
      </c>
      <c r="D371" t="inlineStr">
        <is>
          <t>Medium</t>
        </is>
      </c>
      <c r="E371" t="inlineStr">
        <is>
          <t>Medium</t>
        </is>
      </c>
      <c r="F371" t="inlineStr">
        <is>
          <t>Auto-discovered source-quality score 39; contains dated strategic/source-page signals.</t>
        </is>
      </c>
      <c r="G371" t="inlineStr">
        <is>
          <t>Auto-discovered; review after the next crawl.</t>
        </is>
      </c>
      <c r="H371" t="inlineStr">
        <is>
          <t>Crawl as ranked source first, follow dated article cards, publications and event links, then apply normal signal gates.</t>
        </is>
      </c>
      <c r="L371" t="inlineStr">
        <is>
          <t>Discovered</t>
        </is>
      </c>
    </row>
    <row r="372">
      <c r="A372" t="inlineStr">
        <is>
          <t>Mainzer Stadtwerke AG</t>
        </is>
      </c>
      <c r="B372" t="inlineStr">
        <is>
          <t>https://www.mainzer-stadtwerke.de/projekte</t>
        </is>
      </c>
      <c r="C372" t="inlineStr">
        <is>
          <t>Discovered source page</t>
        </is>
      </c>
      <c r="D372" t="inlineStr">
        <is>
          <t>High</t>
        </is>
      </c>
      <c r="E372" t="inlineStr">
        <is>
          <t>Medium</t>
        </is>
      </c>
      <c r="F372" t="inlineStr">
        <is>
          <t>Auto-discovered source-quality score 69; contains dated strategic/source-page signals.</t>
        </is>
      </c>
      <c r="G372" t="inlineStr">
        <is>
          <t>Auto-discovered; review after the next crawl.</t>
        </is>
      </c>
      <c r="H372" t="inlineStr">
        <is>
          <t>Crawl as ranked source first, follow dated article cards, publications and event links, then apply normal signal gates.</t>
        </is>
      </c>
      <c r="L372" t="inlineStr">
        <is>
          <t>Discovered</t>
        </is>
      </c>
    </row>
    <row r="373">
      <c r="A373" t="inlineStr">
        <is>
          <t>Mainzer Stadtwerke AG</t>
        </is>
      </c>
      <c r="B373" t="inlineStr">
        <is>
          <t>https://www.mainzer-stadtwerke.de/de/aktuelles</t>
        </is>
      </c>
      <c r="C373" t="inlineStr">
        <is>
          <t>Discovered source page</t>
        </is>
      </c>
      <c r="D373" t="inlineStr">
        <is>
          <t>Medium</t>
        </is>
      </c>
      <c r="E373" t="inlineStr">
        <is>
          <t>Medium</t>
        </is>
      </c>
      <c r="F373" t="inlineStr">
        <is>
          <t>Auto-discovered source-quality score 39; contains dated strategic/source-page signals.</t>
        </is>
      </c>
      <c r="G373" t="inlineStr">
        <is>
          <t>Auto-discovered; review after the next crawl.</t>
        </is>
      </c>
      <c r="H373" t="inlineStr">
        <is>
          <t>Crawl as ranked source first, follow dated article cards, publications and event links, then apply normal signal gates.</t>
        </is>
      </c>
      <c r="L373" t="inlineStr">
        <is>
          <t>Discovered</t>
        </is>
      </c>
    </row>
    <row r="374">
      <c r="A374" t="inlineStr">
        <is>
          <t>Ministerium für Wirtschaft, Verkehr, Landwirtschaft und Weinbau</t>
        </is>
      </c>
      <c r="B374" t="inlineStr">
        <is>
          <t>https://mwvlw.rlp.de/news</t>
        </is>
      </c>
      <c r="C374" t="inlineStr">
        <is>
          <t>Discovered source page</t>
        </is>
      </c>
      <c r="D374" t="inlineStr">
        <is>
          <t>High</t>
        </is>
      </c>
      <c r="E374" t="inlineStr">
        <is>
          <t>Medium</t>
        </is>
      </c>
      <c r="F374" t="inlineStr">
        <is>
          <t>Auto-discovered source-quality score 48; contains dated strategic/source-page signals.</t>
        </is>
      </c>
      <c r="G374" t="inlineStr">
        <is>
          <t>Auto-discovered; review after the next crawl.</t>
        </is>
      </c>
      <c r="H374" t="inlineStr">
        <is>
          <t>Crawl as ranked source first, follow dated article cards, publications and event links, then apply normal signal gates.</t>
        </is>
      </c>
      <c r="L374" t="inlineStr">
        <is>
          <t>Discovered</t>
        </is>
      </c>
    </row>
    <row r="375">
      <c r="A375" t="inlineStr">
        <is>
          <t>Ministerium für Wirtschaft, Verkehr, Landwirtschaft und Weinbau</t>
        </is>
      </c>
      <c r="B375" t="inlineStr">
        <is>
          <t>https://mwvlw.rlp.de/mittelstand</t>
        </is>
      </c>
      <c r="C375" t="inlineStr">
        <is>
          <t>Discovered source page</t>
        </is>
      </c>
      <c r="D375" t="inlineStr">
        <is>
          <t>High</t>
        </is>
      </c>
      <c r="E375" t="inlineStr">
        <is>
          <t>Medium</t>
        </is>
      </c>
      <c r="F375" t="inlineStr">
        <is>
          <t>Auto-discovered source-quality score 88; contains dated strategic/source-page signals.</t>
        </is>
      </c>
      <c r="G375" t="inlineStr">
        <is>
          <t>Auto-discovered; review after the next crawl.</t>
        </is>
      </c>
      <c r="H375" t="inlineStr">
        <is>
          <t>Crawl as ranked source first, follow dated article cards, publications and event links, then apply normal signal gates.</t>
        </is>
      </c>
      <c r="L375" t="inlineStr">
        <is>
          <t>Discovered</t>
        </is>
      </c>
    </row>
    <row r="376">
      <c r="A376" t="inlineStr">
        <is>
          <t>Ministerium für Wirtschaft, Verkehr, Landwirtschaft und Weinbau</t>
        </is>
      </c>
      <c r="B376" t="inlineStr">
        <is>
          <t>https://mwvlw.rlp.de/forschung</t>
        </is>
      </c>
      <c r="C376" t="inlineStr">
        <is>
          <t>Discovered source page</t>
        </is>
      </c>
      <c r="D376" t="inlineStr">
        <is>
          <t>High</t>
        </is>
      </c>
      <c r="E376" t="inlineStr">
        <is>
          <t>Medium</t>
        </is>
      </c>
      <c r="F376" t="inlineStr">
        <is>
          <t>Auto-discovered source-quality score 48; contains dated strategic/source-page signals.</t>
        </is>
      </c>
      <c r="G376" t="inlineStr">
        <is>
          <t>Auto-discovered; review after the next crawl.</t>
        </is>
      </c>
      <c r="H376" t="inlineStr">
        <is>
          <t>Crawl as ranked source first, follow dated article cards, publications and event links, then apply normal signal gates.</t>
        </is>
      </c>
      <c r="L376" t="inlineStr">
        <is>
          <t>Discovered</t>
        </is>
      </c>
    </row>
    <row r="377">
      <c r="A377" t="inlineStr">
        <is>
          <t>Schoenergie GmbH</t>
        </is>
      </c>
      <c r="B377" t="inlineStr">
        <is>
          <t>http://www.schoenergie.de/projekte</t>
        </is>
      </c>
      <c r="C377" t="inlineStr">
        <is>
          <t>Discovered source page</t>
        </is>
      </c>
      <c r="D377" t="inlineStr">
        <is>
          <t>High</t>
        </is>
      </c>
      <c r="E377" t="inlineStr">
        <is>
          <t>Medium</t>
        </is>
      </c>
      <c r="F377" t="inlineStr">
        <is>
          <t>Auto-discovered source-quality score 75; contains dated strategic/source-page signals.</t>
        </is>
      </c>
      <c r="G377" t="inlineStr">
        <is>
          <t>Auto-discovered; review after the next crawl.</t>
        </is>
      </c>
      <c r="H377" t="inlineStr">
        <is>
          <t>Crawl as ranked source first, follow dated article cards, publications and event links, then apply normal signal gates.</t>
        </is>
      </c>
      <c r="L377" t="inlineStr">
        <is>
          <t>Discovered</t>
        </is>
      </c>
    </row>
    <row r="378">
      <c r="A378" t="inlineStr">
        <is>
          <t>Schoenergie GmbH</t>
        </is>
      </c>
      <c r="B378" t="inlineStr">
        <is>
          <t>http://www.schoenergie.de/energie</t>
        </is>
      </c>
      <c r="C378" t="inlineStr">
        <is>
          <t>Discovered source page</t>
        </is>
      </c>
      <c r="D378" t="inlineStr">
        <is>
          <t>High</t>
        </is>
      </c>
      <c r="E378" t="inlineStr">
        <is>
          <t>Medium</t>
        </is>
      </c>
      <c r="F378" t="inlineStr">
        <is>
          <t>Auto-discovered source-quality score 65; contains dated strategic/source-page signals.</t>
        </is>
      </c>
      <c r="G378" t="inlineStr">
        <is>
          <t>Auto-discovered; review after the next crawl.</t>
        </is>
      </c>
      <c r="H378" t="inlineStr">
        <is>
          <t>Crawl as ranked source first, follow dated article cards, publications and event links, then apply normal signal gates.</t>
        </is>
      </c>
      <c r="L378" t="inlineStr">
        <is>
          <t>Discovered</t>
        </is>
      </c>
    </row>
    <row r="379">
      <c r="A379" t="inlineStr">
        <is>
          <t>SmartFactory KL e.V.</t>
        </is>
      </c>
      <c r="B379" t="inlineStr">
        <is>
          <t>https://smartfactory.de/presse</t>
        </is>
      </c>
      <c r="C379" t="inlineStr">
        <is>
          <t>Discovered source page</t>
        </is>
      </c>
      <c r="D379" t="inlineStr">
        <is>
          <t>Medium</t>
        </is>
      </c>
      <c r="E379" t="inlineStr">
        <is>
          <t>Medium</t>
        </is>
      </c>
      <c r="F379" t="inlineStr">
        <is>
          <t>Auto-discovered source-quality score 28; contains dated strategic/source-page signals.</t>
        </is>
      </c>
      <c r="G379" t="inlineStr">
        <is>
          <t>Auto-discovered; review after the next crawl.</t>
        </is>
      </c>
      <c r="H379" t="inlineStr">
        <is>
          <t>Crawl as ranked source first, follow dated article cards, publications and event links, then apply normal signal gates.</t>
        </is>
      </c>
      <c r="L379" t="inlineStr">
        <is>
          <t>Discovered</t>
        </is>
      </c>
    </row>
    <row r="380">
      <c r="A380" t="inlineStr">
        <is>
          <t>Techniker Krankenkasse</t>
        </is>
      </c>
      <c r="B380" t="inlineStr">
        <is>
          <t>https://www.tk.de/news</t>
        </is>
      </c>
      <c r="C380" t="inlineStr">
        <is>
          <t>Discovered source page</t>
        </is>
      </c>
      <c r="D380" t="inlineStr">
        <is>
          <t>Medium</t>
        </is>
      </c>
      <c r="E380" t="inlineStr">
        <is>
          <t>Medium</t>
        </is>
      </c>
      <c r="F380" t="inlineStr">
        <is>
          <t>Auto-discovered source-quality score 34; contains dated strategic/source-page signals.</t>
        </is>
      </c>
      <c r="G380" t="inlineStr">
        <is>
          <t>Auto-discovered; review after the next crawl.</t>
        </is>
      </c>
      <c r="H380" t="inlineStr">
        <is>
          <t>Crawl as ranked source first, follow dated article cards, publications and event links, then apply normal signal gates.</t>
        </is>
      </c>
      <c r="L380" t="inlineStr">
        <is>
          <t>Discovered</t>
        </is>
      </c>
    </row>
    <row r="381">
      <c r="A381" t="inlineStr">
        <is>
          <t>Techniker Krankenkasse</t>
        </is>
      </c>
      <c r="B381" t="inlineStr">
        <is>
          <t>https://www.tk.de/presse</t>
        </is>
      </c>
      <c r="C381" t="inlineStr">
        <is>
          <t>Discovered source page</t>
        </is>
      </c>
      <c r="D381" t="inlineStr">
        <is>
          <t>Medium</t>
        </is>
      </c>
      <c r="E381" t="inlineStr">
        <is>
          <t>Medium</t>
        </is>
      </c>
      <c r="F381" t="inlineStr">
        <is>
          <t>Auto-discovered source-quality score 30; contains dated strategic/source-page signals.</t>
        </is>
      </c>
      <c r="G381" t="inlineStr">
        <is>
          <t>Auto-discovered; review after the next crawl.</t>
        </is>
      </c>
      <c r="H381" t="inlineStr">
        <is>
          <t>Crawl as ranked source first, follow dated article cards, publications and event links, then apply normal signal gates.</t>
        </is>
      </c>
      <c r="L381" t="inlineStr">
        <is>
          <t>Discovered</t>
        </is>
      </c>
    </row>
    <row r="382">
      <c r="A382" t="inlineStr">
        <is>
          <t>Techniker Krankenkasse</t>
        </is>
      </c>
      <c r="B382" t="inlineStr">
        <is>
          <t>https://www.tk.de/nachhaltigkeit</t>
        </is>
      </c>
      <c r="C382" t="inlineStr">
        <is>
          <t>Discovered source page</t>
        </is>
      </c>
      <c r="D382" t="inlineStr">
        <is>
          <t>Medium</t>
        </is>
      </c>
      <c r="E382" t="inlineStr">
        <is>
          <t>Medium</t>
        </is>
      </c>
      <c r="F382" t="inlineStr">
        <is>
          <t>Auto-discovered source-quality score 34; contains dated strategic/source-page signals.</t>
        </is>
      </c>
      <c r="G382" t="inlineStr">
        <is>
          <t>Auto-discovered; review after the next crawl.</t>
        </is>
      </c>
      <c r="H382" t="inlineStr">
        <is>
          <t>Crawl as ranked source first, follow dated article cards, publications and event links, then apply normal signal gates.</t>
        </is>
      </c>
      <c r="L382" t="inlineStr">
        <is>
          <t>Discovered</t>
        </is>
      </c>
    </row>
    <row r="383">
      <c r="A383" t="inlineStr">
        <is>
          <t>Vinzenz Pallotti University gGmbH</t>
        </is>
      </c>
      <c r="B383" t="inlineStr">
        <is>
          <t>https://vp-uni.de/projekte</t>
        </is>
      </c>
      <c r="C383" t="inlineStr">
        <is>
          <t>Discovered source page</t>
        </is>
      </c>
      <c r="D383" t="inlineStr">
        <is>
          <t>Medium</t>
        </is>
      </c>
      <c r="E383" t="inlineStr">
        <is>
          <t>Medium</t>
        </is>
      </c>
      <c r="F383" t="inlineStr">
        <is>
          <t>Auto-discovered source-quality score 34; contains dated strategic/source-page signals.</t>
        </is>
      </c>
      <c r="G383" t="inlineStr">
        <is>
          <t>Auto-discovered; review after the next crawl.</t>
        </is>
      </c>
      <c r="H383" t="inlineStr">
        <is>
          <t>Crawl as ranked source first, follow dated article cards, publications and event links, then apply normal signal gates.</t>
        </is>
      </c>
      <c r="L383" t="inlineStr">
        <is>
          <t>Discovered</t>
        </is>
      </c>
    </row>
    <row r="384">
      <c r="A384" t="inlineStr">
        <is>
          <t>Vinzenz Pallotti University gGmbH</t>
        </is>
      </c>
      <c r="B384" t="inlineStr">
        <is>
          <t>https://vp-uni.de/aktuell</t>
        </is>
      </c>
      <c r="C384" t="inlineStr">
        <is>
          <t>Discovered source page</t>
        </is>
      </c>
      <c r="D384" t="inlineStr">
        <is>
          <t>Medium</t>
        </is>
      </c>
      <c r="E384" t="inlineStr">
        <is>
          <t>Medium</t>
        </is>
      </c>
      <c r="F384" t="inlineStr">
        <is>
          <t>Auto-discovered source-quality score 30; contains dated strategic/source-page signals.</t>
        </is>
      </c>
      <c r="G384" t="inlineStr">
        <is>
          <t>Auto-discovered; review after the next crawl.</t>
        </is>
      </c>
      <c r="H384" t="inlineStr">
        <is>
          <t>Crawl as ranked source first, follow dated article cards, publications and event links, then apply normal signal gates.</t>
        </is>
      </c>
      <c r="L384" t="inlineStr">
        <is>
          <t>Discovered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0" customWidth="1" style="46" min="1" max="1"/>
    <col width="80" customWidth="1" style="46" min="2" max="2"/>
    <col width="80" customWidth="1" style="46" min="3" max="3"/>
    <col width="31" customWidth="1" style="46" min="4" max="4"/>
  </cols>
  <sheetData>
    <row r="1" ht="35" customHeight="1" s="46">
      <c r="A1" s="57" t="inlineStr">
        <is>
          <t>Problem</t>
        </is>
      </c>
      <c r="B1" s="57" t="inlineStr">
        <is>
          <t>What happens</t>
        </is>
      </c>
      <c r="C1" s="57" t="inlineStr">
        <is>
          <t>Fix in crawler logic</t>
        </is>
      </c>
      <c r="D1" s="57" t="inlineStr">
        <is>
          <t>Applies to</t>
        </is>
      </c>
    </row>
    <row r="2" ht="62" customHeight="1" s="46">
      <c r="A2" s="21" t="inlineStr">
        <is>
          <t>Portal pages are not article pages</t>
        </is>
      </c>
      <c r="B2" s="21" t="inlineStr">
        <is>
          <t>Crawler sees navigation and discards page before reaching the useful cards.</t>
        </is>
      </c>
      <c r="C2" s="21" t="inlineStr">
        <is>
          <t>Detect portal sections and follow specific cards/categories before scoring.</t>
        </is>
      </c>
      <c r="D2" s="21" t="inlineStr">
        <is>
          <t>Continental, Boehringer, LBBW</t>
        </is>
      </c>
    </row>
    <row r="3" ht="62" customHeight="1" s="46">
      <c r="A3" s="21" t="inlineStr">
        <is>
          <t>Tabbed or anchored URLs</t>
        </is>
      </c>
      <c r="B3" s="21" t="inlineStr">
        <is>
          <t>Query strings or #anchors may hide the actual source; the content is lower on the page.</t>
        </is>
      </c>
      <c r="C3" s="21" t="inlineStr">
        <is>
          <t>Normalize URLs, but keep source-specific tab hints; extract all tab panels/cards.</t>
        </is>
      </c>
      <c r="D3" s="21" t="inlineStr">
        <is>
          <t>Continental</t>
        </is>
      </c>
    </row>
    <row r="4" ht="62" customHeight="1" s="46">
      <c r="A4" s="21" t="inlineStr">
        <is>
          <t>Bot/JS-protected pages</t>
        </is>
      </c>
      <c r="B4" s="21" t="inlineStr">
        <is>
          <t>HTML extraction returns almost nothing although search engines can see relevant results.</t>
        </is>
      </c>
      <c r="C4" s="21" t="inlineStr">
        <is>
          <t>Use sitemap/search discovery, allowed headless rendering, or fallback manual source rules.</t>
        </is>
      </c>
      <c r="D4" s="21" t="inlineStr">
        <is>
          <t>Boehringer, Jobs for Moms</t>
        </is>
      </c>
    </row>
    <row r="5" ht="62" customHeight="1" s="46">
      <c r="A5" s="21" t="inlineStr">
        <is>
          <t>Association pages are category-heavy</t>
        </is>
      </c>
      <c r="B5" s="21" t="inlineStr">
        <is>
          <t>Signals are in categories, archives, downloads, dates and events rather than a single news list.</t>
        </is>
      </c>
      <c r="C5" s="21" t="inlineStr">
        <is>
          <t>Follow menu taxonomy and category URLs; keep press/archive/termine/download links.</t>
        </is>
      </c>
      <c r="D5" s="21" t="inlineStr">
        <is>
          <t>BWV RLP Süd</t>
        </is>
      </c>
    </row>
    <row r="6" ht="62" customHeight="1" s="46">
      <c r="A6" s="21" t="inlineStr">
        <is>
          <t>Universities are overrepresented</t>
        </is>
      </c>
      <c r="B6" s="21" t="inlineStr">
        <is>
          <t>Simple HTML university news pages are technically easy, so they dominate results.</t>
        </is>
      </c>
      <c r="C6" s="21" t="inlineStr">
        <is>
          <t>Actor-type crawl strategies: company, bank, association, hospital, foundation, university.</t>
        </is>
      </c>
      <c r="D6" s="21" t="inlineStr">
        <is>
          <t>Whole ZIRP system</t>
        </is>
      </c>
    </row>
    <row r="7">
      <c r="A7" s="17" t="inlineStr">
        <is>
          <t>Valuable category feeds are below the homepage</t>
        </is>
      </c>
      <c r="B7" s="17" t="inlineStr">
        <is>
          <t>Crawler sees the BWV homepage or press page but misses a stronger member-specific Infodienst archive with dated operational signals.</t>
        </is>
      </c>
      <c r="C7" s="17" t="inlineStr">
        <is>
          <t>Add manually discovered category URLs as first-class seed sources, not just links found opportunistically from the homepage.</t>
        </is>
      </c>
      <c r="D7" s="17" t="inlineStr">
        <is>
          <t>BWV RLP Süd</t>
        </is>
      </c>
    </row>
    <row r="8">
      <c r="A8" s="17" t="inlineStr">
        <is>
          <t>Long archive pages mix current and old signals</t>
        </is>
      </c>
      <c r="B8" s="17" t="inlineStr">
        <is>
          <t>Crawler may truncate the ISB news page or treat older archive entries as equally important.</t>
        </is>
      </c>
      <c r="C8" s="17" t="inlineStr">
        <is>
          <t>Extract only the News card region, apply a freshness window, and follow detail links for high-signal categories.</t>
        </is>
      </c>
      <c r="D8" s="17" t="inlineStr">
        <is>
          <t>ISB</t>
        </is>
      </c>
    </row>
    <row r="9" ht="72" customHeight="1" s="46">
      <c r="A9" s="21" t="inlineStr">
        <is>
          <t>Event feeds are strategic signals, not generic pages</t>
        </is>
      </c>
      <c r="B9" s="21" t="inlineStr">
        <is>
          <t>Crawler may treat event pages as low-value calendars, even though event participation reveals active technology domains, partner spaces and near-term convening opportunities.</t>
        </is>
      </c>
      <c r="C9" s="21" t="inlineStr">
        <is>
          <t>Add event-feed extraction for date/type/location/title/teaser and follow detail links; score upcoming events higher than old events.</t>
        </is>
      </c>
      <c r="D9" s="21" t="inlineStr">
        <is>
          <t>ITK Engineering</t>
        </is>
      </c>
    </row>
    <row r="10" ht="72" customHeight="1" s="46">
      <c r="A10" s="21" t="inlineStr">
        <is>
          <t>Chamber press lists contain policy and Mittelstand signals</t>
        </is>
      </c>
      <c r="B10" s="21" t="inlineStr">
        <is>
          <t>Crawler may read navigation-heavy chamber pages but miss the clean dated press list and "mehr lesen" article links.</t>
        </is>
      </c>
      <c r="C10" s="21" t="inlineStr">
        <is>
          <t>Seed press-list URLs directly, isolate article cards, follow full articles, and weight Ausbildung, Fachkräfte, Konjunktur, Innovation and policy-demand terms.</t>
        </is>
      </c>
      <c r="D10" s="21" t="inlineStr">
        <is>
          <t>Handwerkskammer der Pfalz</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3" customWidth="1" style="46" min="1" max="1"/>
    <col width="16" customWidth="1" style="46" min="2" max="2"/>
    <col width="80" customWidth="1" style="46" min="3" max="3"/>
    <col width="80" customWidth="1" style="46" min="4" max="4"/>
    <col width="35" customWidth="1" style="46" min="5" max="5"/>
    <col width="12" customWidth="1" style="46" min="6" max="6"/>
    <col width="80" customWidth="1" style="46" min="7" max="7"/>
  </cols>
  <sheetData>
    <row r="1">
      <c r="A1" s="58" t="inlineStr">
        <is>
          <t>actor_family</t>
        </is>
      </c>
      <c r="B1" s="58" t="inlineStr">
        <is>
          <t>priority_boost</t>
        </is>
      </c>
      <c r="C1" s="58" t="inlineStr">
        <is>
          <t>seed_paths</t>
        </is>
      </c>
      <c r="D1" s="58" t="inlineStr">
        <is>
          <t>source_quality_terms</t>
        </is>
      </c>
      <c r="E1" s="58" t="inlineStr">
        <is>
          <t>pagination_patterns</t>
        </is>
      </c>
      <c r="F1" s="58" t="inlineStr">
        <is>
          <t>enabled</t>
        </is>
      </c>
      <c r="G1" s="58" t="inlineStr">
        <is>
          <t>notes</t>
        </is>
      </c>
    </row>
    <row r="2">
      <c r="A2" t="inlineStr">
        <is>
          <t>academic</t>
        </is>
      </c>
      <c r="B2" t="n">
        <v>0</v>
      </c>
      <c r="C2" t="inlineStr">
        <is>
          <t>/aktuelles; /news; /forschung; /transfer; /events; /presse</t>
        </is>
      </c>
      <c r="D2" t="inlineStr">
        <is>
          <t>forschung; transfer; projekt; veranstaltung; presse</t>
        </is>
      </c>
      <c r="F2" t="n">
        <v>1</v>
      </c>
      <c r="G2" t="inlineStr">
        <is>
          <t>Universities and research actors.</t>
        </is>
      </c>
    </row>
    <row r="3">
      <c r="A3" t="inlineStr">
        <is>
          <t>company_industry</t>
        </is>
      </c>
      <c r="B3" t="n">
        <v>20</v>
      </c>
      <c r="C3" t="inlineStr">
        <is>
          <t>/presse; /pressemitteilungen; /newsroom; /news-and-media; /stories; /media-stories; /innovation; /nachhaltigkeit; /investor-relations; /finanzberichte; /publikationen; /events</t>
        </is>
      </c>
      <c r="D3" t="inlineStr">
        <is>
          <t>pressemitteilung; newsroom; innovation; investition; nachhaltigkeit; produktion; standort; jahresbericht; gesch?ftsbericht</t>
        </is>
      </c>
      <c r="F3" t="n">
        <v>1</v>
      </c>
      <c r="G3" t="inlineStr">
        <is>
          <t>Companies, industry and commercial implementation anchors.</t>
        </is>
      </c>
    </row>
    <row r="4">
      <c r="A4" t="inlineStr">
        <is>
          <t>bank_finance</t>
        </is>
      </c>
      <c r="B4" t="n">
        <v>22</v>
      </c>
      <c r="C4" t="inlineStr">
        <is>
          <t>/research; /studien; /analysen; /publikationen; /news; /presse; /mittelstand; /esg; /green-finance</t>
        </is>
      </c>
      <c r="D4" t="inlineStr">
        <is>
          <t>research; studie; analyse; mittelstand; finanzierung; f?rderung; esg; green finance</t>
        </is>
      </c>
      <c r="F4" t="n">
        <v>1</v>
      </c>
      <c r="G4" t="inlineStr">
        <is>
          <t>Banks, insurers, finance and funding actors.</t>
        </is>
      </c>
    </row>
    <row r="5">
      <c r="A5" t="inlineStr">
        <is>
          <t>chamber_association</t>
        </is>
      </c>
      <c r="B5" t="n">
        <v>25</v>
      </c>
      <c r="C5" t="inlineStr">
        <is>
          <t>/aktuelles; /presse; /pressemitteilungen; /termine; /veranstaltungen; /publikationen; /downloads; /archiv; /pressearchiv; /category; /infodienst</t>
        </is>
      </c>
      <c r="D5" t="inlineStr">
        <is>
          <t>pressemitteilung; position; positionspapier; veranstaltung; publikation; archiv; infodienst</t>
        </is>
      </c>
      <c r="E5" t="inlineStr">
        <is>
          <t>/category/{n}/; /archiv/page/{n}/</t>
        </is>
      </c>
      <c r="F5" t="n">
        <v>1</v>
      </c>
      <c r="G5" t="inlineStr">
        <is>
          <t>Chambers and associations often hide useful material in archive/category pages.</t>
        </is>
      </c>
    </row>
    <row r="6">
      <c r="A6" t="inlineStr">
        <is>
          <t>health_social</t>
        </is>
      </c>
      <c r="B6" t="n">
        <v>20</v>
      </c>
      <c r="C6" t="inlineStr">
        <is>
          <t>/presse; /aktuelles; /pressemitteilungen; /faktencheck; /gesundheitsberichte; /positionen; /kampagnen; /mediathek; /publikationen</t>
        </is>
      </c>
      <c r="D6" t="inlineStr">
        <is>
          <t>gesundheitsbericht; faktencheck; versorgung; position; kampagne; publikation</t>
        </is>
      </c>
      <c r="F6" t="n">
        <v>1</v>
      </c>
      <c r="G6" t="inlineStr">
        <is>
          <t>Health, care, welfare and social-sector actors.</t>
        </is>
      </c>
    </row>
    <row r="7">
      <c r="A7" t="inlineStr">
        <is>
          <t>energy_infrastructure</t>
        </is>
      </c>
      <c r="B7" t="n">
        <v>25</v>
      </c>
      <c r="C7" t="inlineStr">
        <is>
          <t>/presse; /newsroom; /aktuelles; /projekte; /baumassnahmen; /innovation; /technologie; /netze; /nachhaltigkeit; /mediathek</t>
        </is>
      </c>
      <c r="D7" t="inlineStr">
        <is>
          <t>projekt; netze; energiewende; infrastruktur; baumassnahme; technologie; nachhaltigkeit</t>
        </is>
      </c>
      <c r="F7" t="n">
        <v>1</v>
      </c>
      <c r="G7" t="inlineStr">
        <is>
          <t>Energy, infrastructure, utilities and construction-adjacent operators.</t>
        </is>
      </c>
    </row>
    <row r="8">
      <c r="A8" t="inlineStr">
        <is>
          <t>media_culture</t>
        </is>
      </c>
      <c r="B8" t="n">
        <v>12</v>
      </c>
      <c r="C8" t="inlineStr">
        <is>
          <t>/presse; /pressemitteilungen; /news; /saison; /programm; /publikationen; /mediathek</t>
        </is>
      </c>
      <c r="D8" t="inlineStr">
        <is>
          <t>pressemitteilung; programm; saison; publikation; mediathek</t>
        </is>
      </c>
      <c r="F8" t="n">
        <v>1</v>
      </c>
      <c r="G8" t="inlineStr">
        <is>
          <t>Media, culture, sport and visibility actors.</t>
        </is>
      </c>
    </row>
    <row r="9">
      <c r="A9" t="inlineStr">
        <is>
          <t>state_institution</t>
        </is>
      </c>
      <c r="B9" t="n">
        <v>16</v>
      </c>
      <c r="C9" t="inlineStr">
        <is>
          <t>/presse; /aktuelles; /themen; /foerderung; /f?rderung; /programme; /publikationen; /downloads</t>
        </is>
      </c>
      <c r="D9" t="inlineStr">
        <is>
          <t>f?rderung; foerderung; programm; thema; publikation; pressemitteilung</t>
        </is>
      </c>
      <c r="F9" t="n">
        <v>1</v>
      </c>
      <c r="G9" t="inlineStr">
        <is>
          <t>Ministries, agencies and public institutions.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4" customWidth="1" style="46" min="1" max="1"/>
    <col width="12" customWidth="1" style="46" min="2" max="2"/>
    <col width="75" customWidth="1" style="46" min="3" max="3"/>
    <col width="60" customWidth="1" style="46" min="4" max="4"/>
  </cols>
  <sheetData>
    <row r="1">
      <c r="A1" s="58" t="inlineStr">
        <is>
          <t>key</t>
        </is>
      </c>
      <c r="B1" s="58" t="inlineStr">
        <is>
          <t>value</t>
        </is>
      </c>
      <c r="C1" s="58" t="inlineStr">
        <is>
          <t>meaning</t>
        </is>
      </c>
      <c r="D1" s="58" t="inlineStr">
        <is>
          <t>notes</t>
        </is>
      </c>
    </row>
    <row r="2">
      <c r="A2" t="inlineStr">
        <is>
          <t>discovery_min_article_link_score</t>
        </is>
      </c>
      <c r="B2" t="n">
        <v>5</v>
      </c>
      <c r="C2" t="inlineStr">
        <is>
          <t>Minimum article-card score before a link is treated as article-like.</t>
        </is>
      </c>
      <c r="D2" t="inlineStr">
        <is>
          <t>Higher = fewer/noisier links followed.</t>
        </is>
      </c>
    </row>
    <row r="3">
      <c r="A3" t="inlineStr">
        <is>
          <t>discovery_profile_link_score</t>
        </is>
      </c>
      <c r="B3" t="n">
        <v>3</v>
      </c>
      <c r="C3" t="inlineStr">
        <is>
          <t>Minimum score for profile/source links from curated profiles.</t>
        </is>
      </c>
      <c r="D3" t="inlineStr">
        <is>
          <t>Curated pages can enter with slightly lower article score.</t>
        </is>
      </c>
    </row>
    <row r="4">
      <c r="A4" t="inlineStr">
        <is>
          <t>discovery_min_source_score</t>
        </is>
      </c>
      <c r="B4" t="n">
        <v>24</v>
      </c>
      <c r="C4" t="inlineStr">
        <is>
          <t>Minimum source-page score before a discovered page is accepted as source.</t>
        </is>
      </c>
      <c r="D4" t="inlineStr">
        <is>
          <t>Controls how picky source discovery is.</t>
        </is>
      </c>
    </row>
    <row r="5">
      <c r="A5" t="inlineStr">
        <is>
          <t>discovery_strong_source_score</t>
        </is>
      </c>
      <c r="B5" t="n">
        <v>38</v>
      </c>
      <c r="C5" t="inlineStr">
        <is>
          <t>Score threshold for strong source pages.</t>
        </is>
      </c>
      <c r="D5" t="inlineStr">
        <is>
          <t>Strong sources unlock deeper adaptive crawling.</t>
        </is>
      </c>
    </row>
    <row r="6">
      <c r="A6" t="inlineStr">
        <is>
          <t>discovery_fallback_page_limit</t>
        </is>
      </c>
      <c r="B6" t="n">
        <v>3</v>
      </c>
      <c r="C6" t="inlineStr">
        <is>
          <t>Fallback article/page limit when source quality is weak.</t>
        </is>
      </c>
      <c r="D6" t="inlineStr">
        <is>
          <t>Prevents every member from always crawling max pages.</t>
        </is>
      </c>
    </row>
    <row r="7">
      <c r="A7" t="inlineStr">
        <is>
          <t>pdf_docx_link_bonus</t>
        </is>
      </c>
      <c r="B7" t="n">
        <v>8</v>
      </c>
      <c r="C7" t="inlineStr">
        <is>
          <t>Bonus for PDF/DOCX links.</t>
        </is>
      </c>
      <c r="D7" t="inlineStr">
        <is>
          <t>Keeps reports, studies and position papers visible.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21" customWidth="1" style="46" min="1" max="1"/>
    <col width="60" customWidth="1" style="46" min="2" max="2"/>
    <col width="23" customWidth="1" style="46" min="3" max="3"/>
    <col width="60" customWidth="1" style="46" min="4" max="4"/>
    <col width="48" customWidth="1" style="46" min="5" max="5"/>
    <col width="15" customWidth="1" style="46" min="6" max="6"/>
    <col width="17" customWidth="1" style="46" min="7" max="7"/>
    <col width="15" customWidth="1" style="46" min="8" max="8"/>
    <col width="15" customWidth="1" style="46" min="9" max="9"/>
    <col width="16" customWidth="1" style="46" min="10" max="10"/>
    <col width="22" customWidth="1" style="46" min="11" max="11"/>
    <col width="18" customWidth="1" style="46" min="12" max="12"/>
    <col width="20" customWidth="1" style="46" min="13" max="13"/>
    <col width="23" customWidth="1" style="46" min="14" max="14"/>
    <col width="60" customWidth="1" style="46" min="15" max="15"/>
    <col width="19" customWidth="1" style="46" min="16" max="16"/>
    <col width="12" customWidth="1" style="46" min="17" max="17"/>
    <col width="26" customWidth="1" style="46" min="18" max="18"/>
  </cols>
  <sheetData>
    <row r="1">
      <c r="A1" s="58" t="inlineStr">
        <is>
          <t>run_date</t>
        </is>
      </c>
      <c r="B1" s="58" t="inlineStr">
        <is>
          <t>member_name</t>
        </is>
      </c>
      <c r="C1" s="58" t="inlineStr">
        <is>
          <t>actor_family</t>
        </is>
      </c>
      <c r="D1" s="58" t="inlineStr">
        <is>
          <t>source_url</t>
        </is>
      </c>
      <c r="E1" s="58" t="inlineStr">
        <is>
          <t>source_type</t>
        </is>
      </c>
      <c r="F1" s="58" t="inlineStr">
        <is>
          <t>source_status</t>
        </is>
      </c>
      <c r="G1" s="58" t="inlineStr">
        <is>
          <t>source_priority</t>
        </is>
      </c>
      <c r="H1" s="58" t="inlineStr">
        <is>
          <t>crawl_success</t>
        </is>
      </c>
      <c r="I1" s="58" t="inlineStr">
        <is>
          <t>pages_crawled</t>
        </is>
      </c>
      <c r="J1" s="58" t="inlineStr">
        <is>
          <t>articles_found</t>
        </is>
      </c>
      <c r="K1" s="58" t="inlineStr">
        <is>
          <t>strong_signals_found</t>
        </is>
      </c>
      <c r="L1" s="58" t="inlineStr">
        <is>
          <t>avg_signal_score</t>
        </is>
      </c>
      <c r="M1" s="58" t="inlineStr">
        <is>
          <t>avg_decision_score</t>
        </is>
      </c>
      <c r="N1" s="58" t="inlineStr">
        <is>
          <t>matched_other_members</t>
        </is>
      </c>
      <c r="O1" s="58" t="inlineStr">
        <is>
          <t>top_signal_title</t>
        </is>
      </c>
      <c r="P1" s="58" t="inlineStr">
        <is>
          <t>last_content_date</t>
        </is>
      </c>
      <c r="Q1" s="58" t="inlineStr">
        <is>
          <t>error_type</t>
        </is>
      </c>
      <c r="R1" s="58" t="inlineStr">
        <is>
          <t>next_action</t>
        </is>
      </c>
    </row>
    <row r="2">
      <c r="A2" t="inlineStr">
        <is>
          <t>2026-06-13 18:25:39</t>
        </is>
      </c>
      <c r="B2" t="inlineStr">
        <is>
          <t>Hochschule Mainz</t>
        </is>
      </c>
      <c r="C2" t="inlineStr">
        <is>
          <t>academic</t>
        </is>
      </c>
      <c r="D2" t="inlineStr">
        <is>
          <t>https://www.hs-mainz.de</t>
        </is>
      </c>
      <c r="E2" t="inlineStr">
        <is>
          <t>Discovered source page</t>
        </is>
      </c>
      <c r="F2" t="inlineStr">
        <is>
          <t>Discovered</t>
        </is>
      </c>
      <c r="G2" t="n">
        <v>80</v>
      </c>
      <c r="H2" t="n">
        <v>1</v>
      </c>
      <c r="I2" t="n">
        <v>7</v>
      </c>
      <c r="J2" t="n">
        <v>6</v>
      </c>
      <c r="K2" t="n">
        <v>5</v>
      </c>
      <c r="L2" t="n">
        <v>46.8</v>
      </c>
      <c r="M2" t="n">
        <v>41.6</v>
      </c>
      <c r="N2" t="n">
        <v>0</v>
      </c>
      <c r="O2" t="inlineStr">
        <is>
          <t>LUCY: Neues Coworking-Gebäude der Hochschule Mainz</t>
        </is>
      </c>
      <c r="P2" t="inlineStr">
        <is>
          <t>2026-06-11</t>
        </is>
      </c>
      <c r="R2" t="inlineStr">
        <is>
          <t>boost / crawl again soon</t>
        </is>
      </c>
    </row>
    <row r="3">
      <c r="A3" t="inlineStr">
        <is>
          <t>2026-06-13 18:25:39</t>
        </is>
      </c>
      <c r="B3" t="inlineStr">
        <is>
          <t>IQIB - Institut für qualifizierende Innovationsforschung und -beratung GmbH</t>
        </is>
      </c>
      <c r="C3" t="inlineStr">
        <is>
          <t>state_institution</t>
        </is>
      </c>
      <c r="D3" t="inlineStr">
        <is>
          <t>https://www.iqib.de</t>
        </is>
      </c>
      <c r="E3" t="inlineStr">
        <is>
          <t>Discovered source page</t>
        </is>
      </c>
      <c r="F3" t="inlineStr">
        <is>
          <t>Discovered</t>
        </is>
      </c>
      <c r="G3" t="n">
        <v>80</v>
      </c>
      <c r="H3" t="n">
        <v>1</v>
      </c>
      <c r="I3" t="n">
        <v>10</v>
      </c>
      <c r="J3" t="n">
        <v>7</v>
      </c>
      <c r="K3" t="n">
        <v>5</v>
      </c>
      <c r="L3" t="n">
        <v>44.6</v>
      </c>
      <c r="M3" t="n">
        <v>40</v>
      </c>
      <c r="N3" t="n">
        <v>0</v>
      </c>
      <c r="O3" t="inlineStr">
        <is>
          <t>„1. InnovationTalk@IQIB“: Resilienz neu denken</t>
        </is>
      </c>
      <c r="P3" t="inlineStr">
        <is>
          <t>2026-05-29</t>
        </is>
      </c>
      <c r="R3" t="inlineStr">
        <is>
          <t>boost / crawl again soon</t>
        </is>
      </c>
    </row>
    <row r="4">
      <c r="A4" t="inlineStr">
        <is>
          <t>2026-06-13 18:25:39</t>
        </is>
      </c>
      <c r="B4" t="inlineStr">
        <is>
          <t>Universität Trier</t>
        </is>
      </c>
      <c r="C4" t="inlineStr">
        <is>
          <t>academic</t>
        </is>
      </c>
      <c r="D4" t="inlineStr">
        <is>
          <t>https://www.uni-trier.de</t>
        </is>
      </c>
      <c r="E4" t="inlineStr">
        <is>
          <t>Discovered source page</t>
        </is>
      </c>
      <c r="F4" t="inlineStr">
        <is>
          <t>Discovered</t>
        </is>
      </c>
      <c r="G4" t="n">
        <v>80</v>
      </c>
      <c r="H4" t="n">
        <v>1</v>
      </c>
      <c r="I4" t="n">
        <v>7</v>
      </c>
      <c r="J4" t="n">
        <v>5</v>
      </c>
      <c r="K4" t="n">
        <v>3</v>
      </c>
      <c r="L4" t="n">
        <v>46.67</v>
      </c>
      <c r="M4" t="n">
        <v>34</v>
      </c>
      <c r="N4" t="n">
        <v>0</v>
      </c>
      <c r="O4" t="inlineStr">
        <is>
          <t>Darf man Roboter treten? Universität eröffnet neues Institut für Angewandte Ethik</t>
        </is>
      </c>
      <c r="P4" t="inlineStr">
        <is>
          <t>2026-06-10</t>
        </is>
      </c>
      <c r="R4" t="inlineStr">
        <is>
          <t>boost / crawl again soon</t>
        </is>
      </c>
    </row>
    <row r="5">
      <c r="A5" t="inlineStr">
        <is>
          <t>2026-06-13 18:25:39</t>
        </is>
      </c>
      <c r="B5" t="inlineStr">
        <is>
          <t>LandesPsychotherapeutenKammer Rheinland-Pfalz</t>
        </is>
      </c>
      <c r="C5" t="inlineStr">
        <is>
          <t>chamber_association</t>
        </is>
      </c>
      <c r="D5" t="inlineStr">
        <is>
          <t>https://www.lpk-rlp.de</t>
        </is>
      </c>
      <c r="E5" t="inlineStr">
        <is>
          <t>Discovered source page</t>
        </is>
      </c>
      <c r="F5" t="inlineStr">
        <is>
          <t>Discovered</t>
        </is>
      </c>
      <c r="G5" t="n">
        <v>55</v>
      </c>
      <c r="H5" t="n">
        <v>1</v>
      </c>
      <c r="I5" t="n">
        <v>7</v>
      </c>
      <c r="J5" t="n">
        <v>4</v>
      </c>
      <c r="K5" t="n">
        <v>3</v>
      </c>
      <c r="L5" t="n">
        <v>33.67</v>
      </c>
      <c r="M5" t="n">
        <v>20.67</v>
      </c>
      <c r="N5" t="n">
        <v>0</v>
      </c>
      <c r="O5" t="inlineStr">
        <is>
          <t>Gesundheitsausschuss des Bundesrates fordert: Extrabudgetäre Vergütung sichern!</t>
        </is>
      </c>
      <c r="P5" t="inlineStr">
        <is>
          <t>2016-11-14</t>
        </is>
      </c>
      <c r="R5" t="inlineStr">
        <is>
          <t>boost / crawl again soon</t>
        </is>
      </c>
    </row>
    <row r="6">
      <c r="A6" t="inlineStr">
        <is>
          <t>2026-06-13 18:25:39</t>
        </is>
      </c>
      <c r="B6" t="inlineStr">
        <is>
          <t>PFAFF Industriesysteme und Maschinen GmbH</t>
        </is>
      </c>
      <c r="C6" t="inlineStr">
        <is>
          <t>company_industry</t>
        </is>
      </c>
      <c r="D6" t="inlineStr">
        <is>
          <t>https://www.pfaff-industrial.com/de/news</t>
        </is>
      </c>
      <c r="E6" t="inlineStr">
        <is>
          <t>Discovered source page</t>
        </is>
      </c>
      <c r="F6" t="inlineStr">
        <is>
          <t>Discovered</t>
        </is>
      </c>
      <c r="G6" t="n">
        <v>80</v>
      </c>
      <c r="H6" t="n">
        <v>1</v>
      </c>
      <c r="I6" t="n">
        <v>4</v>
      </c>
      <c r="J6" t="n">
        <v>3</v>
      </c>
      <c r="K6" t="n">
        <v>2</v>
      </c>
      <c r="L6" t="n">
        <v>39</v>
      </c>
      <c r="M6" t="n">
        <v>43.5</v>
      </c>
      <c r="N6" t="n">
        <v>0</v>
      </c>
      <c r="O6" t="inlineStr">
        <is>
          <t>01.03.2023 Kauf des Optionsgrundstücks im Stubenwald II in Bensheim durch die Dürkopp Adler GmbH</t>
        </is>
      </c>
      <c r="P6" t="inlineStr">
        <is>
          <t>2023-10-24</t>
        </is>
      </c>
      <c r="R6" t="inlineStr">
        <is>
          <t>boost / crawl again soon</t>
        </is>
      </c>
    </row>
    <row r="7">
      <c r="A7" t="inlineStr">
        <is>
          <t>2026-06-13 18:25:39</t>
        </is>
      </c>
      <c r="B7" t="inlineStr">
        <is>
          <t>Deutsche Universität für Verwaltungswissenschaften Speyer</t>
        </is>
      </c>
      <c r="C7" t="inlineStr">
        <is>
          <t>academic</t>
        </is>
      </c>
      <c r="D7" t="inlineStr">
        <is>
          <t>https://www.uni-speyer.de</t>
        </is>
      </c>
      <c r="E7" t="inlineStr">
        <is>
          <t>Discovered source page</t>
        </is>
      </c>
      <c r="F7" t="inlineStr">
        <is>
          <t>Discovered</t>
        </is>
      </c>
      <c r="G7" t="n">
        <v>80</v>
      </c>
      <c r="H7" t="n">
        <v>1</v>
      </c>
      <c r="I7" t="n">
        <v>5</v>
      </c>
      <c r="J7" t="n">
        <v>4</v>
      </c>
      <c r="K7" t="n">
        <v>2</v>
      </c>
      <c r="L7" t="n">
        <v>45</v>
      </c>
      <c r="M7" t="n">
        <v>41</v>
      </c>
      <c r="N7" t="n">
        <v>0</v>
      </c>
      <c r="O7" t="inlineStr">
        <is>
          <t>Juristenausbildung neu denken</t>
        </is>
      </c>
      <c r="P7" t="inlineStr">
        <is>
          <t>2026-06-12</t>
        </is>
      </c>
      <c r="R7" t="inlineStr">
        <is>
          <t>boost / crawl again soon</t>
        </is>
      </c>
    </row>
    <row r="8">
      <c r="A8" t="inlineStr">
        <is>
          <t>2026-06-13 18:25:39</t>
        </is>
      </c>
      <c r="B8" t="inlineStr">
        <is>
          <t>Handwerkskammern Rheinland-Pfalz</t>
        </is>
      </c>
      <c r="C8" t="inlineStr">
        <is>
          <t>academic</t>
        </is>
      </c>
      <c r="D8" t="inlineStr">
        <is>
          <t>https://handwerk-rlp.de</t>
        </is>
      </c>
      <c r="E8" t="inlineStr">
        <is>
          <t>Discovered source page</t>
        </is>
      </c>
      <c r="F8" t="inlineStr">
        <is>
          <t>Discovered</t>
        </is>
      </c>
      <c r="G8" t="n">
        <v>55</v>
      </c>
      <c r="H8" t="n">
        <v>1</v>
      </c>
      <c r="I8" t="n">
        <v>3</v>
      </c>
      <c r="J8" t="n">
        <v>2</v>
      </c>
      <c r="K8" t="n">
        <v>2</v>
      </c>
      <c r="L8" t="n">
        <v>41</v>
      </c>
      <c r="M8" t="n">
        <v>31.5</v>
      </c>
      <c r="N8" t="n">
        <v>0</v>
      </c>
      <c r="O8" t="inlineStr">
        <is>
          <t>Softwaremesse Handwerk: Finden Sie die Lösung, die zu Ihrem Betrieb passt</t>
        </is>
      </c>
      <c r="P8" t="inlineStr">
        <is>
          <t>2026-05-22</t>
        </is>
      </c>
      <c r="R8" t="inlineStr">
        <is>
          <t>boost / crawl again soon</t>
        </is>
      </c>
    </row>
    <row r="9">
      <c r="A9" t="inlineStr">
        <is>
          <t>2026-06-13 18:25:39</t>
        </is>
      </c>
      <c r="B9" t="inlineStr">
        <is>
          <t>Handwerkskammern Rheinland-Pfalz</t>
        </is>
      </c>
      <c r="C9" t="inlineStr">
        <is>
          <t>academic</t>
        </is>
      </c>
      <c r="D9" t="inlineStr">
        <is>
          <t>https://handwerk-rlp.de/innovation</t>
        </is>
      </c>
      <c r="E9" t="inlineStr">
        <is>
          <t>Discovered source page</t>
        </is>
      </c>
      <c r="F9" t="inlineStr">
        <is>
          <t>Discovered</t>
        </is>
      </c>
      <c r="G9" t="n">
        <v>55</v>
      </c>
      <c r="H9" t="n">
        <v>1</v>
      </c>
      <c r="I9" t="n">
        <v>3</v>
      </c>
      <c r="J9" t="n">
        <v>3</v>
      </c>
      <c r="K9" t="n">
        <v>2</v>
      </c>
      <c r="L9" t="n">
        <v>32</v>
      </c>
      <c r="M9" t="n">
        <v>28.5</v>
      </c>
      <c r="N9" t="n">
        <v>0</v>
      </c>
      <c r="O9" t="inlineStr">
        <is>
          <t>Mach mit bei der Handwerks-Challenge des RLP-Hackathon!</t>
        </is>
      </c>
      <c r="P9" t="inlineStr">
        <is>
          <t>2020-11-10</t>
        </is>
      </c>
      <c r="R9" t="inlineStr">
        <is>
          <t>boost / crawl again soon</t>
        </is>
      </c>
    </row>
    <row r="10">
      <c r="A10" t="inlineStr">
        <is>
          <t>2026-06-13 18:25:39</t>
        </is>
      </c>
      <c r="B10" t="inlineStr">
        <is>
          <t>SIMONA AG</t>
        </is>
      </c>
      <c r="C10" t="inlineStr">
        <is>
          <t>energy_infrastructure</t>
        </is>
      </c>
      <c r="D10" t="inlineStr">
        <is>
          <t>https://www.simona.de</t>
        </is>
      </c>
      <c r="E10" t="inlineStr">
        <is>
          <t>Discovered source page</t>
        </is>
      </c>
      <c r="F10" t="inlineStr">
        <is>
          <t>Discovered</t>
        </is>
      </c>
      <c r="G10" t="n">
        <v>80</v>
      </c>
      <c r="H10" t="n">
        <v>1</v>
      </c>
      <c r="I10" t="n">
        <v>6</v>
      </c>
      <c r="J10" t="n">
        <v>3</v>
      </c>
      <c r="K10" t="n">
        <v>2</v>
      </c>
      <c r="L10" t="n">
        <v>30</v>
      </c>
      <c r="M10" t="n">
        <v>28</v>
      </c>
      <c r="N10" t="n">
        <v>0</v>
      </c>
      <c r="O10" t="inlineStr">
        <is>
          <t>PVDF mit FM 4910 Zulassung für hochreine Anlagensysteme</t>
        </is>
      </c>
      <c r="P10" t="inlineStr">
        <is>
          <t>2026-04-16</t>
        </is>
      </c>
      <c r="R10" t="inlineStr">
        <is>
          <t>boost / crawl again soon</t>
        </is>
      </c>
    </row>
    <row r="11">
      <c r="A11" t="inlineStr">
        <is>
          <t>2026-06-13 18:25:39</t>
        </is>
      </c>
      <c r="B11" t="inlineStr">
        <is>
          <t>Karl Gemünden GmbH &amp; Co. KG</t>
        </is>
      </c>
      <c r="C11" t="inlineStr">
        <is>
          <t>company_industry</t>
        </is>
      </c>
      <c r="D11" t="inlineStr">
        <is>
          <t>https://www.gemuenden-bau.de/de/news</t>
        </is>
      </c>
      <c r="E11" t="inlineStr">
        <is>
          <t>Discovered source page</t>
        </is>
      </c>
      <c r="F11" t="inlineStr">
        <is>
          <t>Discovered</t>
        </is>
      </c>
      <c r="G11" t="n">
        <v>80</v>
      </c>
      <c r="H11" t="n">
        <v>1</v>
      </c>
      <c r="I11" t="n">
        <v>4</v>
      </c>
      <c r="J11" t="n">
        <v>4</v>
      </c>
      <c r="K11" t="n">
        <v>2</v>
      </c>
      <c r="L11" t="n">
        <v>28.5</v>
      </c>
      <c r="M11" t="n">
        <v>27.5</v>
      </c>
      <c r="N11" t="n">
        <v>0</v>
      </c>
      <c r="O11" t="inlineStr">
        <is>
          <t>Geothermie in Ingelheim</t>
        </is>
      </c>
      <c r="P11" t="inlineStr">
        <is>
          <t>2026-04-22</t>
        </is>
      </c>
      <c r="R11" t="inlineStr">
        <is>
          <t>boost / crawl again soon</t>
        </is>
      </c>
    </row>
    <row r="12">
      <c r="A12" t="inlineStr">
        <is>
          <t>2026-06-13 18:25:39</t>
        </is>
      </c>
      <c r="B12" t="inlineStr">
        <is>
          <t>Katholische Hochschule Mainz</t>
        </is>
      </c>
      <c r="C12" t="inlineStr">
        <is>
          <t>academic</t>
        </is>
      </c>
      <c r="D12" t="inlineStr">
        <is>
          <t>https://www.kh-mz.de</t>
        </is>
      </c>
      <c r="E12" t="inlineStr">
        <is>
          <t>Discovered source page</t>
        </is>
      </c>
      <c r="F12" t="inlineStr">
        <is>
          <t>Discovered</t>
        </is>
      </c>
      <c r="G12" t="n">
        <v>80</v>
      </c>
      <c r="H12" t="n">
        <v>1</v>
      </c>
      <c r="I12" t="n">
        <v>4</v>
      </c>
      <c r="J12" t="n">
        <v>4</v>
      </c>
      <c r="K12" t="n">
        <v>2</v>
      </c>
      <c r="L12" t="n">
        <v>34.5</v>
      </c>
      <c r="M12" t="n">
        <v>27</v>
      </c>
      <c r="N12" t="n">
        <v>0</v>
      </c>
      <c r="O12" t="inlineStr">
        <is>
          <t>Mainzer Wissenschaftsmarkt 2026 ─ Mensch und Regionen im Fokus</t>
        </is>
      </c>
      <c r="P12" t="inlineStr">
        <is>
          <t>2024-05-17</t>
        </is>
      </c>
      <c r="R12" t="inlineStr">
        <is>
          <t>boost / crawl again soon</t>
        </is>
      </c>
    </row>
    <row r="13">
      <c r="A13" t="inlineStr">
        <is>
          <t>2026-06-13 18:25:39</t>
        </is>
      </c>
      <c r="B13" t="inlineStr">
        <is>
          <t>Rheinland-Pfälzische Technische Universität Kaiserslautern-Landau (RPTU)</t>
        </is>
      </c>
      <c r="C13" t="inlineStr">
        <is>
          <t>academic</t>
        </is>
      </c>
      <c r="D13" t="inlineStr">
        <is>
          <t>https://regionalentwicklung-raumordnung.de/aktuell</t>
        </is>
      </c>
      <c r="E13" t="inlineStr">
        <is>
          <t>Discovered source page</t>
        </is>
      </c>
      <c r="F13" t="inlineStr">
        <is>
          <t>Discovered</t>
        </is>
      </c>
      <c r="G13" t="n">
        <v>80</v>
      </c>
      <c r="H13" t="n">
        <v>1</v>
      </c>
      <c r="I13" t="n">
        <v>3</v>
      </c>
      <c r="J13" t="n">
        <v>3</v>
      </c>
      <c r="K13" t="n">
        <v>2</v>
      </c>
      <c r="L13" t="n">
        <v>32</v>
      </c>
      <c r="M13" t="n">
        <v>19</v>
      </c>
      <c r="N13" t="n">
        <v>0</v>
      </c>
      <c r="O13" t="inlineStr">
        <is>
          <t>Einladung zur Fachtagung Klimawandel ist überall. Ländlich, suburban und städtisch – Neue Herausforderungen auch für die Gesundheitsversorgung? – Lehrstuhl Regionalentwicklung und Raumordnung</t>
        </is>
      </c>
      <c r="P13" t="inlineStr">
        <is>
          <t>2024-02-02</t>
        </is>
      </c>
      <c r="R13" t="inlineStr">
        <is>
          <t>boost / crawl again soon</t>
        </is>
      </c>
    </row>
    <row r="14">
      <c r="A14" t="inlineStr">
        <is>
          <t>2026-06-13 18:25:39</t>
        </is>
      </c>
      <c r="B14" t="inlineStr">
        <is>
          <t>Erster FC Kaiserslautern GmbH &amp; Co. KGaA</t>
        </is>
      </c>
      <c r="C14" t="inlineStr">
        <is>
          <t>media_culture</t>
        </is>
      </c>
      <c r="D14" t="inlineStr">
        <is>
          <t>https://fck.de/news</t>
        </is>
      </c>
      <c r="E14" t="inlineStr">
        <is>
          <t>Discovered source page</t>
        </is>
      </c>
      <c r="F14" t="inlineStr">
        <is>
          <t>Discovered</t>
        </is>
      </c>
      <c r="G14" t="n">
        <v>80</v>
      </c>
      <c r="H14" t="n">
        <v>1</v>
      </c>
      <c r="I14" t="n">
        <v>5</v>
      </c>
      <c r="J14" t="n">
        <v>5</v>
      </c>
      <c r="K14" t="n">
        <v>2</v>
      </c>
      <c r="L14" t="n">
        <v>30</v>
      </c>
      <c r="M14" t="n">
        <v>12.5</v>
      </c>
      <c r="N14" t="n">
        <v>0</v>
      </c>
      <c r="O14" t="inlineStr">
        <is>
          <t>Thierry Tazemeta wird ein Roter Teufel</t>
        </is>
      </c>
      <c r="P14" t="inlineStr">
        <is>
          <t>2026-06-12</t>
        </is>
      </c>
      <c r="R14" t="inlineStr">
        <is>
          <t>boost / crawl again soon</t>
        </is>
      </c>
    </row>
    <row r="15">
      <c r="A15" t="inlineStr">
        <is>
          <t>2026-06-13 18:25:39</t>
        </is>
      </c>
      <c r="B15" t="inlineStr">
        <is>
          <t>Hochschule für Gesellschaftsgestaltung (HfGG)</t>
        </is>
      </c>
      <c r="C15" t="inlineStr">
        <is>
          <t>academic</t>
        </is>
      </c>
      <c r="D15" t="inlineStr">
        <is>
          <t>https://hfgg.de/2024/08/22/hfgg-kooperiert-mit-der-heilpaedagogischen-hilfe-osnabrueck-hho</t>
        </is>
      </c>
      <c r="E15" t="inlineStr">
        <is>
          <t>direct_or_cached</t>
        </is>
      </c>
      <c r="G15" t="n">
        <v>0</v>
      </c>
      <c r="H15" t="n">
        <v>1</v>
      </c>
      <c r="I15" t="n">
        <v>1</v>
      </c>
      <c r="J15" t="n">
        <v>1</v>
      </c>
      <c r="K15" t="n">
        <v>1</v>
      </c>
      <c r="L15" t="n">
        <v>54</v>
      </c>
      <c r="M15" t="n">
        <v>63</v>
      </c>
      <c r="N15" t="n">
        <v>0</v>
      </c>
      <c r="O15" t="inlineStr">
        <is>
          <t>HfGG kooperiert mit der Heilpädagogischen Hilfe Osnabrück (HHO)</t>
        </is>
      </c>
      <c r="P15" t="inlineStr">
        <is>
          <t>2024-08-22</t>
        </is>
      </c>
      <c r="R15" t="inlineStr">
        <is>
          <t>boost / crawl again soon</t>
        </is>
      </c>
    </row>
    <row r="16">
      <c r="A16" t="inlineStr">
        <is>
          <t>2026-06-13 18:25:39</t>
        </is>
      </c>
      <c r="B16" t="inlineStr">
        <is>
          <t>Hochschule für Gesellschaftsgestaltung (HfGG)</t>
        </is>
      </c>
      <c r="C16" t="inlineStr">
        <is>
          <t>academic</t>
        </is>
      </c>
      <c r="D16" t="inlineStr">
        <is>
          <t>https://hfgg.de/2023/04/25/themenheft-forschungsprojekt-finanzwende-resilienz-nachhaltigkeit-firn-veroeffentlicht</t>
        </is>
      </c>
      <c r="E16" t="inlineStr">
        <is>
          <t>direct_or_cached</t>
        </is>
      </c>
      <c r="G16" t="n">
        <v>0</v>
      </c>
      <c r="H16" t="n">
        <v>1</v>
      </c>
      <c r="I16" t="n">
        <v>1</v>
      </c>
      <c r="J16" t="n">
        <v>1</v>
      </c>
      <c r="K16" t="n">
        <v>1</v>
      </c>
      <c r="L16" t="n">
        <v>51</v>
      </c>
      <c r="M16" t="n">
        <v>59</v>
      </c>
      <c r="N16" t="n">
        <v>0</v>
      </c>
      <c r="O16" t="inlineStr">
        <is>
          <t>Teilergebnisse des HfGG-Forschungsprojekts „Finanzwende für Resilienz und Nachhaltigkeit“ (FIRN) im Themenheft „Sustainable Finance im Schatten klimatischer Kipppunkte“ veröffentlicht</t>
        </is>
      </c>
      <c r="P16" t="inlineStr">
        <is>
          <t>2023-04-25</t>
        </is>
      </c>
      <c r="R16" t="inlineStr">
        <is>
          <t>boost / crawl again soon</t>
        </is>
      </c>
    </row>
    <row r="17">
      <c r="A17" t="inlineStr">
        <is>
          <t>2026-06-13 18:25:39</t>
        </is>
      </c>
      <c r="B17" t="inlineStr">
        <is>
          <t>Hochschule für Gesellschaftsgestaltung (HfGG)</t>
        </is>
      </c>
      <c r="C17" t="inlineStr">
        <is>
          <t>academic</t>
        </is>
      </c>
      <c r="D17" t="inlineStr">
        <is>
          <t>https://hfgg.de/2023/07/20/dr-stephan-puehringer-start-preis-fuer-herausragende-junge-forschende-ausgezeichnet</t>
        </is>
      </c>
      <c r="E17" t="inlineStr">
        <is>
          <t>direct_or_cached</t>
        </is>
      </c>
      <c r="G17" t="n">
        <v>0</v>
      </c>
      <c r="H17" t="n">
        <v>1</v>
      </c>
      <c r="I17" t="n">
        <v>1</v>
      </c>
      <c r="J17" t="n">
        <v>1</v>
      </c>
      <c r="K17" t="n">
        <v>1</v>
      </c>
      <c r="L17" t="n">
        <v>41</v>
      </c>
      <c r="M17" t="n">
        <v>49</v>
      </c>
      <c r="N17" t="n">
        <v>0</v>
      </c>
      <c r="O17" t="inlineStr">
        <is>
          <t>Die Wirtschaft in eine nachhaltige Zukunft führen</t>
        </is>
      </c>
      <c r="P17" t="inlineStr">
        <is>
          <t>2023-07-20</t>
        </is>
      </c>
      <c r="R17" t="inlineStr">
        <is>
          <t>boost / crawl again soon</t>
        </is>
      </c>
    </row>
    <row r="18">
      <c r="A18" t="inlineStr">
        <is>
          <t>2026-06-13 18:25:39</t>
        </is>
      </c>
      <c r="B18" t="inlineStr">
        <is>
          <t>Entwicklungsagentur Rheinland-Pfalz e.V.</t>
        </is>
      </c>
      <c r="C18" t="inlineStr">
        <is>
          <t>media_culture</t>
        </is>
      </c>
      <c r="D18" t="inlineStr">
        <is>
          <t>https://ea-rlp.de/digital-projekte-der-entwicklungsagentur-rheinland-pfalz</t>
        </is>
      </c>
      <c r="E18" t="inlineStr">
        <is>
          <t>direct_or_cached</t>
        </is>
      </c>
      <c r="G18" t="n">
        <v>0</v>
      </c>
      <c r="H18" t="n">
        <v>1</v>
      </c>
      <c r="I18" t="n">
        <v>1</v>
      </c>
      <c r="J18" t="n">
        <v>1</v>
      </c>
      <c r="K18" t="n">
        <v>1</v>
      </c>
      <c r="L18" t="n">
        <v>39</v>
      </c>
      <c r="M18" t="n">
        <v>46</v>
      </c>
      <c r="N18" t="n">
        <v>0</v>
      </c>
      <c r="O18" t="inlineStr">
        <is>
          <t>Digital-Projekte der Entwicklungsagentur Rheinland-Pfalz</t>
        </is>
      </c>
      <c r="P18" t="inlineStr">
        <is>
          <t>2023-08-03</t>
        </is>
      </c>
      <c r="R18" t="inlineStr">
        <is>
          <t>boost / crawl again soon</t>
        </is>
      </c>
    </row>
    <row r="19">
      <c r="A19" t="inlineStr">
        <is>
          <t>2026-06-13 18:25:39</t>
        </is>
      </c>
      <c r="B19" t="inlineStr">
        <is>
          <t>Hochschule für Gesellschaftsgestaltung (HfGG)</t>
        </is>
      </c>
      <c r="C19" t="inlineStr">
        <is>
          <t>academic</t>
        </is>
      </c>
      <c r="D19" t="inlineStr">
        <is>
          <t>https://hfgg.de/2023/06/23/forschungsprojekt-new-imaginative-economies-nie</t>
        </is>
      </c>
      <c r="E19" t="inlineStr">
        <is>
          <t>direct_or_cached</t>
        </is>
      </c>
      <c r="G19" t="n">
        <v>0</v>
      </c>
      <c r="H19" t="n">
        <v>1</v>
      </c>
      <c r="I19" t="n">
        <v>1</v>
      </c>
      <c r="J19" t="n">
        <v>1</v>
      </c>
      <c r="K19" t="n">
        <v>1</v>
      </c>
      <c r="L19" t="n">
        <v>33</v>
      </c>
      <c r="M19" t="n">
        <v>43</v>
      </c>
      <c r="N19" t="n">
        <v>0</v>
      </c>
      <c r="O19" t="inlineStr">
        <is>
          <t>Forschungsprojekt „New Imaginative Economies“ (NIE)</t>
        </is>
      </c>
      <c r="P19" t="inlineStr">
        <is>
          <t>2023-06-23</t>
        </is>
      </c>
      <c r="R19" t="inlineStr">
        <is>
          <t>boost / crawl again soon</t>
        </is>
      </c>
    </row>
    <row r="20">
      <c r="A20" t="inlineStr">
        <is>
          <t>2026-06-13 18:25:39</t>
        </is>
      </c>
      <c r="B20" t="inlineStr">
        <is>
          <t>Hochschule für Gesellschaftsgestaltung (HfGG)</t>
        </is>
      </c>
      <c r="C20" t="inlineStr">
        <is>
          <t>academic</t>
        </is>
      </c>
      <c r="D20" t="inlineStr">
        <is>
          <t>https://hfgg.de/2024/01/03/gestaltungsbericht-2022-2023-erschienen</t>
        </is>
      </c>
      <c r="E20" t="inlineStr">
        <is>
          <t>direct_or_cached</t>
        </is>
      </c>
      <c r="G20" t="n">
        <v>0</v>
      </c>
      <c r="H20" t="n">
        <v>1</v>
      </c>
      <c r="I20" t="n">
        <v>1</v>
      </c>
      <c r="J20" t="n">
        <v>1</v>
      </c>
      <c r="K20" t="n">
        <v>1</v>
      </c>
      <c r="L20" t="n">
        <v>48</v>
      </c>
      <c r="M20" t="n">
        <v>38</v>
      </c>
      <c r="N20" t="n">
        <v>0</v>
      </c>
      <c r="O20" t="inlineStr">
        <is>
          <t>Gestaltungsbericht für das Jahr 2022-2023 erschienen</t>
        </is>
      </c>
      <c r="P20" t="inlineStr">
        <is>
          <t>2024-01-03</t>
        </is>
      </c>
      <c r="R20" t="inlineStr">
        <is>
          <t>boost / crawl again soon</t>
        </is>
      </c>
    </row>
    <row r="21">
      <c r="A21" t="inlineStr">
        <is>
          <t>2026-06-13 18:25:39</t>
        </is>
      </c>
      <c r="B21" t="inlineStr">
        <is>
          <t>Staatskanzlei des Landes Rheinland-Pfalz</t>
        </is>
      </c>
      <c r="C21" t="inlineStr">
        <is>
          <t>energy_infrastructure</t>
        </is>
      </c>
      <c r="D21" t="inlineStr">
        <is>
          <t>https://www.rlp.de/news</t>
        </is>
      </c>
      <c r="E21" t="inlineStr">
        <is>
          <t>direct_or_cached</t>
        </is>
      </c>
      <c r="G21" t="n">
        <v>0</v>
      </c>
      <c r="H21" t="n">
        <v>1</v>
      </c>
      <c r="I21" t="n">
        <v>1</v>
      </c>
      <c r="J21" t="n">
        <v>1</v>
      </c>
      <c r="K21" t="n">
        <v>1</v>
      </c>
      <c r="L21" t="n">
        <v>26</v>
      </c>
      <c r="M21" t="n">
        <v>35</v>
      </c>
      <c r="N21" t="n">
        <v>0</v>
      </c>
      <c r="O21" t="inlineStr">
        <is>
          <t>rlp.de: Informationen über euer Land</t>
        </is>
      </c>
      <c r="P21" t="inlineStr">
        <is>
          <t>2025-10-01</t>
        </is>
      </c>
      <c r="R21" t="inlineStr">
        <is>
          <t>boost / crawl again soon</t>
        </is>
      </c>
    </row>
    <row r="22">
      <c r="A22" t="inlineStr">
        <is>
          <t>2026-06-13 18:25:39</t>
        </is>
      </c>
      <c r="B22" t="inlineStr">
        <is>
          <t>Hochschule für Gesellschaftsgestaltung (HfGG)</t>
        </is>
      </c>
      <c r="C22" t="inlineStr">
        <is>
          <t>academic</t>
        </is>
      </c>
      <c r="D22" t="inlineStr">
        <is>
          <t>https://hfgg.de/2026/03/03/4futurelabs-aktivitaetsbericht-2025</t>
        </is>
      </c>
      <c r="E22" t="inlineStr">
        <is>
          <t>direct_or_cached</t>
        </is>
      </c>
      <c r="G22" t="n">
        <v>0</v>
      </c>
      <c r="H22" t="n">
        <v>1</v>
      </c>
      <c r="I22" t="n">
        <v>1</v>
      </c>
      <c r="J22" t="n">
        <v>1</v>
      </c>
      <c r="K22" t="n">
        <v>1</v>
      </c>
      <c r="L22" t="n">
        <v>44</v>
      </c>
      <c r="M22" t="n">
        <v>32</v>
      </c>
      <c r="N22" t="n">
        <v>0</v>
      </c>
      <c r="O22" t="inlineStr">
        <is>
          <t>4FutureLabs Aktivitätsbericht 2025</t>
        </is>
      </c>
      <c r="P22" t="inlineStr">
        <is>
          <t>2026-03-03</t>
        </is>
      </c>
      <c r="R22" t="inlineStr">
        <is>
          <t>boost / crawl again soon</t>
        </is>
      </c>
    </row>
    <row r="23">
      <c r="A23" t="inlineStr">
        <is>
          <t>2026-06-13 18:25:39</t>
        </is>
      </c>
      <c r="B23" t="inlineStr">
        <is>
          <t>Ingenieurkammer Rheinland-Pfalz</t>
        </is>
      </c>
      <c r="C23" t="inlineStr">
        <is>
          <t>chamber_association</t>
        </is>
      </c>
      <c r="D23" t="inlineStr">
        <is>
          <t>https://www.ing-rlp.de?page=2</t>
        </is>
      </c>
      <c r="E23" t="inlineStr">
        <is>
          <t>direct_or_cached</t>
        </is>
      </c>
      <c r="G23" t="n">
        <v>0</v>
      </c>
      <c r="H23" t="n">
        <v>1</v>
      </c>
      <c r="I23" t="n">
        <v>1</v>
      </c>
      <c r="J23" t="n">
        <v>1</v>
      </c>
      <c r="K23" t="n">
        <v>1</v>
      </c>
      <c r="L23" t="n">
        <v>42</v>
      </c>
      <c r="M23" t="n">
        <v>28</v>
      </c>
      <c r="N23" t="n">
        <v>0</v>
      </c>
      <c r="O23" t="inlineStr">
        <is>
          <t>Symposium der Ingenieurkammer Rheinland-Pfalz</t>
        </is>
      </c>
      <c r="P23" t="inlineStr">
        <is>
          <t>2026-06-12</t>
        </is>
      </c>
      <c r="R23" t="inlineStr">
        <is>
          <t>boost / crawl again soon</t>
        </is>
      </c>
    </row>
    <row r="24">
      <c r="A24" t="inlineStr">
        <is>
          <t>2026-06-13 18:25:39</t>
        </is>
      </c>
      <c r="B24" t="inlineStr">
        <is>
          <t>SmartFactory KL e.V.</t>
        </is>
      </c>
      <c r="C24" t="inlineStr">
        <is>
          <t>academic</t>
        </is>
      </c>
      <c r="D24" t="inlineStr">
        <is>
          <t>https://smartfactory.de/veranstaltungen</t>
        </is>
      </c>
      <c r="E24" t="inlineStr">
        <is>
          <t>Discovered source page</t>
        </is>
      </c>
      <c r="F24" t="inlineStr">
        <is>
          <t>Discovered</t>
        </is>
      </c>
      <c r="G24" t="n">
        <v>80</v>
      </c>
      <c r="H24" t="n">
        <v>1</v>
      </c>
      <c r="I24" t="n">
        <v>2</v>
      </c>
      <c r="J24" t="n">
        <v>2</v>
      </c>
      <c r="K24" t="n">
        <v>1</v>
      </c>
      <c r="L24" t="n">
        <v>40</v>
      </c>
      <c r="M24" t="n">
        <v>26</v>
      </c>
      <c r="N24" t="n">
        <v>0</v>
      </c>
      <c r="O24" t="inlineStr">
        <is>
          <t>Projektstart MAMBO#5: Modulare Automatisierung für KMU</t>
        </is>
      </c>
      <c r="P24" t="inlineStr">
        <is>
          <t>2026-01-16</t>
        </is>
      </c>
      <c r="R24" t="inlineStr">
        <is>
          <t>boost / crawl again soon</t>
        </is>
      </c>
    </row>
    <row r="25">
      <c r="A25" t="inlineStr">
        <is>
          <t>2026-06-13 18:25:39</t>
        </is>
      </c>
      <c r="B25" t="inlineStr">
        <is>
          <t>Bauern- und Winzerverband Rheinland-Pfalz Süd e.V.</t>
        </is>
      </c>
      <c r="C25" t="inlineStr">
        <is>
          <t>chamber_association</t>
        </is>
      </c>
      <c r="D25" t="inlineStr">
        <is>
          <t>https://www.bwv-rlp.de</t>
        </is>
      </c>
      <c r="E25" t="inlineStr">
        <is>
          <t>Association homepage / press + current affairs</t>
        </is>
      </c>
      <c r="F25" t="inlineStr">
        <is>
          <t>Added</t>
        </is>
      </c>
      <c r="G25" t="n">
        <v>80</v>
      </c>
      <c r="H25" t="n">
        <v>1</v>
      </c>
      <c r="I25" t="n">
        <v>2</v>
      </c>
      <c r="J25" t="n">
        <v>2</v>
      </c>
      <c r="K25" t="n">
        <v>1</v>
      </c>
      <c r="L25" t="n">
        <v>24</v>
      </c>
      <c r="M25" t="n">
        <v>23</v>
      </c>
      <c r="N25" t="n">
        <v>0</v>
      </c>
      <c r="O25" t="inlineStr">
        <is>
          <t>Europatag am 9. Mai</t>
        </is>
      </c>
      <c r="P25" t="inlineStr">
        <is>
          <t>2026-05-08</t>
        </is>
      </c>
      <c r="R25" t="inlineStr">
        <is>
          <t>boost / crawl again soon</t>
        </is>
      </c>
    </row>
    <row r="26">
      <c r="A26" t="inlineStr">
        <is>
          <t>2026-06-13 18:25:39</t>
        </is>
      </c>
      <c r="B26" t="inlineStr">
        <is>
          <t>vero – Verband der Bau- und Rohstoffindustrie</t>
        </is>
      </c>
      <c r="C26" t="inlineStr">
        <is>
          <t>chamber_association</t>
        </is>
      </c>
      <c r="D26" t="inlineStr">
        <is>
          <t>https://www.vero-baustoffe.de</t>
        </is>
      </c>
      <c r="E26" t="inlineStr">
        <is>
          <t>Discovered source page</t>
        </is>
      </c>
      <c r="F26" t="inlineStr">
        <is>
          <t>Discovered</t>
        </is>
      </c>
      <c r="G26" t="n">
        <v>55</v>
      </c>
      <c r="H26" t="n">
        <v>1</v>
      </c>
      <c r="I26" t="n">
        <v>1</v>
      </c>
      <c r="J26" t="n">
        <v>1</v>
      </c>
      <c r="K26" t="n">
        <v>1</v>
      </c>
      <c r="L26" t="n">
        <v>36</v>
      </c>
      <c r="M26" t="n">
        <v>19</v>
      </c>
      <c r="N26" t="n">
        <v>0</v>
      </c>
      <c r="O26" t="inlineStr">
        <is>
          <t>Kooperation für den Artenschutz</t>
        </is>
      </c>
      <c r="P26" t="inlineStr">
        <is>
          <t>2025-07-17</t>
        </is>
      </c>
      <c r="R26" t="inlineStr">
        <is>
          <t>boost / crawl again soon</t>
        </is>
      </c>
    </row>
    <row r="27">
      <c r="A27" t="inlineStr">
        <is>
          <t>2026-06-13 18:25:39</t>
        </is>
      </c>
      <c r="B27" t="inlineStr">
        <is>
          <t>LÖWEN ENTERTAINMENT GmbH</t>
        </is>
      </c>
      <c r="C27" t="inlineStr">
        <is>
          <t>company_industry</t>
        </is>
      </c>
      <c r="D27" t="inlineStr">
        <is>
          <t>https://www.loewen.de/produkte/news/hb10-feature-pass-die-neue-e-darts-revolution-689</t>
        </is>
      </c>
      <c r="E27" t="inlineStr">
        <is>
          <t>direct_or_cached</t>
        </is>
      </c>
      <c r="G27" t="n">
        <v>0</v>
      </c>
      <c r="H27" t="n">
        <v>1</v>
      </c>
      <c r="I27" t="n">
        <v>1</v>
      </c>
      <c r="J27" t="n">
        <v>1</v>
      </c>
      <c r="K27" t="n">
        <v>1</v>
      </c>
      <c r="L27" t="n">
        <v>33</v>
      </c>
      <c r="M27" t="n">
        <v>18</v>
      </c>
      <c r="N27" t="n">
        <v>0</v>
      </c>
      <c r="O27" t="inlineStr">
        <is>
          <t>HB10 Feature Pass: Die neue E-Darts-Revolution</t>
        </is>
      </c>
      <c r="P27" t="inlineStr">
        <is>
          <t>2025-09-08</t>
        </is>
      </c>
      <c r="R27" t="inlineStr">
        <is>
          <t>boost / crawl again soon</t>
        </is>
      </c>
    </row>
    <row r="28">
      <c r="A28" t="inlineStr">
        <is>
          <t>2026-06-13 18:25:39</t>
        </is>
      </c>
      <c r="B28" t="inlineStr">
        <is>
          <t>Vereinigte VR Bank Kur- und Rheinpfalz eG</t>
        </is>
      </c>
      <c r="C28" t="inlineStr">
        <is>
          <t>bank_finance</t>
        </is>
      </c>
      <c r="D28" t="inlineStr">
        <is>
          <t>https://www.vvrbank-krp.de/firmenkunden/finanzierung/produkte/energieerzeugung-im-unternehmen.html</t>
        </is>
      </c>
      <c r="E28" t="inlineStr">
        <is>
          <t>direct_or_cached</t>
        </is>
      </c>
      <c r="G28" t="n">
        <v>0</v>
      </c>
      <c r="H28" t="n">
        <v>1</v>
      </c>
      <c r="I28" t="n">
        <v>1</v>
      </c>
      <c r="J28" t="n">
        <v>1</v>
      </c>
      <c r="K28" t="n">
        <v>1</v>
      </c>
      <c r="L28" t="n">
        <v>35</v>
      </c>
      <c r="M28" t="n">
        <v>17</v>
      </c>
      <c r="N28" t="n">
        <v>0</v>
      </c>
      <c r="O28" t="inlineStr">
        <is>
          <t>Energieerzeugung in Ihrem Unternehmen</t>
        </is>
      </c>
      <c r="P28" t="inlineStr">
        <is>
          <t>2025-06-04</t>
        </is>
      </c>
      <c r="R28" t="inlineStr">
        <is>
          <t>boost / crawl again soon</t>
        </is>
      </c>
    </row>
    <row r="29">
      <c r="A29" t="inlineStr">
        <is>
          <t>2026-06-13 18:25:39</t>
        </is>
      </c>
      <c r="B29" t="inlineStr">
        <is>
          <t>RPR1.</t>
        </is>
      </c>
      <c r="C29" t="inlineStr">
        <is>
          <t>media_culture</t>
        </is>
      </c>
      <c r="D29" t="inlineStr">
        <is>
          <t>https://www.rpr1.de</t>
        </is>
      </c>
      <c r="E29" t="inlineStr">
        <is>
          <t>Discovered source page</t>
        </is>
      </c>
      <c r="F29" t="inlineStr">
        <is>
          <t>Discovered</t>
        </is>
      </c>
      <c r="G29" t="n">
        <v>80</v>
      </c>
      <c r="H29" t="n">
        <v>1</v>
      </c>
      <c r="I29" t="n">
        <v>2</v>
      </c>
      <c r="J29" t="n">
        <v>2</v>
      </c>
      <c r="K29" t="n">
        <v>1</v>
      </c>
      <c r="L29" t="n">
        <v>35</v>
      </c>
      <c r="M29" t="n">
        <v>16</v>
      </c>
      <c r="N29" t="n">
        <v>0</v>
      </c>
      <c r="O29" t="inlineStr">
        <is>
          <t>An die Mikros</t>
        </is>
      </c>
      <c r="P29" t="inlineStr">
        <is>
          <t>2026-06-13</t>
        </is>
      </c>
      <c r="R29" t="inlineStr">
        <is>
          <t>boost / crawl again soon</t>
        </is>
      </c>
    </row>
    <row r="30">
      <c r="A30" t="inlineStr">
        <is>
          <t>2026-06-13 18:25:39</t>
        </is>
      </c>
      <c r="B30" t="inlineStr">
        <is>
          <t>Vereinigte VR Bank Kur- und Rheinpfalz eG</t>
        </is>
      </c>
      <c r="C30" t="inlineStr">
        <is>
          <t>bank_finance</t>
        </is>
      </c>
      <c r="D30" t="inlineStr">
        <is>
          <t>https://www.vvrbank-krp.de/meine-bank/engagement/charity-und-sponsoring.html</t>
        </is>
      </c>
      <c r="E30" t="inlineStr">
        <is>
          <t>direct_or_cached</t>
        </is>
      </c>
      <c r="G30" t="n">
        <v>0</v>
      </c>
      <c r="H30" t="n">
        <v>1</v>
      </c>
      <c r="I30" t="n">
        <v>1</v>
      </c>
      <c r="J30" t="n">
        <v>1</v>
      </c>
      <c r="K30" t="n">
        <v>1</v>
      </c>
      <c r="L30" t="n">
        <v>39</v>
      </c>
      <c r="M30" t="n">
        <v>16</v>
      </c>
      <c r="N30" t="n">
        <v>0</v>
      </c>
      <c r="O30" t="inlineStr">
        <is>
          <t>Charity &amp; Sponsoring</t>
        </is>
      </c>
      <c r="P30" t="inlineStr">
        <is>
          <t>2024-12-09</t>
        </is>
      </c>
      <c r="R30" t="inlineStr">
        <is>
          <t>boost / crawl again soon</t>
        </is>
      </c>
    </row>
    <row r="31">
      <c r="A31" t="inlineStr">
        <is>
          <t>2026-06-13 18:25:39</t>
        </is>
      </c>
      <c r="B31" t="inlineStr">
        <is>
          <t>LÖWEN ENTERTAINMENT GmbH</t>
        </is>
      </c>
      <c r="C31" t="inlineStr">
        <is>
          <t>company_industry</t>
        </is>
      </c>
      <c r="D31" t="inlineStr">
        <is>
          <t>https://www.loewen.de/produkte/news/loewen-dart-erfolgreicher-tag-des-grosshandels-709</t>
        </is>
      </c>
      <c r="E31" t="inlineStr">
        <is>
          <t>direct_or_cached</t>
        </is>
      </c>
      <c r="G31" t="n">
        <v>0</v>
      </c>
      <c r="H31" t="n">
        <v>1</v>
      </c>
      <c r="I31" t="n">
        <v>1</v>
      </c>
      <c r="J31" t="n">
        <v>1</v>
      </c>
      <c r="K31" t="n">
        <v>1</v>
      </c>
      <c r="L31" t="n">
        <v>23</v>
      </c>
      <c r="M31" t="n">
        <v>14</v>
      </c>
      <c r="N31" t="n">
        <v>0</v>
      </c>
      <c r="O31" t="inlineStr">
        <is>
          <t>LÖWEN DART: Erfolgreicher Tag des Großhandels</t>
        </is>
      </c>
      <c r="P31" t="inlineStr">
        <is>
          <t>2025-10-16</t>
        </is>
      </c>
      <c r="R31" t="inlineStr">
        <is>
          <t>boost / crawl again soon</t>
        </is>
      </c>
    </row>
    <row r="32">
      <c r="A32" t="inlineStr">
        <is>
          <t>2026-06-13 18:25:39</t>
        </is>
      </c>
      <c r="B32" t="inlineStr">
        <is>
          <t>SWR – Südwestrundfunk</t>
        </is>
      </c>
      <c r="C32" t="inlineStr">
        <is>
          <t>media_culture</t>
        </is>
      </c>
      <c r="D32" t="inlineStr">
        <is>
          <t>https://www.swr.de</t>
        </is>
      </c>
      <c r="E32" t="inlineStr">
        <is>
          <t>Discovered source page</t>
        </is>
      </c>
      <c r="F32" t="inlineStr">
        <is>
          <t>Discovered</t>
        </is>
      </c>
      <c r="G32" t="n">
        <v>80</v>
      </c>
      <c r="H32" t="n">
        <v>1</v>
      </c>
      <c r="I32" t="n">
        <v>3</v>
      </c>
      <c r="J32" t="n">
        <v>2</v>
      </c>
      <c r="K32" t="n">
        <v>1</v>
      </c>
      <c r="L32" t="n">
        <v>39</v>
      </c>
      <c r="M32" t="n">
        <v>12</v>
      </c>
      <c r="N32" t="n">
        <v>0</v>
      </c>
      <c r="O32" t="inlineStr">
        <is>
          <t>SWR1 Musik live erleben: Konzerte, Festivals und Events</t>
        </is>
      </c>
      <c r="P32" t="inlineStr">
        <is>
          <t>2026-06-11</t>
        </is>
      </c>
      <c r="R32" t="inlineStr">
        <is>
          <t>keep monitoring</t>
        </is>
      </c>
    </row>
    <row r="33">
      <c r="A33" t="inlineStr">
        <is>
          <t>2026-06-13 18:25:39</t>
        </is>
      </c>
      <c r="B33" t="inlineStr">
        <is>
          <t>Handwerkskammern Rheinland-Pfalz</t>
        </is>
      </c>
      <c r="C33" t="inlineStr">
        <is>
          <t>academic</t>
        </is>
      </c>
      <c r="D33" t="inlineStr">
        <is>
          <t>https://handwerk-rlp.de/konjunkturumfrage-fruehjahr-2026</t>
        </is>
      </c>
      <c r="E33" t="inlineStr">
        <is>
          <t>Discovered source page</t>
        </is>
      </c>
      <c r="F33" t="inlineStr">
        <is>
          <t>Discovered</t>
        </is>
      </c>
      <c r="G33" t="n">
        <v>55</v>
      </c>
      <c r="H33" t="n">
        <v>1</v>
      </c>
      <c r="I33" t="n">
        <v>2</v>
      </c>
      <c r="J33" t="n">
        <v>2</v>
      </c>
      <c r="K33" t="n">
        <v>1</v>
      </c>
      <c r="L33" t="n">
        <v>23</v>
      </c>
      <c r="M33" t="n">
        <v>11</v>
      </c>
      <c r="N33" t="n">
        <v>0</v>
      </c>
      <c r="O33" t="inlineStr">
        <is>
          <t>Social Media im Handwerk</t>
        </is>
      </c>
      <c r="P33" t="inlineStr">
        <is>
          <t>2026-05-20</t>
        </is>
      </c>
      <c r="R33" t="inlineStr">
        <is>
          <t>keep monitoring</t>
        </is>
      </c>
    </row>
    <row r="34">
      <c r="A34" t="inlineStr">
        <is>
          <t>2026-06-13 18:25:39</t>
        </is>
      </c>
      <c r="B34" t="inlineStr">
        <is>
          <t>LÖWEN ENTERTAINMENT GmbH</t>
        </is>
      </c>
      <c r="C34" t="inlineStr">
        <is>
          <t>company_industry</t>
        </is>
      </c>
      <c r="D34" t="inlineStr">
        <is>
          <t>https://www.loewen.de/produkte/news/loewen-dart-beim-worldcup-in-las-vegas-hb10-auf-grosser-buehne-743</t>
        </is>
      </c>
      <c r="E34" t="inlineStr">
        <is>
          <t>direct_or_cached</t>
        </is>
      </c>
      <c r="G34" t="n">
        <v>0</v>
      </c>
      <c r="H34" t="n">
        <v>1</v>
      </c>
      <c r="I34" t="n">
        <v>1</v>
      </c>
      <c r="J34" t="n">
        <v>1</v>
      </c>
      <c r="K34" t="n">
        <v>0</v>
      </c>
      <c r="L34" t="n">
        <v>21</v>
      </c>
      <c r="M34" t="n">
        <v>7</v>
      </c>
      <c r="N34" t="n">
        <v>0</v>
      </c>
      <c r="O34" t="inlineStr">
        <is>
          <t>LÖWEN DART beim „Worldcup“ in Las Vegas: HB10 auf großer Bühne</t>
        </is>
      </c>
      <c r="P34" t="inlineStr">
        <is>
          <t>2026-05-21</t>
        </is>
      </c>
      <c r="R34" t="inlineStr">
        <is>
          <t>keep monitoring</t>
        </is>
      </c>
    </row>
    <row r="35">
      <c r="A35" t="inlineStr">
        <is>
          <t>2026-06-13 18:25:39</t>
        </is>
      </c>
      <c r="B35" t="inlineStr">
        <is>
          <t>Architektenkammer Rheinland-Pfalz</t>
        </is>
      </c>
      <c r="C35" t="inlineStr">
        <is>
          <t>chamber_association</t>
        </is>
      </c>
      <c r="D35" t="inlineStr">
        <is>
          <t>https://www.diearchitekten.org/presse</t>
        </is>
      </c>
      <c r="E35" t="inlineStr">
        <is>
          <t>Discovered source page</t>
        </is>
      </c>
      <c r="F35" t="inlineStr">
        <is>
          <t>Discovered</t>
        </is>
      </c>
      <c r="G35" t="n">
        <v>80</v>
      </c>
      <c r="H35" t="n">
        <v>1</v>
      </c>
      <c r="I35" t="n">
        <v>4</v>
      </c>
      <c r="J35" t="n">
        <v>4</v>
      </c>
      <c r="K35" t="n">
        <v>0</v>
      </c>
      <c r="L35" t="n">
        <v>0</v>
      </c>
      <c r="M35" t="n">
        <v>0</v>
      </c>
      <c r="N35" t="n">
        <v>0</v>
      </c>
      <c r="P35" t="inlineStr">
        <is>
          <t>2026-05-28</t>
        </is>
      </c>
      <c r="R35" t="inlineStr">
        <is>
          <t>downgrade / crawl rarely</t>
        </is>
      </c>
    </row>
    <row r="36">
      <c r="A36" t="inlineStr">
        <is>
          <t>2026-06-13 18:25:39</t>
        </is>
      </c>
      <c r="B36" t="inlineStr">
        <is>
          <t>Bitburger Braugruppe GmbH</t>
        </is>
      </c>
      <c r="C36" t="inlineStr">
        <is>
          <t>company_industry</t>
        </is>
      </c>
      <c r="D36" t="inlineStr">
        <is>
          <t>https://www.bitburger-braugruppe.de</t>
        </is>
      </c>
      <c r="E36" t="inlineStr">
        <is>
          <t>Discovered source page</t>
        </is>
      </c>
      <c r="F36" t="inlineStr">
        <is>
          <t>Discovered</t>
        </is>
      </c>
      <c r="G36" t="n">
        <v>80</v>
      </c>
      <c r="H36" t="n">
        <v>1</v>
      </c>
      <c r="I36" t="n">
        <v>1</v>
      </c>
      <c r="J36" t="n">
        <v>1</v>
      </c>
      <c r="K36" t="n">
        <v>0</v>
      </c>
      <c r="L36" t="n">
        <v>0</v>
      </c>
      <c r="M36" t="n">
        <v>0</v>
      </c>
      <c r="N36" t="n">
        <v>0</v>
      </c>
      <c r="P36" t="inlineStr">
        <is>
          <t>2026-05-21</t>
        </is>
      </c>
      <c r="R36" t="inlineStr">
        <is>
          <t>keep monitoring</t>
        </is>
      </c>
    </row>
    <row r="37">
      <c r="A37" t="inlineStr">
        <is>
          <t>2026-06-13 18:25:39</t>
        </is>
      </c>
      <c r="B37" t="inlineStr">
        <is>
          <t>Bundesagentur für Arbeit, Regionaldirektion Rheinland-Pfalz-Saarland</t>
        </is>
      </c>
      <c r="C37" t="inlineStr">
        <is>
          <t>health_social</t>
        </is>
      </c>
      <c r="D37" t="inlineStr">
        <is>
          <t>https://www.arbeitsagentur.de</t>
        </is>
      </c>
      <c r="E37" t="inlineStr">
        <is>
          <t>Discovered source page</t>
        </is>
      </c>
      <c r="F37" t="inlineStr">
        <is>
          <t>Discovered</t>
        </is>
      </c>
      <c r="G37" t="n">
        <v>80</v>
      </c>
      <c r="H37" t="n">
        <v>1</v>
      </c>
      <c r="I37" t="n">
        <v>1</v>
      </c>
      <c r="J37" t="n">
        <v>0</v>
      </c>
      <c r="K37" t="n">
        <v>0</v>
      </c>
      <c r="L37" t="n">
        <v>0</v>
      </c>
      <c r="M37" t="n">
        <v>0</v>
      </c>
      <c r="N37" t="n">
        <v>0</v>
      </c>
      <c r="P37" t="inlineStr">
        <is>
          <t>2025-04-03</t>
        </is>
      </c>
      <c r="R37" t="inlineStr">
        <is>
          <t>review source pattern</t>
        </is>
      </c>
    </row>
    <row r="38">
      <c r="A38" t="inlineStr">
        <is>
          <t>2026-06-13 18:25:39</t>
        </is>
      </c>
      <c r="B38" t="inlineStr">
        <is>
          <t>Continental Automotive Technologies GmbH, Safety and Motion (SAM), Standort Rheinböllen</t>
        </is>
      </c>
      <c r="C38" t="inlineStr">
        <is>
          <t>company_industry</t>
        </is>
      </c>
      <c r="D38" t="inlineStr">
        <is>
          <t>https://www.continental-corporation.de</t>
        </is>
      </c>
      <c r="E38" t="inlineStr">
        <is>
          <t>Discovered source page</t>
        </is>
      </c>
      <c r="F38" t="inlineStr">
        <is>
          <t>Discovered</t>
        </is>
      </c>
      <c r="G38" t="n">
        <v>80</v>
      </c>
      <c r="H38" t="n">
        <v>1</v>
      </c>
      <c r="I38" t="n">
        <v>8</v>
      </c>
      <c r="J38" t="n">
        <v>8</v>
      </c>
      <c r="K38" t="n">
        <v>0</v>
      </c>
      <c r="L38" t="n">
        <v>0</v>
      </c>
      <c r="M38" t="n">
        <v>0</v>
      </c>
      <c r="N38" t="n">
        <v>0</v>
      </c>
      <c r="P38" t="inlineStr">
        <is>
          <t>2026-05-20</t>
        </is>
      </c>
      <c r="R38" t="inlineStr">
        <is>
          <t>downgrade / crawl rarely</t>
        </is>
      </c>
    </row>
    <row r="39">
      <c r="A39" t="inlineStr">
        <is>
          <t>2026-06-13 18:25:39</t>
        </is>
      </c>
      <c r="B39" t="inlineStr">
        <is>
          <t>Deutsche Universität für Verwaltungswissenschaften Speyer</t>
        </is>
      </c>
      <c r="C39" t="inlineStr">
        <is>
          <t>academic</t>
        </is>
      </c>
      <c r="D39" t="inlineStr">
        <is>
          <t>https://www.uni-speyer.de?page=2</t>
        </is>
      </c>
      <c r="E39" t="inlineStr">
        <is>
          <t>direct_or_cached</t>
        </is>
      </c>
      <c r="G39" t="n">
        <v>0</v>
      </c>
      <c r="H39" t="n">
        <v>1</v>
      </c>
      <c r="I39" t="n">
        <v>1</v>
      </c>
      <c r="J39" t="n">
        <v>0</v>
      </c>
      <c r="K39" t="n">
        <v>0</v>
      </c>
      <c r="L39" t="n">
        <v>0</v>
      </c>
      <c r="M39" t="n">
        <v>0</v>
      </c>
      <c r="N39" t="n">
        <v>0</v>
      </c>
      <c r="P39" t="inlineStr">
        <is>
          <t>2026-05-26</t>
        </is>
      </c>
      <c r="R39" t="inlineStr">
        <is>
          <t>review source pattern</t>
        </is>
      </c>
    </row>
    <row r="40">
      <c r="A40" t="inlineStr">
        <is>
          <t>2026-06-13 18:25:39</t>
        </is>
      </c>
      <c r="B40" t="inlineStr">
        <is>
          <t>Eckes-Granini Deutschland GmbH</t>
        </is>
      </c>
      <c r="C40" t="inlineStr">
        <is>
          <t>company_industry</t>
        </is>
      </c>
      <c r="D40" t="inlineStr">
        <is>
          <t>https://www.eckes-granini.de/presse/unternehmen</t>
        </is>
      </c>
      <c r="E40" t="inlineStr">
        <is>
          <t>direct_or_cached</t>
        </is>
      </c>
      <c r="G40" t="n">
        <v>0</v>
      </c>
      <c r="H40" t="n">
        <v>1</v>
      </c>
      <c r="I40" t="n">
        <v>1</v>
      </c>
      <c r="J40" t="n">
        <v>0</v>
      </c>
      <c r="K40" t="n">
        <v>0</v>
      </c>
      <c r="L40" t="n">
        <v>0</v>
      </c>
      <c r="M40" t="n">
        <v>0</v>
      </c>
      <c r="N40" t="n">
        <v>0</v>
      </c>
      <c r="P40" t="inlineStr">
        <is>
          <t>2024-12-13</t>
        </is>
      </c>
      <c r="R40" t="inlineStr">
        <is>
          <t>review source pattern</t>
        </is>
      </c>
    </row>
    <row r="41">
      <c r="A41" t="inlineStr">
        <is>
          <t>2026-06-13 18:25:39</t>
        </is>
      </c>
      <c r="B41" t="inlineStr">
        <is>
          <t>Entwicklungsagentur Rheinland-Pfalz e.V.</t>
        </is>
      </c>
      <c r="C41" t="inlineStr">
        <is>
          <t>media_culture</t>
        </is>
      </c>
      <c r="D41" t="inlineStr">
        <is>
          <t>https://ea-rlp.de/category/digitalisierung/digitale-doerfer</t>
        </is>
      </c>
      <c r="E41" t="inlineStr">
        <is>
          <t>direct_or_cached</t>
        </is>
      </c>
      <c r="G41" t="n">
        <v>0</v>
      </c>
      <c r="H41" t="n">
        <v>1</v>
      </c>
      <c r="I41" t="n">
        <v>1</v>
      </c>
      <c r="J41" t="n">
        <v>1</v>
      </c>
      <c r="K41" t="n">
        <v>0</v>
      </c>
      <c r="L41" t="n">
        <v>0</v>
      </c>
      <c r="M41" t="n">
        <v>0</v>
      </c>
      <c r="N41" t="n">
        <v>0</v>
      </c>
      <c r="P41" t="inlineStr">
        <is>
          <t>2025-12-23</t>
        </is>
      </c>
      <c r="R41" t="inlineStr">
        <is>
          <t>keep monitoring</t>
        </is>
      </c>
    </row>
    <row r="42">
      <c r="A42" t="inlineStr">
        <is>
          <t>2026-06-13 18:25:39</t>
        </is>
      </c>
      <c r="B42" t="inlineStr">
        <is>
          <t>Erster FC Kaiserslautern GmbH &amp; Co. KGaA</t>
        </is>
      </c>
      <c r="C42" t="inlineStr">
        <is>
          <t>media_culture</t>
        </is>
      </c>
      <c r="D42" t="inlineStr">
        <is>
          <t>https://fck.de</t>
        </is>
      </c>
      <c r="E42" t="inlineStr">
        <is>
          <t>Discovered source page</t>
        </is>
      </c>
      <c r="F42" t="inlineStr">
        <is>
          <t>Discovered</t>
        </is>
      </c>
      <c r="G42" t="n">
        <v>80</v>
      </c>
      <c r="H42" t="n">
        <v>1</v>
      </c>
      <c r="I42" t="n">
        <v>1</v>
      </c>
      <c r="J42" t="n">
        <v>0</v>
      </c>
      <c r="K42" t="n">
        <v>0</v>
      </c>
      <c r="L42" t="n">
        <v>0</v>
      </c>
      <c r="M42" t="n">
        <v>0</v>
      </c>
      <c r="N42" t="n">
        <v>0</v>
      </c>
      <c r="P42" t="inlineStr">
        <is>
          <t>2025-10-13</t>
        </is>
      </c>
      <c r="R42" t="inlineStr">
        <is>
          <t>review source pattern</t>
        </is>
      </c>
    </row>
    <row r="43">
      <c r="A43" t="inlineStr">
        <is>
          <t>2026-06-13 18:25:39</t>
        </is>
      </c>
      <c r="B43" t="inlineStr">
        <is>
          <t>Evangelische Kirche der Pfalz</t>
        </is>
      </c>
      <c r="C43" t="inlineStr">
        <is>
          <t>media_culture</t>
        </is>
      </c>
      <c r="D43" t="inlineStr">
        <is>
          <t>https://www.evkirchepfalz.de</t>
        </is>
      </c>
      <c r="E43" t="inlineStr">
        <is>
          <t>Discovered source page</t>
        </is>
      </c>
      <c r="F43" t="inlineStr">
        <is>
          <t>Discovered</t>
        </is>
      </c>
      <c r="G43" t="n">
        <v>55</v>
      </c>
      <c r="H43" t="n">
        <v>1</v>
      </c>
      <c r="I43" t="n">
        <v>3</v>
      </c>
      <c r="J43" t="n">
        <v>3</v>
      </c>
      <c r="K43" t="n">
        <v>0</v>
      </c>
      <c r="L43" t="n">
        <v>0</v>
      </c>
      <c r="M43" t="n">
        <v>0</v>
      </c>
      <c r="N43" t="n">
        <v>0</v>
      </c>
      <c r="P43" t="inlineStr">
        <is>
          <t>2026-06-13</t>
        </is>
      </c>
      <c r="R43" t="inlineStr">
        <is>
          <t>downgrade / crawl rarely</t>
        </is>
      </c>
    </row>
    <row r="44">
      <c r="A44" t="inlineStr">
        <is>
          <t>2026-06-13 18:25:39</t>
        </is>
      </c>
      <c r="B44" t="inlineStr">
        <is>
          <t>Gerolsteiner Brunnen GmbH &amp; Co. KG</t>
        </is>
      </c>
      <c r="C44" t="inlineStr">
        <is>
          <t>company_industry</t>
        </is>
      </c>
      <c r="D44" t="inlineStr">
        <is>
          <t>https://www.gerolsteiner.de/unternehmen/presse</t>
        </is>
      </c>
      <c r="E44" t="inlineStr">
        <is>
          <t>Discovered source page</t>
        </is>
      </c>
      <c r="F44" t="inlineStr">
        <is>
          <t>Discovered</t>
        </is>
      </c>
      <c r="G44" t="n">
        <v>80</v>
      </c>
      <c r="H44" t="n">
        <v>1</v>
      </c>
      <c r="I44" t="n">
        <v>3</v>
      </c>
      <c r="J44" t="n">
        <v>3</v>
      </c>
      <c r="K44" t="n">
        <v>0</v>
      </c>
      <c r="L44" t="n">
        <v>0</v>
      </c>
      <c r="M44" t="n">
        <v>0</v>
      </c>
      <c r="N44" t="n">
        <v>0</v>
      </c>
      <c r="P44" t="inlineStr">
        <is>
          <t>2026-06-11</t>
        </is>
      </c>
      <c r="R44" t="inlineStr">
        <is>
          <t>downgrade / crawl rarely</t>
        </is>
      </c>
    </row>
    <row r="45">
      <c r="A45" t="inlineStr">
        <is>
          <t>2026-06-13 18:25:39</t>
        </is>
      </c>
      <c r="B45" t="inlineStr">
        <is>
          <t>Heberger Gruppe</t>
        </is>
      </c>
      <c r="C45" t="inlineStr">
        <is>
          <t>company_industry</t>
        </is>
      </c>
      <c r="D45" t="inlineStr">
        <is>
          <t>https://www.heberger.de</t>
        </is>
      </c>
      <c r="E45" t="inlineStr">
        <is>
          <t>Discovered source page</t>
        </is>
      </c>
      <c r="F45" t="inlineStr">
        <is>
          <t>Discovered</t>
        </is>
      </c>
      <c r="G45" t="n">
        <v>55</v>
      </c>
      <c r="H45" t="n">
        <v>1</v>
      </c>
      <c r="I45" t="n">
        <v>4</v>
      </c>
      <c r="J45" t="n">
        <v>3</v>
      </c>
      <c r="K45" t="n">
        <v>0</v>
      </c>
      <c r="L45" t="n">
        <v>0</v>
      </c>
      <c r="M45" t="n">
        <v>0</v>
      </c>
      <c r="N45" t="n">
        <v>0</v>
      </c>
      <c r="P45" t="inlineStr">
        <is>
          <t>2026-06-12</t>
        </is>
      </c>
      <c r="R45" t="inlineStr">
        <is>
          <t>downgrade / crawl rarely</t>
        </is>
      </c>
    </row>
    <row r="46">
      <c r="A46" t="inlineStr">
        <is>
          <t>2026-06-13 18:25:39</t>
        </is>
      </c>
      <c r="B46" t="inlineStr">
        <is>
          <t>Heberger Gruppe</t>
        </is>
      </c>
      <c r="C46" t="inlineStr">
        <is>
          <t>company_industry</t>
        </is>
      </c>
      <c r="D46" t="inlineStr">
        <is>
          <t>https://www.heberger.de/nachhaltigkeit</t>
        </is>
      </c>
      <c r="E46" t="inlineStr">
        <is>
          <t>Discovered source page</t>
        </is>
      </c>
      <c r="F46" t="inlineStr">
        <is>
          <t>Discovered</t>
        </is>
      </c>
      <c r="G46" t="n">
        <v>55</v>
      </c>
      <c r="H46" t="n">
        <v>1</v>
      </c>
      <c r="I46" t="n">
        <v>1</v>
      </c>
      <c r="J46" t="n">
        <v>1</v>
      </c>
      <c r="K46" t="n">
        <v>0</v>
      </c>
      <c r="L46" t="n">
        <v>0</v>
      </c>
      <c r="M46" t="n">
        <v>0</v>
      </c>
      <c r="N46" t="n">
        <v>0</v>
      </c>
      <c r="P46" t="inlineStr">
        <is>
          <t>2025-07-16</t>
        </is>
      </c>
      <c r="R46" t="inlineStr">
        <is>
          <t>keep monitoring</t>
        </is>
      </c>
    </row>
    <row r="47">
      <c r="A47" t="inlineStr">
        <is>
          <t>2026-06-13 18:25:39</t>
        </is>
      </c>
      <c r="B47" t="inlineStr">
        <is>
          <t>Hochschule Koblenz</t>
        </is>
      </c>
      <c r="C47" t="inlineStr">
        <is>
          <t>academic</t>
        </is>
      </c>
      <c r="D47" t="inlineStr">
        <is>
          <t>https://www.hs-koblenz.de/veranstaltungen</t>
        </is>
      </c>
      <c r="E47" t="inlineStr">
        <is>
          <t>Discovered source page</t>
        </is>
      </c>
      <c r="F47" t="inlineStr">
        <is>
          <t>Discovered</t>
        </is>
      </c>
      <c r="G47" t="n">
        <v>80</v>
      </c>
      <c r="H47" t="n">
        <v>1</v>
      </c>
      <c r="I47" t="n">
        <v>2</v>
      </c>
      <c r="J47" t="n">
        <v>1</v>
      </c>
      <c r="K47" t="n">
        <v>0</v>
      </c>
      <c r="L47" t="n">
        <v>0</v>
      </c>
      <c r="M47" t="n">
        <v>0</v>
      </c>
      <c r="N47" t="n">
        <v>0</v>
      </c>
      <c r="P47" t="inlineStr">
        <is>
          <t>2026-05-29</t>
        </is>
      </c>
      <c r="R47" t="inlineStr">
        <is>
          <t>keep monitoring</t>
        </is>
      </c>
    </row>
    <row r="48">
      <c r="A48" t="inlineStr">
        <is>
          <t>2026-06-13 18:25:39</t>
        </is>
      </c>
      <c r="B48" t="inlineStr">
        <is>
          <t>Hochschule Koblenz</t>
        </is>
      </c>
      <c r="C48" t="inlineStr">
        <is>
          <t>academic</t>
        </is>
      </c>
      <c r="D48" t="inlineStr">
        <is>
          <t>https://www.hs-koblenz.de/presse</t>
        </is>
      </c>
      <c r="E48" t="inlineStr">
        <is>
          <t>Discovered source page</t>
        </is>
      </c>
      <c r="F48" t="inlineStr">
        <is>
          <t>Discovered</t>
        </is>
      </c>
      <c r="G48" t="n">
        <v>80</v>
      </c>
      <c r="H48" t="n">
        <v>1</v>
      </c>
      <c r="I48" t="n">
        <v>1</v>
      </c>
      <c r="J48" t="n">
        <v>1</v>
      </c>
      <c r="K48" t="n">
        <v>0</v>
      </c>
      <c r="L48" t="n">
        <v>0</v>
      </c>
      <c r="M48" t="n">
        <v>0</v>
      </c>
      <c r="N48" t="n">
        <v>0</v>
      </c>
      <c r="P48" t="inlineStr">
        <is>
          <t>2026-05-19</t>
        </is>
      </c>
      <c r="R48" t="inlineStr">
        <is>
          <t>keep monitoring</t>
        </is>
      </c>
    </row>
    <row r="49">
      <c r="A49" t="inlineStr">
        <is>
          <t>2026-06-13 18:25:39</t>
        </is>
      </c>
      <c r="B49" t="inlineStr">
        <is>
          <t>Hochschule Trier</t>
        </is>
      </c>
      <c r="C49" t="inlineStr">
        <is>
          <t>academic</t>
        </is>
      </c>
      <c r="D49" t="inlineStr">
        <is>
          <t>https://www.hochschule-trier.de</t>
        </is>
      </c>
      <c r="E49" t="inlineStr">
        <is>
          <t>Discovered source page</t>
        </is>
      </c>
      <c r="F49" t="inlineStr">
        <is>
          <t>Discovered</t>
        </is>
      </c>
      <c r="G49" t="n">
        <v>80</v>
      </c>
      <c r="H49" t="n">
        <v>1</v>
      </c>
      <c r="I49" t="n">
        <v>6</v>
      </c>
      <c r="J49" t="n">
        <v>5</v>
      </c>
      <c r="K49" t="n">
        <v>0</v>
      </c>
      <c r="L49" t="n">
        <v>0</v>
      </c>
      <c r="M49" t="n">
        <v>0</v>
      </c>
      <c r="N49" t="n">
        <v>0</v>
      </c>
      <c r="P49" t="inlineStr">
        <is>
          <t>2026-06-12</t>
        </is>
      </c>
      <c r="R49" t="inlineStr">
        <is>
          <t>downgrade / crawl rarely</t>
        </is>
      </c>
    </row>
    <row r="50">
      <c r="A50" t="inlineStr">
        <is>
          <t>2026-06-13 18:25:39</t>
        </is>
      </c>
      <c r="B50" t="inlineStr">
        <is>
          <t>Hochschule für Gesellschaftsgestaltung (HfGG)</t>
        </is>
      </c>
      <c r="C50" t="inlineStr">
        <is>
          <t>academic</t>
        </is>
      </c>
      <c r="D50" t="inlineStr">
        <is>
          <t>https://hfgg.de/2023/05/26/rueckblick-campustag-2023</t>
        </is>
      </c>
      <c r="E50" t="inlineStr">
        <is>
          <t>direct_or_cached</t>
        </is>
      </c>
      <c r="G50" t="n">
        <v>0</v>
      </c>
      <c r="H50" t="n">
        <v>1</v>
      </c>
      <c r="I50" t="n">
        <v>1</v>
      </c>
      <c r="J50" t="n">
        <v>1</v>
      </c>
      <c r="K50" t="n">
        <v>0</v>
      </c>
      <c r="L50" t="n">
        <v>0</v>
      </c>
      <c r="M50" t="n">
        <v>0</v>
      </c>
      <c r="N50" t="n">
        <v>0</v>
      </c>
      <c r="P50" t="inlineStr">
        <is>
          <t>2023-05-26</t>
        </is>
      </c>
      <c r="R50" t="inlineStr">
        <is>
          <t>keep monitoring</t>
        </is>
      </c>
    </row>
    <row r="51">
      <c r="A51" t="inlineStr">
        <is>
          <t>2026-06-13 18:25:39</t>
        </is>
      </c>
      <c r="B51" t="inlineStr">
        <is>
          <t>Hochschule für Gesellschaftsgestaltung (HfGG)</t>
        </is>
      </c>
      <c r="C51" t="inlineStr">
        <is>
          <t>academic</t>
        </is>
      </c>
      <c r="D51" t="inlineStr">
        <is>
          <t>https://hfgg.de/2024/10/02/semesterstart-an-der-hfgg</t>
        </is>
      </c>
      <c r="E51" t="inlineStr">
        <is>
          <t>direct_or_cached</t>
        </is>
      </c>
      <c r="G51" t="n">
        <v>0</v>
      </c>
      <c r="H51" t="n">
        <v>1</v>
      </c>
      <c r="I51" t="n">
        <v>1</v>
      </c>
      <c r="J51" t="n">
        <v>0</v>
      </c>
      <c r="K51" t="n">
        <v>0</v>
      </c>
      <c r="L51" t="n">
        <v>0</v>
      </c>
      <c r="M51" t="n">
        <v>0</v>
      </c>
      <c r="N51" t="n">
        <v>0</v>
      </c>
      <c r="P51" t="inlineStr">
        <is>
          <t>2024-10-02</t>
        </is>
      </c>
      <c r="R51" t="inlineStr">
        <is>
          <t>review source pattern</t>
        </is>
      </c>
    </row>
    <row r="52">
      <c r="A52" t="inlineStr">
        <is>
          <t>2026-06-13 18:25:39</t>
        </is>
      </c>
      <c r="B52" t="inlineStr">
        <is>
          <t>Ingenieurkammer Rheinland-Pfalz</t>
        </is>
      </c>
      <c r="C52" t="inlineStr">
        <is>
          <t>chamber_association</t>
        </is>
      </c>
      <c r="D52" t="inlineStr">
        <is>
          <t>https://www.ing-rlp.de</t>
        </is>
      </c>
      <c r="E52" t="inlineStr">
        <is>
          <t>Discovered source page</t>
        </is>
      </c>
      <c r="F52" t="inlineStr">
        <is>
          <t>Discovered</t>
        </is>
      </c>
      <c r="G52" t="n">
        <v>55</v>
      </c>
      <c r="H52" t="n">
        <v>1</v>
      </c>
      <c r="I52" t="n">
        <v>5</v>
      </c>
      <c r="J52" t="n">
        <v>4</v>
      </c>
      <c r="K52" t="n">
        <v>0</v>
      </c>
      <c r="L52" t="n">
        <v>0</v>
      </c>
      <c r="M52" t="n">
        <v>0</v>
      </c>
      <c r="N52" t="n">
        <v>0</v>
      </c>
      <c r="P52" t="inlineStr">
        <is>
          <t>2026-06-12</t>
        </is>
      </c>
      <c r="R52" t="inlineStr">
        <is>
          <t>downgrade / crawl rarely</t>
        </is>
      </c>
    </row>
    <row r="53">
      <c r="A53" t="inlineStr">
        <is>
          <t>2026-06-13 18:25:39</t>
        </is>
      </c>
      <c r="B53" t="inlineStr">
        <is>
          <t>Investitions- und Strukturbank Rheinland-Pfalz (ISB)</t>
        </is>
      </c>
      <c r="C53" t="inlineStr">
        <is>
          <t>academic</t>
        </is>
      </c>
      <c r="D53" t="inlineStr">
        <is>
          <t>https://isb.rlp.de/aktuelles/news/archive/2024/09.html?cHash=23cf033eb1b65df4696e42491c01bf7a</t>
        </is>
      </c>
      <c r="E53" t="inlineStr">
        <is>
          <t>direct_or_cached</t>
        </is>
      </c>
      <c r="G53" t="n">
        <v>0</v>
      </c>
      <c r="H53" t="n">
        <v>1</v>
      </c>
      <c r="I53" t="n">
        <v>1</v>
      </c>
      <c r="J53" t="n">
        <v>1</v>
      </c>
      <c r="K53" t="n">
        <v>0</v>
      </c>
      <c r="L53" t="n">
        <v>0</v>
      </c>
      <c r="M53" t="n">
        <v>0</v>
      </c>
      <c r="N53" t="n">
        <v>0</v>
      </c>
      <c r="P53" t="inlineStr">
        <is>
          <t>2026-02-19</t>
        </is>
      </c>
      <c r="R53" t="inlineStr">
        <is>
          <t>keep monitoring</t>
        </is>
      </c>
    </row>
    <row r="54">
      <c r="A54" t="inlineStr">
        <is>
          <t>2026-06-13 18:25:39</t>
        </is>
      </c>
      <c r="B54" t="inlineStr">
        <is>
          <t>JUWI GmbH</t>
        </is>
      </c>
      <c r="C54" t="inlineStr">
        <is>
          <t>bank_finance</t>
        </is>
      </c>
      <c r="D54" t="inlineStr">
        <is>
          <t>https://www.juwi.de</t>
        </is>
      </c>
      <c r="E54" t="inlineStr">
        <is>
          <t>Discovered source page</t>
        </is>
      </c>
      <c r="F54" t="inlineStr">
        <is>
          <t>Discovered</t>
        </is>
      </c>
      <c r="G54" t="n">
        <v>55</v>
      </c>
      <c r="H54" t="n">
        <v>1</v>
      </c>
      <c r="I54" t="n">
        <v>1</v>
      </c>
      <c r="J54" t="n">
        <v>1</v>
      </c>
      <c r="K54" t="n">
        <v>0</v>
      </c>
      <c r="L54" t="n">
        <v>0</v>
      </c>
      <c r="M54" t="n">
        <v>0</v>
      </c>
      <c r="N54" t="n">
        <v>0</v>
      </c>
      <c r="P54" t="inlineStr">
        <is>
          <t>2025-08-23</t>
        </is>
      </c>
      <c r="R54" t="inlineStr">
        <is>
          <t>keep monitoring</t>
        </is>
      </c>
    </row>
    <row r="55">
      <c r="A55" t="inlineStr">
        <is>
          <t>2026-06-13 18:25:39</t>
        </is>
      </c>
      <c r="B55" t="inlineStr">
        <is>
          <t>Karl Gemünden GmbH &amp; Co. KG</t>
        </is>
      </c>
      <c r="C55" t="inlineStr">
        <is>
          <t>company_industry</t>
        </is>
      </c>
      <c r="D55" t="inlineStr">
        <is>
          <t>https://www.gemuenden-bau.de/nachhaltigkeit</t>
        </is>
      </c>
      <c r="E55" t="inlineStr">
        <is>
          <t>discovered</t>
        </is>
      </c>
      <c r="G55" t="n">
        <v>0</v>
      </c>
      <c r="H55" t="n">
        <v>1</v>
      </c>
      <c r="I55" t="n">
        <v>2</v>
      </c>
      <c r="J55" t="n">
        <v>2</v>
      </c>
      <c r="K55" t="n">
        <v>0</v>
      </c>
      <c r="L55" t="n">
        <v>0</v>
      </c>
      <c r="M55" t="n">
        <v>0</v>
      </c>
      <c r="N55" t="n">
        <v>0</v>
      </c>
      <c r="P55" t="inlineStr">
        <is>
          <t>2025-12-18</t>
        </is>
      </c>
      <c r="R55" t="inlineStr">
        <is>
          <t>keep monitoring</t>
        </is>
      </c>
    </row>
    <row r="56">
      <c r="A56" t="inlineStr">
        <is>
          <t>2026-06-13 18:25:39</t>
        </is>
      </c>
      <c r="B56" t="inlineStr">
        <is>
          <t>Karl Gemünden GmbH &amp; Co. KG</t>
        </is>
      </c>
      <c r="C56" t="inlineStr">
        <is>
          <t>company_industry</t>
        </is>
      </c>
      <c r="D56" t="inlineStr">
        <is>
          <t>https://www.gemuenden-bau.de/de/news?tx_news_pi1[currentPage]=2</t>
        </is>
      </c>
      <c r="E56" t="inlineStr">
        <is>
          <t>discovered</t>
        </is>
      </c>
      <c r="G56" t="n">
        <v>0</v>
      </c>
      <c r="H56" t="n">
        <v>1</v>
      </c>
      <c r="I56" t="n">
        <v>1</v>
      </c>
      <c r="J56" t="n">
        <v>1</v>
      </c>
      <c r="K56" t="n">
        <v>0</v>
      </c>
      <c r="L56" t="n">
        <v>0</v>
      </c>
      <c r="M56" t="n">
        <v>0</v>
      </c>
      <c r="N56" t="n">
        <v>0</v>
      </c>
      <c r="P56" t="inlineStr">
        <is>
          <t>2025-06-12</t>
        </is>
      </c>
      <c r="R56" t="inlineStr">
        <is>
          <t>keep monitoring</t>
        </is>
      </c>
    </row>
    <row r="57">
      <c r="A57" t="inlineStr">
        <is>
          <t>2026-06-13 18:25:39</t>
        </is>
      </c>
      <c r="B57" t="inlineStr">
        <is>
          <t>Karl Gemünden GmbH &amp; Co. KG</t>
        </is>
      </c>
      <c r="C57" t="inlineStr">
        <is>
          <t>company_industry</t>
        </is>
      </c>
      <c r="D57" t="inlineStr">
        <is>
          <t>https://www.gemuenden-bau.de/de/news?offset=10</t>
        </is>
      </c>
      <c r="E57" t="inlineStr">
        <is>
          <t>discovered</t>
        </is>
      </c>
      <c r="G57" t="n">
        <v>0</v>
      </c>
      <c r="H57" t="n">
        <v>1</v>
      </c>
      <c r="I57" t="n">
        <v>1</v>
      </c>
      <c r="J57" t="n">
        <v>1</v>
      </c>
      <c r="K57" t="n">
        <v>0</v>
      </c>
      <c r="L57" t="n">
        <v>0</v>
      </c>
      <c r="M57" t="n">
        <v>0</v>
      </c>
      <c r="N57" t="n">
        <v>0</v>
      </c>
      <c r="P57" t="inlineStr">
        <is>
          <t>2025-06-12</t>
        </is>
      </c>
      <c r="R57" t="inlineStr">
        <is>
          <t>keep monitoring</t>
        </is>
      </c>
    </row>
    <row r="58">
      <c r="A58" t="inlineStr">
        <is>
          <t>2026-06-13 18:25:39</t>
        </is>
      </c>
      <c r="B58" t="inlineStr">
        <is>
          <t>Karl Gemünden GmbH &amp; Co. KG</t>
        </is>
      </c>
      <c r="C58" t="inlineStr">
        <is>
          <t>company_industry</t>
        </is>
      </c>
      <c r="D58" t="inlineStr">
        <is>
          <t>https://www.gemuenden-bau.de/de/news?p=2</t>
        </is>
      </c>
      <c r="E58" t="inlineStr">
        <is>
          <t>discovered</t>
        </is>
      </c>
      <c r="G58" t="n">
        <v>0</v>
      </c>
      <c r="H58" t="n">
        <v>1</v>
      </c>
      <c r="I58" t="n">
        <v>1</v>
      </c>
      <c r="J58" t="n">
        <v>0</v>
      </c>
      <c r="K58" t="n">
        <v>0</v>
      </c>
      <c r="L58" t="n">
        <v>0</v>
      </c>
      <c r="M58" t="n">
        <v>0</v>
      </c>
      <c r="N58" t="n">
        <v>0</v>
      </c>
      <c r="P58" t="inlineStr">
        <is>
          <t>2025-12-04</t>
        </is>
      </c>
      <c r="R58" t="inlineStr">
        <is>
          <t>review source pattern</t>
        </is>
      </c>
    </row>
    <row r="59">
      <c r="A59" t="inlineStr">
        <is>
          <t>2026-06-13 18:25:39</t>
        </is>
      </c>
      <c r="B59" t="inlineStr">
        <is>
          <t>Karl Gemünden GmbH &amp; Co. KG</t>
        </is>
      </c>
      <c r="C59" t="inlineStr">
        <is>
          <t>company_industry</t>
        </is>
      </c>
      <c r="D59" t="inlineStr">
        <is>
          <t>https://www.gemuenden-bau.de/de/news?page=2</t>
        </is>
      </c>
      <c r="E59" t="inlineStr">
        <is>
          <t>discovered</t>
        </is>
      </c>
      <c r="G59" t="n">
        <v>0</v>
      </c>
      <c r="H59" t="n">
        <v>1</v>
      </c>
      <c r="I59" t="n">
        <v>1</v>
      </c>
      <c r="J59" t="n">
        <v>1</v>
      </c>
      <c r="K59" t="n">
        <v>0</v>
      </c>
      <c r="L59" t="n">
        <v>0</v>
      </c>
      <c r="M59" t="n">
        <v>0</v>
      </c>
      <c r="N59" t="n">
        <v>0</v>
      </c>
      <c r="P59" t="inlineStr">
        <is>
          <t>2025-06-12</t>
        </is>
      </c>
      <c r="R59" t="inlineStr">
        <is>
          <t>keep monitoring</t>
        </is>
      </c>
    </row>
    <row r="60">
      <c r="A60" t="inlineStr">
        <is>
          <t>2026-06-13 18:25:39</t>
        </is>
      </c>
      <c r="B60" t="inlineStr">
        <is>
          <t>Katholische Hochschule Mainz</t>
        </is>
      </c>
      <c r="C60" t="inlineStr">
        <is>
          <t>academic</t>
        </is>
      </c>
      <c r="D60" t="inlineStr">
        <is>
          <t>https://www.kh-mz.de/presse</t>
        </is>
      </c>
      <c r="E60" t="inlineStr">
        <is>
          <t>Discovered source page</t>
        </is>
      </c>
      <c r="F60" t="inlineStr">
        <is>
          <t>Discovered</t>
        </is>
      </c>
      <c r="G60" t="n">
        <v>80</v>
      </c>
      <c r="H60" t="n">
        <v>1</v>
      </c>
      <c r="I60" t="n">
        <v>1</v>
      </c>
      <c r="J60" t="n">
        <v>1</v>
      </c>
      <c r="K60" t="n">
        <v>0</v>
      </c>
      <c r="L60" t="n">
        <v>0</v>
      </c>
      <c r="M60" t="n">
        <v>0</v>
      </c>
      <c r="N60" t="n">
        <v>0</v>
      </c>
      <c r="P60" t="inlineStr">
        <is>
          <t>2025-07-21</t>
        </is>
      </c>
      <c r="R60" t="inlineStr">
        <is>
          <t>keep monitoring</t>
        </is>
      </c>
    </row>
    <row r="61">
      <c r="A61" t="inlineStr">
        <is>
          <t>2026-06-13 18:25:39</t>
        </is>
      </c>
      <c r="B61" t="inlineStr">
        <is>
          <t>KÜBLER GmbH</t>
        </is>
      </c>
      <c r="C61" t="inlineStr">
        <is>
          <t>energy_infrastructure</t>
        </is>
      </c>
      <c r="D61" t="inlineStr">
        <is>
          <t>https://www.kuebler-hallenheizungen.de/de/aktuelles</t>
        </is>
      </c>
      <c r="E61" t="inlineStr">
        <is>
          <t>Discovered source page</t>
        </is>
      </c>
      <c r="F61" t="inlineStr">
        <is>
          <t>Discovered</t>
        </is>
      </c>
      <c r="G61" t="n">
        <v>55</v>
      </c>
      <c r="H61" t="n">
        <v>1</v>
      </c>
      <c r="I61" t="n">
        <v>5</v>
      </c>
      <c r="J61" t="n">
        <v>5</v>
      </c>
      <c r="K61" t="n">
        <v>0</v>
      </c>
      <c r="L61" t="n">
        <v>0</v>
      </c>
      <c r="M61" t="n">
        <v>0</v>
      </c>
      <c r="N61" t="n">
        <v>0</v>
      </c>
      <c r="P61" t="inlineStr">
        <is>
          <t>2026-02-27</t>
        </is>
      </c>
      <c r="R61" t="inlineStr">
        <is>
          <t>downgrade / crawl rarely</t>
        </is>
      </c>
    </row>
    <row r="62">
      <c r="A62" t="inlineStr">
        <is>
          <t>2026-06-13 18:25:39</t>
        </is>
      </c>
      <c r="B62" t="inlineStr">
        <is>
          <t>KÜBLER GmbH</t>
        </is>
      </c>
      <c r="C62" t="inlineStr">
        <is>
          <t>energy_infrastructure</t>
        </is>
      </c>
      <c r="D62" t="inlineStr">
        <is>
          <t>https://www.kuebler-hallenheizungen.de/unternehmen/presse</t>
        </is>
      </c>
      <c r="E62" t="inlineStr">
        <is>
          <t>Discovered source page</t>
        </is>
      </c>
      <c r="F62" t="inlineStr">
        <is>
          <t>Discovered</t>
        </is>
      </c>
      <c r="G62" t="n">
        <v>55</v>
      </c>
      <c r="H62" t="n">
        <v>1</v>
      </c>
      <c r="I62" t="n">
        <v>3</v>
      </c>
      <c r="J62" t="n">
        <v>3</v>
      </c>
      <c r="K62" t="n">
        <v>0</v>
      </c>
      <c r="L62" t="n">
        <v>0</v>
      </c>
      <c r="M62" t="n">
        <v>0</v>
      </c>
      <c r="N62" t="n">
        <v>0</v>
      </c>
      <c r="P62" t="inlineStr">
        <is>
          <t>2026-02-27</t>
        </is>
      </c>
      <c r="R62" t="inlineStr">
        <is>
          <t>downgrade / crawl rarely</t>
        </is>
      </c>
    </row>
    <row r="63">
      <c r="A63" t="inlineStr">
        <is>
          <t>2026-06-13 18:25:39</t>
        </is>
      </c>
      <c r="B63" t="inlineStr">
        <is>
          <t>LOTTO Rheinland-Pfalz GmbH</t>
        </is>
      </c>
      <c r="C63" t="inlineStr">
        <is>
          <t>media_culture</t>
        </is>
      </c>
      <c r="D63" t="inlineStr">
        <is>
          <t>https://www.lotto-rlp.de/aktuelles/sonderauslosungen?gbn=6</t>
        </is>
      </c>
      <c r="E63" t="inlineStr">
        <is>
          <t>direct_or_cached</t>
        </is>
      </c>
      <c r="G63" t="n">
        <v>0</v>
      </c>
      <c r="H63" t="n">
        <v>1</v>
      </c>
      <c r="I63" t="n">
        <v>1</v>
      </c>
      <c r="J63" t="n">
        <v>1</v>
      </c>
      <c r="K63" t="n">
        <v>0</v>
      </c>
      <c r="L63" t="n">
        <v>0</v>
      </c>
      <c r="M63" t="n">
        <v>0</v>
      </c>
      <c r="N63" t="n">
        <v>0</v>
      </c>
      <c r="P63" t="inlineStr">
        <is>
          <t>2025-10-28</t>
        </is>
      </c>
      <c r="R63" t="inlineStr">
        <is>
          <t>keep monitoring</t>
        </is>
      </c>
    </row>
    <row r="64">
      <c r="A64" t="inlineStr">
        <is>
          <t>2026-06-13 18:25:39</t>
        </is>
      </c>
      <c r="B64" t="inlineStr">
        <is>
          <t>LOTTO Rheinland-Pfalz GmbH</t>
        </is>
      </c>
      <c r="C64" t="inlineStr">
        <is>
          <t>media_culture</t>
        </is>
      </c>
      <c r="D64" t="inlineStr">
        <is>
          <t>https://www.lotto-rlp.de/presse/meldungen/pressdetail_12941?gbn=6</t>
        </is>
      </c>
      <c r="E64" t="inlineStr">
        <is>
          <t>direct_or_cached</t>
        </is>
      </c>
      <c r="G64" t="n">
        <v>0</v>
      </c>
      <c r="H64" t="n">
        <v>1</v>
      </c>
      <c r="I64" t="n">
        <v>1</v>
      </c>
      <c r="J64" t="n">
        <v>0</v>
      </c>
      <c r="K64" t="n">
        <v>0</v>
      </c>
      <c r="L64" t="n">
        <v>0</v>
      </c>
      <c r="M64" t="n">
        <v>0</v>
      </c>
      <c r="N64" t="n">
        <v>0</v>
      </c>
      <c r="P64" t="inlineStr">
        <is>
          <t>2026-06-01</t>
        </is>
      </c>
      <c r="R64" t="inlineStr">
        <is>
          <t>review source pattern</t>
        </is>
      </c>
    </row>
    <row r="65">
      <c r="A65" t="inlineStr">
        <is>
          <t>2026-06-13 18:25:39</t>
        </is>
      </c>
      <c r="B65" t="inlineStr">
        <is>
          <t>Landkreistag Rheinland-Pfalz</t>
        </is>
      </c>
      <c r="C65" t="inlineStr">
        <is>
          <t>chamber_association</t>
        </is>
      </c>
      <c r="D65" t="inlineStr">
        <is>
          <t>https://landkreistag.rlp.de/homepage/aktuelles</t>
        </is>
      </c>
      <c r="E65" t="inlineStr">
        <is>
          <t>Discovered source page</t>
        </is>
      </c>
      <c r="F65" t="inlineStr">
        <is>
          <t>Discovered</t>
        </is>
      </c>
      <c r="G65" t="n">
        <v>80</v>
      </c>
      <c r="H65" t="n">
        <v>1</v>
      </c>
      <c r="I65" t="n">
        <v>1</v>
      </c>
      <c r="J65" t="n">
        <v>1</v>
      </c>
      <c r="K65" t="n">
        <v>0</v>
      </c>
      <c r="L65" t="n">
        <v>0</v>
      </c>
      <c r="M65" t="n">
        <v>0</v>
      </c>
      <c r="N65" t="n">
        <v>0</v>
      </c>
      <c r="P65" t="inlineStr">
        <is>
          <t>2018-11-21</t>
        </is>
      </c>
      <c r="R65" t="inlineStr">
        <is>
          <t>keep monitoring</t>
        </is>
      </c>
    </row>
    <row r="66">
      <c r="A66" t="inlineStr">
        <is>
          <t>2026-06-13 18:25:39</t>
        </is>
      </c>
      <c r="B66" t="inlineStr">
        <is>
          <t>Leonardo PersonalKonzept GmbH</t>
        </is>
      </c>
      <c r="C66" t="inlineStr">
        <is>
          <t>health_social</t>
        </is>
      </c>
      <c r="D66" t="inlineStr">
        <is>
          <t>https://www.leonardo-personal.de</t>
        </is>
      </c>
      <c r="E66" t="inlineStr">
        <is>
          <t>direct_or_cached</t>
        </is>
      </c>
      <c r="G66" t="n">
        <v>0</v>
      </c>
      <c r="H66" t="n">
        <v>1</v>
      </c>
      <c r="I66" t="n">
        <v>1</v>
      </c>
      <c r="J66" t="n">
        <v>1</v>
      </c>
      <c r="K66" t="n">
        <v>0</v>
      </c>
      <c r="L66" t="n">
        <v>0</v>
      </c>
      <c r="M66" t="n">
        <v>0</v>
      </c>
      <c r="N66" t="n">
        <v>0</v>
      </c>
      <c r="P66" t="inlineStr">
        <is>
          <t>2026-06-03</t>
        </is>
      </c>
      <c r="R66" t="inlineStr">
        <is>
          <t>keep monitoring</t>
        </is>
      </c>
    </row>
    <row r="67">
      <c r="A67" t="inlineStr">
        <is>
          <t>2026-06-13 18:25:39</t>
        </is>
      </c>
      <c r="B67" t="inlineStr">
        <is>
          <t>LÖWEN ENTERTAINMENT GmbH</t>
        </is>
      </c>
      <c r="C67" t="inlineStr">
        <is>
          <t>company_industry</t>
        </is>
      </c>
      <c r="D67" t="inlineStr">
        <is>
          <t>https://www.loewen.de/produkte/news/alle</t>
        </is>
      </c>
      <c r="E67" t="inlineStr">
        <is>
          <t>direct_or_cached</t>
        </is>
      </c>
      <c r="G67" t="n">
        <v>0</v>
      </c>
      <c r="H67" t="n">
        <v>1</v>
      </c>
      <c r="I67" t="n">
        <v>1</v>
      </c>
      <c r="J67" t="n">
        <v>0</v>
      </c>
      <c r="K67" t="n">
        <v>0</v>
      </c>
      <c r="L67" t="n">
        <v>0</v>
      </c>
      <c r="M67" t="n">
        <v>0</v>
      </c>
      <c r="N67" t="n">
        <v>0</v>
      </c>
      <c r="P67" t="inlineStr">
        <is>
          <t>2026-05-21</t>
        </is>
      </c>
      <c r="R67" t="inlineStr">
        <is>
          <t>review source pattern</t>
        </is>
      </c>
    </row>
    <row r="68">
      <c r="A68" t="inlineStr">
        <is>
          <t>2026-06-13 18:25:39</t>
        </is>
      </c>
      <c r="B68" t="inlineStr">
        <is>
          <t>LÖWEN ENTERTAINMENT GmbH</t>
        </is>
      </c>
      <c r="C68" t="inlineStr">
        <is>
          <t>company_industry</t>
        </is>
      </c>
      <c r="D68" t="inlineStr">
        <is>
          <t>https://www.loewen.de/produkte/news/loewen-dart-bei-worldcup-in-las-vegas-663</t>
        </is>
      </c>
      <c r="E68" t="inlineStr">
        <is>
          <t>direct_or_cached</t>
        </is>
      </c>
      <c r="G68" t="n">
        <v>0</v>
      </c>
      <c r="H68" t="n">
        <v>1</v>
      </c>
      <c r="I68" t="n">
        <v>1</v>
      </c>
      <c r="J68" t="n">
        <v>0</v>
      </c>
      <c r="K68" t="n">
        <v>0</v>
      </c>
      <c r="L68" t="n">
        <v>0</v>
      </c>
      <c r="M68" t="n">
        <v>0</v>
      </c>
      <c r="N68" t="n">
        <v>0</v>
      </c>
      <c r="P68" t="inlineStr">
        <is>
          <t>2025-05-06</t>
        </is>
      </c>
      <c r="R68" t="inlineStr">
        <is>
          <t>review source pattern</t>
        </is>
      </c>
    </row>
    <row r="69">
      <c r="A69" t="inlineStr">
        <is>
          <t>2026-06-13 18:25:39</t>
        </is>
      </c>
      <c r="B69" t="inlineStr">
        <is>
          <t>LÖWEN ENTERTAINMENT GmbH</t>
        </is>
      </c>
      <c r="C69" t="inlineStr">
        <is>
          <t>company_industry</t>
        </is>
      </c>
      <c r="D69" t="inlineStr">
        <is>
          <t>https://www.loewen.de/produkte/news/loewen-dart-erfolgreiche-messepraesenz-auf-der-iaapa-expo-europe-2025-in-barcelona-705</t>
        </is>
      </c>
      <c r="E69" t="inlineStr">
        <is>
          <t>direct_or_cached</t>
        </is>
      </c>
      <c r="G69" t="n">
        <v>0</v>
      </c>
      <c r="H69" t="n">
        <v>1</v>
      </c>
      <c r="I69" t="n">
        <v>1</v>
      </c>
      <c r="J69" t="n">
        <v>0</v>
      </c>
      <c r="K69" t="n">
        <v>0</v>
      </c>
      <c r="L69" t="n">
        <v>0</v>
      </c>
      <c r="M69" t="n">
        <v>0</v>
      </c>
      <c r="N69" t="n">
        <v>0</v>
      </c>
      <c r="P69" t="inlineStr">
        <is>
          <t>2025-09-29</t>
        </is>
      </c>
      <c r="R69" t="inlineStr">
        <is>
          <t>review source pattern</t>
        </is>
      </c>
    </row>
    <row r="70">
      <c r="A70" t="inlineStr">
        <is>
          <t>2026-06-13 18:25:39</t>
        </is>
      </c>
      <c r="B70" t="inlineStr">
        <is>
          <t>LÖWEN ENTERTAINMENT GmbH</t>
        </is>
      </c>
      <c r="C70" t="inlineStr">
        <is>
          <t>company_industry</t>
        </is>
      </c>
      <c r="D70" t="inlineStr">
        <is>
          <t>https://www.loewen.de/produkte/news/e-darts-ueber-50-ligasekretaere-und-verbandsfunktionaere-zu-gast-bei-loewen-entertainment-1-666</t>
        </is>
      </c>
      <c r="E70" t="inlineStr">
        <is>
          <t>direct_or_cached</t>
        </is>
      </c>
      <c r="G70" t="n">
        <v>0</v>
      </c>
      <c r="H70" t="n">
        <v>1</v>
      </c>
      <c r="I70" t="n">
        <v>1</v>
      </c>
      <c r="J70" t="n">
        <v>0</v>
      </c>
      <c r="K70" t="n">
        <v>0</v>
      </c>
      <c r="L70" t="n">
        <v>0</v>
      </c>
      <c r="M70" t="n">
        <v>0</v>
      </c>
      <c r="N70" t="n">
        <v>0</v>
      </c>
      <c r="P70" t="inlineStr">
        <is>
          <t>2025-05-22</t>
        </is>
      </c>
      <c r="R70" t="inlineStr">
        <is>
          <t>review source pattern</t>
        </is>
      </c>
    </row>
    <row r="71">
      <c r="A71" t="inlineStr">
        <is>
          <t>2026-06-13 18:25:39</t>
        </is>
      </c>
      <c r="B71" t="inlineStr">
        <is>
          <t>Ministerium für Wirtschaft, Verkehr, Landwirtschaft und Weinbau</t>
        </is>
      </c>
      <c r="C71" t="inlineStr">
        <is>
          <t>bank_finance</t>
        </is>
      </c>
      <c r="D71" t="inlineStr">
        <is>
          <t>https://mwvlw.rlp.de/presse</t>
        </is>
      </c>
      <c r="E71" t="inlineStr">
        <is>
          <t>Discovered source page</t>
        </is>
      </c>
      <c r="F71" t="inlineStr">
        <is>
          <t>Discovered</t>
        </is>
      </c>
      <c r="G71" t="n">
        <v>80</v>
      </c>
      <c r="H71" t="n">
        <v>1</v>
      </c>
      <c r="I71" t="n">
        <v>6</v>
      </c>
      <c r="J71" t="n">
        <v>5</v>
      </c>
      <c r="K71" t="n">
        <v>0</v>
      </c>
      <c r="L71" t="n">
        <v>0</v>
      </c>
      <c r="M71" t="n">
        <v>0</v>
      </c>
      <c r="N71" t="n">
        <v>0</v>
      </c>
      <c r="P71" t="inlineStr">
        <is>
          <t>2026-06-11</t>
        </is>
      </c>
      <c r="R71" t="inlineStr">
        <is>
          <t>downgrade / crawl rarely</t>
        </is>
      </c>
    </row>
    <row r="72">
      <c r="A72" t="inlineStr">
        <is>
          <t>2026-06-13 18:25:39</t>
        </is>
      </c>
      <c r="B72" t="inlineStr">
        <is>
          <t>Ministerium für Wirtschaft, Verkehr, Landwirtschaft und Weinbau</t>
        </is>
      </c>
      <c r="C72" t="inlineStr">
        <is>
          <t>bank_finance</t>
        </is>
      </c>
      <c r="D72" t="inlineStr">
        <is>
          <t>https://mwvlw.rlp.de/mittelstand</t>
        </is>
      </c>
      <c r="E72" t="inlineStr">
        <is>
          <t>Discovered source page</t>
        </is>
      </c>
      <c r="F72" t="inlineStr">
        <is>
          <t>Discovered</t>
        </is>
      </c>
      <c r="G72" t="n">
        <v>55</v>
      </c>
      <c r="H72" t="n">
        <v>1</v>
      </c>
      <c r="I72" t="n">
        <v>4</v>
      </c>
      <c r="J72" t="n">
        <v>4</v>
      </c>
      <c r="K72" t="n">
        <v>0</v>
      </c>
      <c r="L72" t="n">
        <v>0</v>
      </c>
      <c r="M72" t="n">
        <v>0</v>
      </c>
      <c r="N72" t="n">
        <v>0</v>
      </c>
      <c r="P72" t="inlineStr">
        <is>
          <t>2026-06-11</t>
        </is>
      </c>
      <c r="R72" t="inlineStr">
        <is>
          <t>downgrade / crawl rarely</t>
        </is>
      </c>
    </row>
    <row r="73">
      <c r="A73" t="inlineStr">
        <is>
          <t>2026-06-13 18:25:39</t>
        </is>
      </c>
      <c r="B73" t="inlineStr">
        <is>
          <t>Pfalzwerke AG</t>
        </is>
      </c>
      <c r="C73" t="inlineStr">
        <is>
          <t>bank_finance</t>
        </is>
      </c>
      <c r="D73" t="inlineStr">
        <is>
          <t>https://www.pfalzwerke.de/news</t>
        </is>
      </c>
      <c r="E73" t="inlineStr">
        <is>
          <t>Discovered source page</t>
        </is>
      </c>
      <c r="F73" t="inlineStr">
        <is>
          <t>Discovered</t>
        </is>
      </c>
      <c r="G73" t="n">
        <v>80</v>
      </c>
      <c r="H73" t="n">
        <v>1</v>
      </c>
      <c r="I73" t="n">
        <v>2</v>
      </c>
      <c r="J73" t="n">
        <v>2</v>
      </c>
      <c r="K73" t="n">
        <v>0</v>
      </c>
      <c r="L73" t="n">
        <v>0</v>
      </c>
      <c r="M73" t="n">
        <v>0</v>
      </c>
      <c r="N73" t="n">
        <v>0</v>
      </c>
      <c r="P73" t="inlineStr">
        <is>
          <t>2026-05-27</t>
        </is>
      </c>
      <c r="R73" t="inlineStr">
        <is>
          <t>keep monitoring</t>
        </is>
      </c>
    </row>
    <row r="74">
      <c r="A74" t="inlineStr">
        <is>
          <t>2026-06-13 18:25:39</t>
        </is>
      </c>
      <c r="B74" t="inlineStr">
        <is>
          <t>Sparkassenverband Rheinland-Pfalz</t>
        </is>
      </c>
      <c r="C74" t="inlineStr">
        <is>
          <t>bank_finance</t>
        </is>
      </c>
      <c r="D74" t="inlineStr">
        <is>
          <t>https://www.sv-rlp.de/newsroom</t>
        </is>
      </c>
      <c r="E74" t="inlineStr">
        <is>
          <t>Discovered source page</t>
        </is>
      </c>
      <c r="F74" t="inlineStr">
        <is>
          <t>Discovered</t>
        </is>
      </c>
      <c r="G74" t="n">
        <v>80</v>
      </c>
      <c r="H74" t="n">
        <v>1</v>
      </c>
      <c r="I74" t="n">
        <v>2</v>
      </c>
      <c r="J74" t="n">
        <v>1</v>
      </c>
      <c r="K74" t="n">
        <v>0</v>
      </c>
      <c r="L74" t="n">
        <v>0</v>
      </c>
      <c r="M74" t="n">
        <v>0</v>
      </c>
      <c r="N74" t="n">
        <v>0</v>
      </c>
      <c r="P74" t="inlineStr">
        <is>
          <t>2026-06-10</t>
        </is>
      </c>
      <c r="R74" t="inlineStr">
        <is>
          <t>keep monitoring</t>
        </is>
      </c>
    </row>
    <row r="75">
      <c r="A75" t="inlineStr">
        <is>
          <t>2026-06-13 18:25:39</t>
        </is>
      </c>
      <c r="B75" t="inlineStr">
        <is>
          <t>Staatskanzlei des Landes Rheinland-Pfalz</t>
        </is>
      </c>
      <c r="C75" t="inlineStr">
        <is>
          <t>energy_infrastructure</t>
        </is>
      </c>
      <c r="D75" t="inlineStr">
        <is>
          <t>https://www.rlp.de/forschung</t>
        </is>
      </c>
      <c r="E75" t="inlineStr">
        <is>
          <t>direct_or_cached</t>
        </is>
      </c>
      <c r="G75" t="n">
        <v>0</v>
      </c>
      <c r="H75" t="n">
        <v>1</v>
      </c>
      <c r="I75" t="n">
        <v>1</v>
      </c>
      <c r="J75" t="n">
        <v>1</v>
      </c>
      <c r="K75" t="n">
        <v>0</v>
      </c>
      <c r="L75" t="n">
        <v>0</v>
      </c>
      <c r="M75" t="n">
        <v>0</v>
      </c>
      <c r="N75" t="n">
        <v>0</v>
      </c>
      <c r="P75" t="inlineStr">
        <is>
          <t>2025-10-01</t>
        </is>
      </c>
      <c r="R75" t="inlineStr">
        <is>
          <t>keep monitoring</t>
        </is>
      </c>
    </row>
    <row r="76">
      <c r="A76" t="inlineStr">
        <is>
          <t>2026-06-13 18:25:39</t>
        </is>
      </c>
      <c r="B76" t="inlineStr">
        <is>
          <t>Steuerberaterkammer Rheinland-Pfalz</t>
        </is>
      </c>
      <c r="C76" t="inlineStr">
        <is>
          <t>chamber_association</t>
        </is>
      </c>
      <c r="D76" t="inlineStr">
        <is>
          <t>https://www.sbk-rlp.de/aktuelles</t>
        </is>
      </c>
      <c r="E76" t="inlineStr">
        <is>
          <t>Discovered source page</t>
        </is>
      </c>
      <c r="F76" t="inlineStr">
        <is>
          <t>Discovered</t>
        </is>
      </c>
      <c r="G76" t="n">
        <v>80</v>
      </c>
      <c r="H76" t="n">
        <v>1</v>
      </c>
      <c r="I76" t="n">
        <v>4</v>
      </c>
      <c r="J76" t="n">
        <v>0</v>
      </c>
      <c r="K76" t="n">
        <v>0</v>
      </c>
      <c r="L76" t="n">
        <v>0</v>
      </c>
      <c r="M76" t="n">
        <v>0</v>
      </c>
      <c r="N76" t="n">
        <v>0</v>
      </c>
      <c r="P76" t="inlineStr">
        <is>
          <t>2017-07-20</t>
        </is>
      </c>
      <c r="R76" t="inlineStr">
        <is>
          <t>downgrade / crawl rarely</t>
        </is>
      </c>
    </row>
    <row r="77">
      <c r="A77" t="inlineStr">
        <is>
          <t>2026-06-13 18:25:39</t>
        </is>
      </c>
      <c r="B77" t="inlineStr">
        <is>
          <t>Steuerberaterkammer Rheinland-Pfalz</t>
        </is>
      </c>
      <c r="C77" t="inlineStr">
        <is>
          <t>chamber_association</t>
        </is>
      </c>
      <c r="D77" t="inlineStr">
        <is>
          <t>https://www.sbk-rlp.de/de/aktuelles</t>
        </is>
      </c>
      <c r="E77" t="inlineStr">
        <is>
          <t>Discovered source page</t>
        </is>
      </c>
      <c r="F77" t="inlineStr">
        <is>
          <t>Discovered</t>
        </is>
      </c>
      <c r="G77" t="n">
        <v>80</v>
      </c>
      <c r="H77" t="n">
        <v>1</v>
      </c>
      <c r="I77" t="n">
        <v>1</v>
      </c>
      <c r="J77" t="n">
        <v>0</v>
      </c>
      <c r="K77" t="n">
        <v>0</v>
      </c>
      <c r="L77" t="n">
        <v>0</v>
      </c>
      <c r="M77" t="n">
        <v>0</v>
      </c>
      <c r="N77" t="n">
        <v>0</v>
      </c>
      <c r="P77" t="inlineStr">
        <is>
          <t>2017-07-20</t>
        </is>
      </c>
      <c r="R77" t="inlineStr">
        <is>
          <t>review source pattern</t>
        </is>
      </c>
    </row>
    <row r="78">
      <c r="A78" t="inlineStr">
        <is>
          <t>2026-06-13 18:25:39</t>
        </is>
      </c>
      <c r="B78" t="inlineStr">
        <is>
          <t>Städtetag Rheinland-Pfalz</t>
        </is>
      </c>
      <c r="C78" t="inlineStr">
        <is>
          <t>chamber_association</t>
        </is>
      </c>
      <c r="D78" t="inlineStr">
        <is>
          <t>https://www.staedtetag-rlp.de</t>
        </is>
      </c>
      <c r="E78" t="inlineStr">
        <is>
          <t>Discovered source page</t>
        </is>
      </c>
      <c r="F78" t="inlineStr">
        <is>
          <t>Discovered</t>
        </is>
      </c>
      <c r="G78" t="n">
        <v>80</v>
      </c>
      <c r="H78" t="n">
        <v>1</v>
      </c>
      <c r="I78" t="n">
        <v>1</v>
      </c>
      <c r="J78" t="n">
        <v>1</v>
      </c>
      <c r="K78" t="n">
        <v>0</v>
      </c>
      <c r="L78" t="n">
        <v>0</v>
      </c>
      <c r="M78" t="n">
        <v>0</v>
      </c>
      <c r="N78" t="n">
        <v>0</v>
      </c>
      <c r="P78" t="inlineStr">
        <is>
          <t>2026-05-18</t>
        </is>
      </c>
      <c r="R78" t="inlineStr">
        <is>
          <t>keep monitoring</t>
        </is>
      </c>
    </row>
    <row r="79">
      <c r="A79" t="inlineStr">
        <is>
          <t>2026-06-13 18:25:39</t>
        </is>
      </c>
      <c r="B79" t="inlineStr">
        <is>
          <t>Techniker Krankenkasse</t>
        </is>
      </c>
      <c r="C79" t="inlineStr">
        <is>
          <t>health_social</t>
        </is>
      </c>
      <c r="D79" t="inlineStr">
        <is>
          <t>https://www.tk.de/presse</t>
        </is>
      </c>
      <c r="E79" t="inlineStr">
        <is>
          <t>discovered</t>
        </is>
      </c>
      <c r="G79" t="n">
        <v>0</v>
      </c>
      <c r="H79" t="n">
        <v>1</v>
      </c>
      <c r="I79" t="n">
        <v>3</v>
      </c>
      <c r="J79" t="n">
        <v>2</v>
      </c>
      <c r="K79" t="n">
        <v>0</v>
      </c>
      <c r="L79" t="n">
        <v>0</v>
      </c>
      <c r="M79" t="n">
        <v>0</v>
      </c>
      <c r="N79" t="n">
        <v>0</v>
      </c>
      <c r="P79" t="inlineStr">
        <is>
          <t>2026-05-28</t>
        </is>
      </c>
      <c r="R79" t="inlineStr">
        <is>
          <t>downgrade / crawl rarely</t>
        </is>
      </c>
    </row>
    <row r="80">
      <c r="A80" t="inlineStr">
        <is>
          <t>2026-06-13 18:25:39</t>
        </is>
      </c>
      <c r="B80" t="inlineStr">
        <is>
          <t>Transdev GmbH</t>
        </is>
      </c>
      <c r="C80" t="inlineStr">
        <is>
          <t>state_institution</t>
        </is>
      </c>
      <c r="D80" t="inlineStr">
        <is>
          <t>https://www.transdev.de</t>
        </is>
      </c>
      <c r="E80" t="inlineStr">
        <is>
          <t>discovered</t>
        </is>
      </c>
      <c r="G80" t="n">
        <v>0</v>
      </c>
      <c r="H80" t="n">
        <v>1</v>
      </c>
      <c r="I80" t="n">
        <v>1</v>
      </c>
      <c r="J80" t="n">
        <v>1</v>
      </c>
      <c r="K80" t="n">
        <v>0</v>
      </c>
      <c r="L80" t="n">
        <v>0</v>
      </c>
      <c r="M80" t="n">
        <v>0</v>
      </c>
      <c r="N80" t="n">
        <v>0</v>
      </c>
      <c r="P80" t="inlineStr">
        <is>
          <t>2026-05-21</t>
        </is>
      </c>
      <c r="R80" t="inlineStr">
        <is>
          <t>keep monitoring</t>
        </is>
      </c>
    </row>
    <row r="81">
      <c r="A81" t="inlineStr">
        <is>
          <t>2026-06-13 18:25:39</t>
        </is>
      </c>
      <c r="B81" t="inlineStr">
        <is>
          <t>Vereinigte VR Bank Kur- und Rheinpfalz eG</t>
        </is>
      </c>
      <c r="C81" t="inlineStr">
        <is>
          <t>bank_finance</t>
        </is>
      </c>
      <c r="D81" t="inlineStr">
        <is>
          <t>https://www.vvrbank-krp.de/meine-bank/engagement/jugend-und-finanzen.html</t>
        </is>
      </c>
      <c r="E81" t="inlineStr">
        <is>
          <t>direct_or_cached</t>
        </is>
      </c>
      <c r="G81" t="n">
        <v>0</v>
      </c>
      <c r="H81" t="n">
        <v>1</v>
      </c>
      <c r="I81" t="n">
        <v>1</v>
      </c>
      <c r="J81" t="n">
        <v>1</v>
      </c>
      <c r="K81" t="n">
        <v>0</v>
      </c>
      <c r="L81" t="n">
        <v>0</v>
      </c>
      <c r="M81" t="n">
        <v>0</v>
      </c>
      <c r="N81" t="n">
        <v>0</v>
      </c>
      <c r="P81" t="inlineStr">
        <is>
          <t>2024-10-01</t>
        </is>
      </c>
      <c r="R81" t="inlineStr">
        <is>
          <t>keep monitoring</t>
        </is>
      </c>
    </row>
    <row r="82">
      <c r="A82" t="inlineStr">
        <is>
          <t>2026-06-13 18:25:39</t>
        </is>
      </c>
      <c r="B82" t="inlineStr">
        <is>
          <t>Vereinigte VR Bank Kur- und Rheinpfalz eG</t>
        </is>
      </c>
      <c r="C82" t="inlineStr">
        <is>
          <t>bank_finance</t>
        </is>
      </c>
      <c r="D82" t="inlineStr">
        <is>
          <t>https://www.vvrbank-krp.de/meine-bank/engagement/sterne-des-sports.html</t>
        </is>
      </c>
      <c r="E82" t="inlineStr">
        <is>
          <t>direct_or_cached</t>
        </is>
      </c>
      <c r="G82" t="n">
        <v>0</v>
      </c>
      <c r="H82" t="n">
        <v>1</v>
      </c>
      <c r="I82" t="n">
        <v>1</v>
      </c>
      <c r="J82" t="n">
        <v>1</v>
      </c>
      <c r="K82" t="n">
        <v>0</v>
      </c>
      <c r="L82" t="n">
        <v>0</v>
      </c>
      <c r="M82" t="n">
        <v>0</v>
      </c>
      <c r="N82" t="n">
        <v>0</v>
      </c>
      <c r="P82" t="inlineStr">
        <is>
          <t>2026-01-31</t>
        </is>
      </c>
      <c r="R82" t="inlineStr">
        <is>
          <t>keep monitoring</t>
        </is>
      </c>
    </row>
    <row r="83">
      <c r="A83" t="inlineStr">
        <is>
          <t>2026-06-13 18:25:39</t>
        </is>
      </c>
      <c r="B83" t="inlineStr">
        <is>
          <t>Vereinigte VR Bank Kur- und Rheinpfalz eG</t>
        </is>
      </c>
      <c r="C83" t="inlineStr">
        <is>
          <t>bank_finance</t>
        </is>
      </c>
      <c r="D83" t="inlineStr">
        <is>
          <t>https://www.vvrbank-krp.de/meine-bank/gemeinsam-stark-fuer-die-zukunft/genossenschaftliche-finanzgruppe.html</t>
        </is>
      </c>
      <c r="E83" t="inlineStr">
        <is>
          <t>direct_or_cached</t>
        </is>
      </c>
      <c r="G83" t="n">
        <v>0</v>
      </c>
      <c r="H83" t="n">
        <v>1</v>
      </c>
      <c r="I83" t="n">
        <v>1</v>
      </c>
      <c r="J83" t="n">
        <v>1</v>
      </c>
      <c r="K83" t="n">
        <v>0</v>
      </c>
      <c r="L83" t="n">
        <v>0</v>
      </c>
      <c r="M83" t="n">
        <v>0</v>
      </c>
      <c r="N83" t="n">
        <v>0</v>
      </c>
      <c r="P83" t="inlineStr">
        <is>
          <t>2023-02-01</t>
        </is>
      </c>
      <c r="R83" t="inlineStr">
        <is>
          <t>keep monitoring</t>
        </is>
      </c>
    </row>
    <row r="84">
      <c r="A84" t="inlineStr">
        <is>
          <t>2026-06-13 18:25:39</t>
        </is>
      </c>
      <c r="B84" t="inlineStr">
        <is>
          <t>Vinzenz Pallotti University gGmbH</t>
        </is>
      </c>
      <c r="C84" t="inlineStr">
        <is>
          <t>academic</t>
        </is>
      </c>
      <c r="D84" t="inlineStr">
        <is>
          <t>https://vp-uni.de</t>
        </is>
      </c>
      <c r="E84" t="inlineStr">
        <is>
          <t>Discovered source page</t>
        </is>
      </c>
      <c r="F84" t="inlineStr">
        <is>
          <t>Discovered</t>
        </is>
      </c>
      <c r="G84" t="n">
        <v>80</v>
      </c>
      <c r="H84" t="n">
        <v>1</v>
      </c>
      <c r="I84" t="n">
        <v>1</v>
      </c>
      <c r="J84" t="n">
        <v>0</v>
      </c>
      <c r="K84" t="n">
        <v>0</v>
      </c>
      <c r="L84" t="n">
        <v>0</v>
      </c>
      <c r="M84" t="n">
        <v>0</v>
      </c>
      <c r="N84" t="n">
        <v>0</v>
      </c>
      <c r="P84" t="inlineStr">
        <is>
          <t>2026-02-16</t>
        </is>
      </c>
      <c r="R84" t="inlineStr">
        <is>
          <t>review source pattern</t>
        </is>
      </c>
    </row>
    <row r="85">
      <c r="A85" t="inlineStr">
        <is>
          <t>2026-06-13 18:25:39</t>
        </is>
      </c>
      <c r="B85" t="inlineStr">
        <is>
          <t>Vinzenz Pallotti University gGmbH</t>
        </is>
      </c>
      <c r="C85" t="inlineStr">
        <is>
          <t>academic</t>
        </is>
      </c>
      <c r="D85" t="inlineStr">
        <is>
          <t>https://vp-uni.de/presse</t>
        </is>
      </c>
      <c r="E85" t="inlineStr">
        <is>
          <t>Discovered source page</t>
        </is>
      </c>
      <c r="F85" t="inlineStr">
        <is>
          <t>Discovered</t>
        </is>
      </c>
      <c r="G85" t="n">
        <v>80</v>
      </c>
      <c r="H85" t="n">
        <v>1</v>
      </c>
      <c r="I85" t="n">
        <v>1</v>
      </c>
      <c r="J85" t="n">
        <v>0</v>
      </c>
      <c r="K85" t="n">
        <v>0</v>
      </c>
      <c r="L85" t="n">
        <v>0</v>
      </c>
      <c r="M85" t="n">
        <v>0</v>
      </c>
      <c r="N85" t="n">
        <v>0</v>
      </c>
      <c r="P85" t="inlineStr">
        <is>
          <t>2026-01-16</t>
        </is>
      </c>
      <c r="R85" t="inlineStr">
        <is>
          <t>review source pattern</t>
        </is>
      </c>
    </row>
    <row r="86">
      <c r="A86" t="inlineStr">
        <is>
          <t>2026-06-13 18:25:39</t>
        </is>
      </c>
      <c r="B86" t="inlineStr">
        <is>
          <t>Vinzenz Pallotti University gGmbH</t>
        </is>
      </c>
      <c r="C86" t="inlineStr">
        <is>
          <t>academic</t>
        </is>
      </c>
      <c r="D86" t="inlineStr">
        <is>
          <t>https://vp-uni.de/de/presse</t>
        </is>
      </c>
      <c r="E86" t="inlineStr">
        <is>
          <t>Discovered source page</t>
        </is>
      </c>
      <c r="F86" t="inlineStr">
        <is>
          <t>Discovered</t>
        </is>
      </c>
      <c r="G86" t="n">
        <v>80</v>
      </c>
      <c r="H86" t="n">
        <v>1</v>
      </c>
      <c r="I86" t="n">
        <v>1</v>
      </c>
      <c r="J86" t="n">
        <v>0</v>
      </c>
      <c r="K86" t="n">
        <v>0</v>
      </c>
      <c r="L86" t="n">
        <v>0</v>
      </c>
      <c r="M86" t="n">
        <v>0</v>
      </c>
      <c r="N86" t="n">
        <v>0</v>
      </c>
      <c r="P86" t="inlineStr">
        <is>
          <t>2026-01-16</t>
        </is>
      </c>
      <c r="R86" t="inlineStr">
        <is>
          <t>review source pattern</t>
        </is>
      </c>
    </row>
    <row r="87">
      <c r="A87" t="inlineStr">
        <is>
          <t>2026-06-13 18:25:39</t>
        </is>
      </c>
      <c r="B87" t="inlineStr">
        <is>
          <t>Wilhelm Faber GmbH</t>
        </is>
      </c>
      <c r="C87" t="inlineStr">
        <is>
          <t>company_industry</t>
        </is>
      </c>
      <c r="D87" t="inlineStr">
        <is>
          <t>https://wilhelm-faber.de</t>
        </is>
      </c>
      <c r="E87" t="inlineStr">
        <is>
          <t>Discovered source page</t>
        </is>
      </c>
      <c r="F87" t="inlineStr">
        <is>
          <t>Discovered</t>
        </is>
      </c>
      <c r="G87" t="n">
        <v>55</v>
      </c>
      <c r="H87" t="n">
        <v>1</v>
      </c>
      <c r="I87" t="n">
        <v>5</v>
      </c>
      <c r="J87" t="n">
        <v>5</v>
      </c>
      <c r="K87" t="n">
        <v>0</v>
      </c>
      <c r="L87" t="n">
        <v>0</v>
      </c>
      <c r="M87" t="n">
        <v>0</v>
      </c>
      <c r="N87" t="n">
        <v>0</v>
      </c>
      <c r="P87" t="inlineStr">
        <is>
          <t>2025-05-15</t>
        </is>
      </c>
      <c r="R87" t="inlineStr">
        <is>
          <t>downgrade / crawl rarely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1" customWidth="1" style="46" min="1" max="1"/>
    <col width="23" customWidth="1" style="46" min="2" max="2"/>
    <col width="17" customWidth="1" style="46" min="3" max="3"/>
    <col width="17" customWidth="1" style="46" min="4" max="4"/>
    <col width="15" customWidth="1" style="46" min="5" max="5"/>
    <col width="15" customWidth="1" style="46" min="6" max="6"/>
    <col width="16" customWidth="1" style="46" min="7" max="7"/>
    <col width="15" customWidth="1" style="46" min="8" max="8"/>
    <col width="24" customWidth="1" style="46" min="9" max="9"/>
    <col width="26" customWidth="1" style="46" min="10" max="10"/>
    <col width="17" customWidth="1" style="46" min="11" max="11"/>
  </cols>
  <sheetData>
    <row r="1">
      <c r="A1" s="58" t="inlineStr">
        <is>
          <t>run_date</t>
        </is>
      </c>
      <c r="B1" s="58" t="inlineStr">
        <is>
          <t>actor_type</t>
        </is>
      </c>
      <c r="C1" s="58" t="inlineStr">
        <is>
          <t>members_checked</t>
        </is>
      </c>
      <c r="D1" s="58" t="inlineStr">
        <is>
          <t>sources_crawled</t>
        </is>
      </c>
      <c r="E1" s="58" t="inlineStr">
        <is>
          <t>pages_crawled</t>
        </is>
      </c>
      <c r="F1" s="58" t="inlineStr">
        <is>
          <t>signals_found</t>
        </is>
      </c>
      <c r="G1" s="58" t="inlineStr">
        <is>
          <t>strong_signals</t>
        </is>
      </c>
      <c r="H1" s="58" t="inlineStr">
        <is>
          <t>average_score</t>
        </is>
      </c>
      <c r="I1" s="58" t="inlineStr">
        <is>
          <t>average_decision_score</t>
        </is>
      </c>
      <c r="J1" s="58" t="inlineStr">
        <is>
          <t>final_dashboard_mentions</t>
        </is>
      </c>
      <c r="K1" s="58" t="inlineStr">
        <is>
          <t>share_of_output</t>
        </is>
      </c>
    </row>
    <row r="2">
      <c r="A2" t="inlineStr">
        <is>
          <t>2026-06-13 18:25:39</t>
        </is>
      </c>
      <c r="B2" t="inlineStr">
        <is>
          <t>academic</t>
        </is>
      </c>
      <c r="C2" t="n">
        <v>26</v>
      </c>
      <c r="D2" t="n">
        <v>26</v>
      </c>
      <c r="E2" t="n">
        <v>59</v>
      </c>
      <c r="F2" t="n">
        <v>26</v>
      </c>
      <c r="G2" t="n">
        <v>26</v>
      </c>
      <c r="H2" t="n">
        <v>41.42</v>
      </c>
      <c r="I2" t="n">
        <v>35.58</v>
      </c>
      <c r="J2" t="n">
        <v>6</v>
      </c>
      <c r="K2" t="n">
        <v>0.5455</v>
      </c>
    </row>
    <row r="3">
      <c r="A3" t="inlineStr">
        <is>
          <t>2026-06-13 18:25:39</t>
        </is>
      </c>
      <c r="B3" t="inlineStr">
        <is>
          <t>media_culture</t>
        </is>
      </c>
      <c r="C3" t="n">
        <v>10</v>
      </c>
      <c r="D3" t="n">
        <v>9</v>
      </c>
      <c r="E3" t="n">
        <v>18</v>
      </c>
      <c r="F3" t="n">
        <v>5</v>
      </c>
      <c r="G3" t="n">
        <v>5</v>
      </c>
      <c r="H3" t="n">
        <v>34.6</v>
      </c>
      <c r="I3" t="n">
        <v>19.8</v>
      </c>
      <c r="J3" t="n">
        <v>4</v>
      </c>
      <c r="K3" t="n">
        <v>0.3636</v>
      </c>
    </row>
    <row r="4">
      <c r="A4" t="inlineStr">
        <is>
          <t>2026-06-13 18:25:39</t>
        </is>
      </c>
      <c r="B4" t="inlineStr">
        <is>
          <t>chamber_association</t>
        </is>
      </c>
      <c r="C4" t="n">
        <v>11</v>
      </c>
      <c r="D4" t="n">
        <v>10</v>
      </c>
      <c r="E4" t="n">
        <v>27</v>
      </c>
      <c r="F4" t="n">
        <v>6</v>
      </c>
      <c r="G4" t="n">
        <v>6</v>
      </c>
      <c r="H4" t="n">
        <v>33.83</v>
      </c>
      <c r="I4" t="n">
        <v>22</v>
      </c>
      <c r="J4" t="n">
        <v>1</v>
      </c>
      <c r="K4" t="n">
        <v>0.09089999999999999</v>
      </c>
    </row>
    <row r="5">
      <c r="A5" t="inlineStr">
        <is>
          <t>2026-06-13 18:25:39</t>
        </is>
      </c>
      <c r="B5" t="inlineStr">
        <is>
          <t>bank_finance</t>
        </is>
      </c>
      <c r="C5" t="n">
        <v>12</v>
      </c>
      <c r="D5" t="n">
        <v>10</v>
      </c>
      <c r="E5" t="n">
        <v>20</v>
      </c>
      <c r="F5" t="n">
        <v>2</v>
      </c>
      <c r="G5" t="n">
        <v>2</v>
      </c>
      <c r="H5" t="n">
        <v>37</v>
      </c>
      <c r="I5" t="n">
        <v>16.5</v>
      </c>
      <c r="J5" t="n">
        <v>0</v>
      </c>
      <c r="K5" t="n">
        <v>0</v>
      </c>
    </row>
    <row r="6">
      <c r="A6" t="inlineStr">
        <is>
          <t>2026-06-13 18:25:39</t>
        </is>
      </c>
      <c r="B6" t="inlineStr">
        <is>
          <t>company_industry</t>
        </is>
      </c>
      <c r="C6" t="n">
        <v>16</v>
      </c>
      <c r="D6" t="n">
        <v>21</v>
      </c>
      <c r="E6" t="n">
        <v>44</v>
      </c>
      <c r="F6" t="n">
        <v>7</v>
      </c>
      <c r="G6" t="n">
        <v>6</v>
      </c>
      <c r="H6" t="n">
        <v>30.29</v>
      </c>
      <c r="I6" t="n">
        <v>25.86</v>
      </c>
      <c r="J6" t="n">
        <v>0</v>
      </c>
      <c r="K6" t="n">
        <v>0</v>
      </c>
    </row>
    <row r="7">
      <c r="A7" t="inlineStr">
        <is>
          <t>2026-06-13 18:25:39</t>
        </is>
      </c>
      <c r="B7" t="inlineStr">
        <is>
          <t>energy_infrastructure</t>
        </is>
      </c>
      <c r="C7" t="n">
        <v>12</v>
      </c>
      <c r="D7" t="n">
        <v>5</v>
      </c>
      <c r="E7" t="n">
        <v>16</v>
      </c>
      <c r="F7" t="n">
        <v>3</v>
      </c>
      <c r="G7" t="n">
        <v>3</v>
      </c>
      <c r="H7" t="n">
        <v>28.67</v>
      </c>
      <c r="I7" t="n">
        <v>30.33</v>
      </c>
      <c r="J7" t="n">
        <v>0</v>
      </c>
      <c r="K7" t="n">
        <v>0</v>
      </c>
    </row>
    <row r="8">
      <c r="A8" t="inlineStr">
        <is>
          <t>2026-06-13 18:25:39</t>
        </is>
      </c>
      <c r="B8" t="inlineStr">
        <is>
          <t>health_social</t>
        </is>
      </c>
      <c r="C8" t="n">
        <v>12</v>
      </c>
      <c r="D8" t="n">
        <v>3</v>
      </c>
      <c r="E8" t="n">
        <v>5</v>
      </c>
      <c r="F8" t="n">
        <v>0</v>
      </c>
      <c r="G8" t="n">
        <v>0</v>
      </c>
      <c r="H8" t="n">
        <v>0</v>
      </c>
      <c r="I8" t="n">
        <v>0</v>
      </c>
      <c r="J8" t="n">
        <v>0</v>
      </c>
      <c r="K8" t="n">
        <v>0</v>
      </c>
    </row>
    <row r="9">
      <c r="A9" t="inlineStr">
        <is>
          <t>2026-06-13 18:25:39</t>
        </is>
      </c>
      <c r="B9" t="inlineStr">
        <is>
          <t>state_institution</t>
        </is>
      </c>
      <c r="C9" t="n">
        <v>3</v>
      </c>
      <c r="D9" t="n">
        <v>2</v>
      </c>
      <c r="E9" t="n">
        <v>11</v>
      </c>
      <c r="F9" t="n">
        <v>5</v>
      </c>
      <c r="G9" t="n">
        <v>5</v>
      </c>
      <c r="H9" t="n">
        <v>44.6</v>
      </c>
      <c r="I9" t="n">
        <v>40</v>
      </c>
      <c r="J9" t="n">
        <v>0</v>
      </c>
      <c r="K9"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70" customWidth="1" style="46" min="1" max="1"/>
    <col width="14" customWidth="1" style="46" min="2" max="2"/>
    <col width="21" customWidth="1" style="46" min="3" max="3"/>
    <col width="34" customWidth="1" style="46" min="4" max="4"/>
    <col width="23" customWidth="1" style="46" min="5" max="5"/>
    <col width="31" customWidth="1" style="46" min="6" max="6"/>
    <col width="27" customWidth="1" style="46" min="7" max="7"/>
    <col width="49" customWidth="1" style="46" min="8" max="8"/>
  </cols>
  <sheetData>
    <row r="1">
      <c r="A1" t="inlineStr">
        <is>
          <t>Role-weighted SCIP constraint: each broad actor_role has total mass 1</t>
        </is>
      </c>
    </row>
    <row r="3">
      <c r="A3" s="61" t="inlineStr">
        <is>
          <t>actor_role</t>
        </is>
      </c>
      <c r="B3" s="61" t="inlineStr">
        <is>
          <t>member_count</t>
        </is>
      </c>
      <c r="C3" s="61" t="inlineStr">
        <is>
          <t>role_share</t>
        </is>
      </c>
      <c r="D3" s="61" t="inlineStr">
        <is>
          <t>member_inverse_weight = 1/n_role</t>
        </is>
      </c>
      <c r="E3" s="61" t="inlineStr">
        <is>
          <t>role_total_mass_check</t>
        </is>
      </c>
      <c r="F3" s="61" t="inlineStr">
        <is>
          <t>score_multiplier_avg_n_over_n</t>
        </is>
      </c>
      <c r="G3" s="61" t="inlineStr">
        <is>
          <t>recommended_max_role_mass</t>
        </is>
      </c>
      <c r="H3" s="61" t="inlineStr">
        <is>
          <t>interpretation</t>
        </is>
      </c>
    </row>
    <row r="4">
      <c r="A4" t="inlineStr">
        <is>
          <t>profit_anchor</t>
        </is>
      </c>
      <c r="B4" t="n">
        <v>49</v>
      </c>
      <c r="C4" t="n">
        <v>0.4757281553398058</v>
      </c>
      <c r="D4" t="n">
        <v>0.02040816326530612</v>
      </c>
      <c r="E4" t="n">
        <v>1</v>
      </c>
      <c r="F4" t="n">
        <v>0.5255102040816326</v>
      </c>
      <c r="G4" t="n">
        <v>1</v>
      </c>
      <c r="H4" t="inlineStr">
        <is>
          <t>Each broad role receives total exposure mass 1.</t>
        </is>
      </c>
    </row>
    <row r="5">
      <c r="A5" t="inlineStr">
        <is>
          <t>context_actor</t>
        </is>
      </c>
      <c r="B5" t="n">
        <v>26</v>
      </c>
      <c r="C5" t="n">
        <v>0.2524271844660194</v>
      </c>
      <c r="D5" t="n">
        <v>0.03846153846153846</v>
      </c>
      <c r="E5" t="n">
        <v>1</v>
      </c>
      <c r="F5" t="n">
        <v>0.9903846153846154</v>
      </c>
      <c r="G5" t="n">
        <v>1</v>
      </c>
      <c r="H5" t="inlineStr">
        <is>
          <t>Each broad role receives total exposure mass 1.</t>
        </is>
      </c>
    </row>
    <row r="6">
      <c r="A6" t="inlineStr">
        <is>
          <t>academic_support</t>
        </is>
      </c>
      <c r="B6" t="n">
        <v>18</v>
      </c>
      <c r="C6" t="n">
        <v>0.1747572815533981</v>
      </c>
      <c r="D6" t="n">
        <v>0.05555555555555555</v>
      </c>
      <c r="E6" t="n">
        <v>1</v>
      </c>
      <c r="F6" t="n">
        <v>1.430555555555556</v>
      </c>
      <c r="G6" t="n">
        <v>1</v>
      </c>
      <c r="H6" t="inlineStr">
        <is>
          <t>Each broad role receives total exposure mass 1.</t>
        </is>
      </c>
    </row>
    <row r="7">
      <c r="A7" t="inlineStr">
        <is>
          <t>implementation_anchor</t>
        </is>
      </c>
      <c r="B7" t="n">
        <v>10</v>
      </c>
      <c r="C7" t="n">
        <v>0.0970873786407767</v>
      </c>
      <c r="D7" t="n">
        <v>0.1</v>
      </c>
      <c r="E7" t="n">
        <v>1</v>
      </c>
      <c r="F7" t="n">
        <v>2.575</v>
      </c>
      <c r="G7" t="n">
        <v>1</v>
      </c>
      <c r="H7" t="inlineStr">
        <is>
          <t>Each broad role receives total exposure mass 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6"/>
  <sheetViews>
    <sheetView workbookViewId="0">
      <pane ySplit="3" topLeftCell="A4" activePane="bottomLeft" state="frozen"/>
      <selection pane="bottomLeft" activeCell="A1" sqref="A1"/>
    </sheetView>
  </sheetViews>
  <sheetFormatPr baseColWidth="8" defaultRowHeight="15"/>
  <cols>
    <col width="52" customWidth="1" style="46" min="1" max="1"/>
    <col width="70" customWidth="1" style="46" min="2" max="2"/>
    <col width="23" customWidth="1" style="46" min="3" max="3"/>
    <col width="12" customWidth="1" style="46" min="4" max="4"/>
    <col width="23" customWidth="1" style="46" min="5" max="5"/>
    <col width="23" customWidth="1" style="46" min="6" max="6"/>
    <col width="20" customWidth="1" style="46" min="7" max="7"/>
  </cols>
  <sheetData>
    <row r="1">
      <c r="A1" t="inlineStr">
        <is>
          <t>Member-level broad role weights for SCIP balancing</t>
        </is>
      </c>
    </row>
    <row r="3">
      <c r="A3" s="61" t="inlineStr">
        <is>
          <t>member_id</t>
        </is>
      </c>
      <c r="B3" s="61" t="inlineStr">
        <is>
          <t>member_name</t>
        </is>
      </c>
      <c r="C3" s="61" t="inlineStr">
        <is>
          <t>actor_role</t>
        </is>
      </c>
      <c r="D3" s="61" t="inlineStr">
        <is>
          <t>role_count</t>
        </is>
      </c>
      <c r="E3" s="61" t="inlineStr">
        <is>
          <t>member_inverse_weight</t>
        </is>
      </c>
      <c r="F3" s="61" t="inlineStr">
        <is>
          <t>role_score_multiplier</t>
        </is>
      </c>
      <c r="G3" s="61" t="inlineStr">
        <is>
          <t>is_university_like</t>
        </is>
      </c>
    </row>
    <row r="4">
      <c r="A4" t="n">
        <v>1</v>
      </c>
      <c r="B4" t="inlineStr">
        <is>
          <t>1. FSV Mainz 05 e.V.</t>
        </is>
      </c>
      <c r="C4" t="inlineStr">
        <is>
          <t>context_actor</t>
        </is>
      </c>
      <c r="D4" t="n">
        <v>26</v>
      </c>
      <c r="E4" t="n">
        <v>0.03846153846153846</v>
      </c>
      <c r="F4" t="n">
        <v>0.9903846153846154</v>
      </c>
      <c r="G4" t="b">
        <v>0</v>
      </c>
    </row>
    <row r="5">
      <c r="A5" t="n">
        <v>2</v>
      </c>
      <c r="B5" t="inlineStr">
        <is>
          <t>AOK Rheinland-Pfalz/Saarland</t>
        </is>
      </c>
      <c r="C5" t="inlineStr">
        <is>
          <t>context_actor</t>
        </is>
      </c>
      <c r="D5" t="n">
        <v>26</v>
      </c>
      <c r="E5" t="n">
        <v>0.03846153846153846</v>
      </c>
      <c r="F5" t="n">
        <v>0.9903846153846154</v>
      </c>
      <c r="G5" t="b">
        <v>0</v>
      </c>
    </row>
    <row r="6">
      <c r="A6" t="n">
        <v>3</v>
      </c>
      <c r="B6" t="inlineStr">
        <is>
          <t>Architektenkammer Rheinland-Pfalz</t>
        </is>
      </c>
      <c r="C6" t="inlineStr">
        <is>
          <t>implementation_anchor</t>
        </is>
      </c>
      <c r="D6" t="n">
        <v>10</v>
      </c>
      <c r="E6" t="n">
        <v>0.1</v>
      </c>
      <c r="F6" t="n">
        <v>2.575</v>
      </c>
      <c r="G6" t="b">
        <v>0</v>
      </c>
    </row>
    <row r="7">
      <c r="A7" t="n">
        <v>4</v>
      </c>
      <c r="B7" t="inlineStr">
        <is>
          <t>Aturas GmbH</t>
        </is>
      </c>
      <c r="C7" t="inlineStr">
        <is>
          <t>profit_anchor</t>
        </is>
      </c>
      <c r="D7" t="n">
        <v>49</v>
      </c>
      <c r="E7" t="n">
        <v>0.02040816326530612</v>
      </c>
      <c r="F7" t="n">
        <v>0.5255102040816326</v>
      </c>
      <c r="G7" t="b">
        <v>0</v>
      </c>
    </row>
    <row r="8">
      <c r="A8" t="n">
        <v>5</v>
      </c>
      <c r="B8" t="inlineStr">
        <is>
          <t>Barmherzige Brüder Trier gGmbH</t>
        </is>
      </c>
      <c r="C8" t="inlineStr">
        <is>
          <t>context_actor</t>
        </is>
      </c>
      <c r="D8" t="n">
        <v>26</v>
      </c>
      <c r="E8" t="n">
        <v>0.03846153846153846</v>
      </c>
      <c r="F8" t="n">
        <v>0.9903846153846154</v>
      </c>
      <c r="G8" t="b">
        <v>0</v>
      </c>
    </row>
    <row r="9">
      <c r="A9" t="n">
        <v>6</v>
      </c>
      <c r="B9" t="inlineStr">
        <is>
          <t>BASF SE</t>
        </is>
      </c>
      <c r="C9" t="inlineStr">
        <is>
          <t>profit_anchor</t>
        </is>
      </c>
      <c r="D9" t="n">
        <v>49</v>
      </c>
      <c r="E9" t="n">
        <v>0.02040816326530612</v>
      </c>
      <c r="F9" t="n">
        <v>0.5255102040816326</v>
      </c>
      <c r="G9" t="b">
        <v>0</v>
      </c>
    </row>
    <row r="10">
      <c r="A10" t="n">
        <v>7</v>
      </c>
      <c r="B10" t="inlineStr">
        <is>
          <t>Bauern- und Winzerverband Rheinland-Pfalz Süd e.V.</t>
        </is>
      </c>
      <c r="C10" t="inlineStr">
        <is>
          <t>implementation_anchor</t>
        </is>
      </c>
      <c r="D10" t="n">
        <v>10</v>
      </c>
      <c r="E10" t="n">
        <v>0.1</v>
      </c>
      <c r="F10" t="n">
        <v>2.575</v>
      </c>
      <c r="G10" t="b">
        <v>0</v>
      </c>
    </row>
    <row r="11">
      <c r="A11" t="n">
        <v>8</v>
      </c>
      <c r="B11" t="inlineStr">
        <is>
          <t>Bauwirtschaft Rheinland-Pfalz e.V.</t>
        </is>
      </c>
      <c r="C11" t="inlineStr">
        <is>
          <t>context_actor</t>
        </is>
      </c>
      <c r="D11" t="n">
        <v>26</v>
      </c>
      <c r="E11" t="n">
        <v>0.03846153846153846</v>
      </c>
      <c r="F11" t="n">
        <v>0.9903846153846154</v>
      </c>
      <c r="G11" t="b">
        <v>0</v>
      </c>
    </row>
    <row r="12">
      <c r="A12" t="n">
        <v>9</v>
      </c>
      <c r="B12" t="inlineStr">
        <is>
          <t>Bernd Hummel Holding GmbH</t>
        </is>
      </c>
      <c r="C12" t="inlineStr">
        <is>
          <t>profit_anchor</t>
        </is>
      </c>
      <c r="D12" t="n">
        <v>49</v>
      </c>
      <c r="E12" t="n">
        <v>0.02040816326530612</v>
      </c>
      <c r="F12" t="n">
        <v>0.5255102040816326</v>
      </c>
      <c r="G12" t="b">
        <v>0</v>
      </c>
    </row>
    <row r="13">
      <c r="A13" t="n">
        <v>10</v>
      </c>
      <c r="B13" t="inlineStr">
        <is>
          <t>Bitburger Braugruppe GmbH</t>
        </is>
      </c>
      <c r="C13" t="inlineStr">
        <is>
          <t>profit_anchor</t>
        </is>
      </c>
      <c r="D13" t="n">
        <v>49</v>
      </c>
      <c r="E13" t="n">
        <v>0.02040816326530612</v>
      </c>
      <c r="F13" t="n">
        <v>0.5255102040816326</v>
      </c>
      <c r="G13" t="b">
        <v>0</v>
      </c>
    </row>
    <row r="14">
      <c r="A14" t="n">
        <v>11</v>
      </c>
      <c r="B14" t="inlineStr">
        <is>
          <t>Boehringer Ingelheim Pharma GmbH &amp; Co. KG</t>
        </is>
      </c>
      <c r="C14" t="inlineStr">
        <is>
          <t>profit_anchor</t>
        </is>
      </c>
      <c r="D14" t="n">
        <v>49</v>
      </c>
      <c r="E14" t="n">
        <v>0.02040816326530612</v>
      </c>
      <c r="F14" t="n">
        <v>0.5255102040816326</v>
      </c>
      <c r="G14" t="b">
        <v>0</v>
      </c>
    </row>
    <row r="15">
      <c r="A15" t="n">
        <v>12</v>
      </c>
      <c r="B15" t="inlineStr">
        <is>
          <t>BRICKMAKERS AG</t>
        </is>
      </c>
      <c r="C15" t="inlineStr">
        <is>
          <t>profit_anchor</t>
        </is>
      </c>
      <c r="D15" t="n">
        <v>49</v>
      </c>
      <c r="E15" t="n">
        <v>0.02040816326530612</v>
      </c>
      <c r="F15" t="n">
        <v>0.5255102040816326</v>
      </c>
      <c r="G15" t="b">
        <v>0</v>
      </c>
    </row>
    <row r="16">
      <c r="A16" t="n">
        <v>13</v>
      </c>
      <c r="B16" t="inlineStr">
        <is>
          <t>Bundesagentur für Arbeit, Regionaldirektion Rheinland-Pfalz-Saarland</t>
        </is>
      </c>
      <c r="C16" t="inlineStr">
        <is>
          <t>implementation_anchor</t>
        </is>
      </c>
      <c r="D16" t="n">
        <v>10</v>
      </c>
      <c r="E16" t="n">
        <v>0.1</v>
      </c>
      <c r="F16" t="n">
        <v>2.575</v>
      </c>
      <c r="G16" t="b">
        <v>0</v>
      </c>
    </row>
    <row r="17">
      <c r="A17" t="n">
        <v>14</v>
      </c>
      <c r="B17" t="inlineStr">
        <is>
          <t>Caritasverband für die Diözese Speyer e.V.</t>
        </is>
      </c>
      <c r="C17" t="inlineStr">
        <is>
          <t>implementation_anchor</t>
        </is>
      </c>
      <c r="D17" t="n">
        <v>10</v>
      </c>
      <c r="E17" t="n">
        <v>0.1</v>
      </c>
      <c r="F17" t="n">
        <v>2.575</v>
      </c>
      <c r="G17" t="b">
        <v>0</v>
      </c>
    </row>
    <row r="18">
      <c r="A18" t="n">
        <v>15</v>
      </c>
      <c r="B18" t="inlineStr">
        <is>
          <t>Continental Automotive Technologies GmbH, Safety and Motion (SAM), Standort Rheinböllen</t>
        </is>
      </c>
      <c r="C18" t="inlineStr">
        <is>
          <t>profit_anchor</t>
        </is>
      </c>
      <c r="D18" t="n">
        <v>49</v>
      </c>
      <c r="E18" t="n">
        <v>0.02040816326530612</v>
      </c>
      <c r="F18" t="n">
        <v>0.5255102040816326</v>
      </c>
      <c r="G18" t="b">
        <v>0</v>
      </c>
    </row>
    <row r="19">
      <c r="A19" t="n">
        <v>16</v>
      </c>
      <c r="B19" t="inlineStr">
        <is>
          <t>Debeka Versicherungsgruppe</t>
        </is>
      </c>
      <c r="C19" t="inlineStr">
        <is>
          <t>profit_anchor</t>
        </is>
      </c>
      <c r="D19" t="n">
        <v>49</v>
      </c>
      <c r="E19" t="n">
        <v>0.02040816326530612</v>
      </c>
      <c r="F19" t="n">
        <v>0.5255102040816326</v>
      </c>
      <c r="G19" t="b">
        <v>0</v>
      </c>
    </row>
    <row r="20">
      <c r="A20" t="n">
        <v>17</v>
      </c>
      <c r="B20" t="inlineStr">
        <is>
          <t>Deutsche Bundesbank, Hauptverwaltung in Rheinland-Pfalz und dem Saarland</t>
        </is>
      </c>
      <c r="C20" t="inlineStr">
        <is>
          <t>context_actor</t>
        </is>
      </c>
      <c r="D20" t="n">
        <v>26</v>
      </c>
      <c r="E20" t="n">
        <v>0.03846153846153846</v>
      </c>
      <c r="F20" t="n">
        <v>0.9903846153846154</v>
      </c>
      <c r="G20" t="b">
        <v>0</v>
      </c>
    </row>
    <row r="21">
      <c r="A21" t="n">
        <v>18</v>
      </c>
      <c r="B21" t="inlineStr">
        <is>
          <t>Deutsche Telekom AG</t>
        </is>
      </c>
      <c r="C21" t="inlineStr">
        <is>
          <t>profit_anchor</t>
        </is>
      </c>
      <c r="D21" t="n">
        <v>49</v>
      </c>
      <c r="E21" t="n">
        <v>0.02040816326530612</v>
      </c>
      <c r="F21" t="n">
        <v>0.5255102040816326</v>
      </c>
      <c r="G21" t="b">
        <v>0</v>
      </c>
    </row>
    <row r="22">
      <c r="A22" t="n">
        <v>19</v>
      </c>
      <c r="B22" t="inlineStr">
        <is>
          <t>Deutsche Universität für Verwaltungswissenschaften Speyer</t>
        </is>
      </c>
      <c r="C22" t="inlineStr">
        <is>
          <t>academic_support</t>
        </is>
      </c>
      <c r="D22" t="n">
        <v>18</v>
      </c>
      <c r="E22" t="n">
        <v>0.05555555555555555</v>
      </c>
      <c r="F22" t="n">
        <v>1.430555555555556</v>
      </c>
      <c r="G22" t="b">
        <v>1</v>
      </c>
    </row>
    <row r="23">
      <c r="A23" t="n">
        <v>20</v>
      </c>
      <c r="B23" t="inlineStr">
        <is>
          <t>Deutscher Gewerkschaftsbund (DGB) Rheinland-Pfalz/Saarland</t>
        </is>
      </c>
      <c r="C23" t="inlineStr">
        <is>
          <t>context_actor</t>
        </is>
      </c>
      <c r="D23" t="n">
        <v>26</v>
      </c>
      <c r="E23" t="n">
        <v>0.03846153846153846</v>
      </c>
      <c r="F23" t="n">
        <v>0.9903846153846154</v>
      </c>
      <c r="G23" t="b">
        <v>0</v>
      </c>
    </row>
    <row r="24">
      <c r="A24" t="n">
        <v>21</v>
      </c>
      <c r="B24" t="inlineStr">
        <is>
          <t>Duale Hochschule Rheinland-Pfalz</t>
        </is>
      </c>
      <c r="C24" t="inlineStr">
        <is>
          <t>academic_support</t>
        </is>
      </c>
      <c r="D24" t="n">
        <v>18</v>
      </c>
      <c r="E24" t="n">
        <v>0.05555555555555555</v>
      </c>
      <c r="F24" t="n">
        <v>1.430555555555556</v>
      </c>
      <c r="G24" t="b">
        <v>1</v>
      </c>
    </row>
    <row r="25">
      <c r="A25" t="n">
        <v>22</v>
      </c>
      <c r="B25" t="inlineStr">
        <is>
          <t>Eckes-Granini Deutschland GmbH</t>
        </is>
      </c>
      <c r="C25" t="inlineStr">
        <is>
          <t>profit_anchor</t>
        </is>
      </c>
      <c r="D25" t="n">
        <v>49</v>
      </c>
      <c r="E25" t="n">
        <v>0.02040816326530612</v>
      </c>
      <c r="F25" t="n">
        <v>0.5255102040816326</v>
      </c>
      <c r="G25" t="b">
        <v>0</v>
      </c>
    </row>
    <row r="26">
      <c r="A26" t="n">
        <v>23</v>
      </c>
      <c r="B26" t="inlineStr">
        <is>
          <t>Empolis Information Management GmbH</t>
        </is>
      </c>
      <c r="C26" t="inlineStr">
        <is>
          <t>profit_anchor</t>
        </is>
      </c>
      <c r="D26" t="n">
        <v>49</v>
      </c>
      <c r="E26" t="n">
        <v>0.02040816326530612</v>
      </c>
      <c r="F26" t="n">
        <v>0.5255102040816326</v>
      </c>
      <c r="G26" t="b">
        <v>0</v>
      </c>
    </row>
    <row r="27">
      <c r="A27" t="n">
        <v>24</v>
      </c>
      <c r="B27" t="inlineStr">
        <is>
          <t>ENTEGA Plus GmbH</t>
        </is>
      </c>
      <c r="C27" t="inlineStr">
        <is>
          <t>profit_anchor</t>
        </is>
      </c>
      <c r="D27" t="n">
        <v>49</v>
      </c>
      <c r="E27" t="n">
        <v>0.02040816326530612</v>
      </c>
      <c r="F27" t="n">
        <v>0.5255102040816326</v>
      </c>
      <c r="G27" t="b">
        <v>0</v>
      </c>
    </row>
    <row r="28">
      <c r="A28" t="n">
        <v>25</v>
      </c>
      <c r="B28" t="inlineStr">
        <is>
          <t>Entwicklungsagentur Rheinland-Pfalz e.V.</t>
        </is>
      </c>
      <c r="C28" t="inlineStr">
        <is>
          <t>implementation_anchor</t>
        </is>
      </c>
      <c r="D28" t="n">
        <v>10</v>
      </c>
      <c r="E28" t="n">
        <v>0.1</v>
      </c>
      <c r="F28" t="n">
        <v>2.575</v>
      </c>
      <c r="G28" t="b">
        <v>0</v>
      </c>
    </row>
    <row r="29">
      <c r="A29" t="n">
        <v>26</v>
      </c>
      <c r="B29" t="inlineStr">
        <is>
          <t>Ernst &amp; Young GmbH</t>
        </is>
      </c>
      <c r="C29" t="inlineStr">
        <is>
          <t>profit_anchor</t>
        </is>
      </c>
      <c r="D29" t="n">
        <v>49</v>
      </c>
      <c r="E29" t="n">
        <v>0.02040816326530612</v>
      </c>
      <c r="F29" t="n">
        <v>0.5255102040816326</v>
      </c>
      <c r="G29" t="b">
        <v>0</v>
      </c>
    </row>
    <row r="30">
      <c r="A30" t="n">
        <v>27</v>
      </c>
      <c r="B30" t="inlineStr">
        <is>
          <t>Erster FC Kaiserslautern GmbH &amp; Co. KGaA</t>
        </is>
      </c>
      <c r="C30" t="inlineStr">
        <is>
          <t>profit_anchor</t>
        </is>
      </c>
      <c r="D30" t="n">
        <v>49</v>
      </c>
      <c r="E30" t="n">
        <v>0.02040816326530612</v>
      </c>
      <c r="F30" t="n">
        <v>0.5255102040816326</v>
      </c>
      <c r="G30" t="b">
        <v>0</v>
      </c>
    </row>
    <row r="31">
      <c r="A31" t="n">
        <v>28</v>
      </c>
      <c r="B31" t="inlineStr">
        <is>
          <t>Evangelische Kirche der Pfalz</t>
        </is>
      </c>
      <c r="C31" t="inlineStr">
        <is>
          <t>context_actor</t>
        </is>
      </c>
      <c r="D31" t="n">
        <v>26</v>
      </c>
      <c r="E31" t="n">
        <v>0.03846153846153846</v>
      </c>
      <c r="F31" t="n">
        <v>0.9903846153846154</v>
      </c>
      <c r="G31" t="b">
        <v>0</v>
      </c>
    </row>
    <row r="32">
      <c r="A32" t="n">
        <v>29</v>
      </c>
      <c r="B32" t="inlineStr">
        <is>
          <t>Fachingen Heil- und Mineralbrunnen GmbH</t>
        </is>
      </c>
      <c r="C32" t="inlineStr">
        <is>
          <t>profit_anchor</t>
        </is>
      </c>
      <c r="D32" t="n">
        <v>49</v>
      </c>
      <c r="E32" t="n">
        <v>0.02040816326530612</v>
      </c>
      <c r="F32" t="n">
        <v>0.5255102040816326</v>
      </c>
      <c r="G32" t="b">
        <v>0</v>
      </c>
    </row>
    <row r="33">
      <c r="A33" t="n">
        <v>30</v>
      </c>
      <c r="B33" t="inlineStr">
        <is>
          <t>Gerolsteiner Brunnen GmbH &amp; Co. KG</t>
        </is>
      </c>
      <c r="C33" t="inlineStr">
        <is>
          <t>profit_anchor</t>
        </is>
      </c>
      <c r="D33" t="n">
        <v>49</v>
      </c>
      <c r="E33" t="n">
        <v>0.02040816326530612</v>
      </c>
      <c r="F33" t="n">
        <v>0.5255102040816326</v>
      </c>
      <c r="G33" t="b">
        <v>0</v>
      </c>
    </row>
    <row r="34">
      <c r="A34" t="n">
        <v>31</v>
      </c>
      <c r="B34" t="inlineStr">
        <is>
          <t>GLOBUS Markthallen Holding GmbH &amp; Co. KG</t>
        </is>
      </c>
      <c r="C34" t="inlineStr">
        <is>
          <t>profit_anchor</t>
        </is>
      </c>
      <c r="D34" t="n">
        <v>49</v>
      </c>
      <c r="E34" t="n">
        <v>0.02040816326530612</v>
      </c>
      <c r="F34" t="n">
        <v>0.5255102040816326</v>
      </c>
      <c r="G34" t="b">
        <v>0</v>
      </c>
    </row>
    <row r="35">
      <c r="A35" t="n">
        <v>32</v>
      </c>
      <c r="B35" t="inlineStr">
        <is>
          <t>Handwerkskammern Rheinland-Pfalz</t>
        </is>
      </c>
      <c r="C35" t="inlineStr">
        <is>
          <t>implementation_anchor</t>
        </is>
      </c>
      <c r="D35" t="n">
        <v>10</v>
      </c>
      <c r="E35" t="n">
        <v>0.1</v>
      </c>
      <c r="F35" t="n">
        <v>2.575</v>
      </c>
      <c r="G35" t="b">
        <v>0</v>
      </c>
    </row>
    <row r="36">
      <c r="A36" t="n">
        <v>33</v>
      </c>
      <c r="B36" t="inlineStr">
        <is>
          <t>Heberger Gruppe</t>
        </is>
      </c>
      <c r="C36" t="inlineStr">
        <is>
          <t>context_actor</t>
        </is>
      </c>
      <c r="D36" t="n">
        <v>26</v>
      </c>
      <c r="E36" t="n">
        <v>0.03846153846153846</v>
      </c>
      <c r="F36" t="n">
        <v>0.9903846153846154</v>
      </c>
      <c r="G36" t="b">
        <v>0</v>
      </c>
    </row>
    <row r="37">
      <c r="A37" t="n">
        <v>34</v>
      </c>
      <c r="B37" t="inlineStr">
        <is>
          <t>Hochschule für Gesellschaftsgestaltung (HfGG)</t>
        </is>
      </c>
      <c r="C37" t="inlineStr">
        <is>
          <t>academic_support</t>
        </is>
      </c>
      <c r="D37" t="n">
        <v>18</v>
      </c>
      <c r="E37" t="n">
        <v>0.05555555555555555</v>
      </c>
      <c r="F37" t="n">
        <v>1.430555555555556</v>
      </c>
      <c r="G37" t="b">
        <v>1</v>
      </c>
    </row>
    <row r="38">
      <c r="A38" t="n">
        <v>35</v>
      </c>
      <c r="B38" t="inlineStr">
        <is>
          <t>Hochschule für Musik Mainz</t>
        </is>
      </c>
      <c r="C38" t="inlineStr">
        <is>
          <t>academic_support</t>
        </is>
      </c>
      <c r="D38" t="n">
        <v>18</v>
      </c>
      <c r="E38" t="n">
        <v>0.05555555555555555</v>
      </c>
      <c r="F38" t="n">
        <v>1.430555555555556</v>
      </c>
      <c r="G38" t="b">
        <v>1</v>
      </c>
    </row>
    <row r="39">
      <c r="A39" t="n">
        <v>36</v>
      </c>
      <c r="B39" t="inlineStr">
        <is>
          <t>Hochschule für Wirtschaft und Gesellschaft Ludwigshafen</t>
        </is>
      </c>
      <c r="C39" t="inlineStr">
        <is>
          <t>academic_support</t>
        </is>
      </c>
      <c r="D39" t="n">
        <v>18</v>
      </c>
      <c r="E39" t="n">
        <v>0.05555555555555555</v>
      </c>
      <c r="F39" t="n">
        <v>1.430555555555556</v>
      </c>
      <c r="G39" t="b">
        <v>1</v>
      </c>
    </row>
    <row r="40">
      <c r="A40" t="n">
        <v>37</v>
      </c>
      <c r="B40" t="inlineStr">
        <is>
          <t>Hochschule Kaiserslautern</t>
        </is>
      </c>
      <c r="C40" t="inlineStr">
        <is>
          <t>academic_support</t>
        </is>
      </c>
      <c r="D40" t="n">
        <v>18</v>
      </c>
      <c r="E40" t="n">
        <v>0.05555555555555555</v>
      </c>
      <c r="F40" t="n">
        <v>1.430555555555556</v>
      </c>
      <c r="G40" t="b">
        <v>1</v>
      </c>
    </row>
    <row r="41">
      <c r="A41" t="n">
        <v>38</v>
      </c>
      <c r="B41" t="inlineStr">
        <is>
          <t>Hochschule Koblenz</t>
        </is>
      </c>
      <c r="C41" t="inlineStr">
        <is>
          <t>academic_support</t>
        </is>
      </c>
      <c r="D41" t="n">
        <v>18</v>
      </c>
      <c r="E41" t="n">
        <v>0.05555555555555555</v>
      </c>
      <c r="F41" t="n">
        <v>1.430555555555556</v>
      </c>
      <c r="G41" t="b">
        <v>1</v>
      </c>
    </row>
    <row r="42">
      <c r="A42" t="n">
        <v>39</v>
      </c>
      <c r="B42" t="inlineStr">
        <is>
          <t>Hochschule Mainz</t>
        </is>
      </c>
      <c r="C42" t="inlineStr">
        <is>
          <t>academic_support</t>
        </is>
      </c>
      <c r="D42" t="n">
        <v>18</v>
      </c>
      <c r="E42" t="n">
        <v>0.05555555555555555</v>
      </c>
      <c r="F42" t="n">
        <v>1.430555555555556</v>
      </c>
      <c r="G42" t="b">
        <v>1</v>
      </c>
    </row>
    <row r="43">
      <c r="A43" t="n">
        <v>40</v>
      </c>
      <c r="B43" t="inlineStr">
        <is>
          <t>Hochschule Trier</t>
        </is>
      </c>
      <c r="C43" t="inlineStr">
        <is>
          <t>academic_support</t>
        </is>
      </c>
      <c r="D43" t="n">
        <v>18</v>
      </c>
      <c r="E43" t="n">
        <v>0.05555555555555555</v>
      </c>
      <c r="F43" t="n">
        <v>1.430555555555556</v>
      </c>
      <c r="G43" t="b">
        <v>1</v>
      </c>
    </row>
    <row r="44">
      <c r="A44" t="n">
        <v>41</v>
      </c>
      <c r="B44" t="inlineStr">
        <is>
          <t>Hochschule Worms</t>
        </is>
      </c>
      <c r="C44" t="inlineStr">
        <is>
          <t>academic_support</t>
        </is>
      </c>
      <c r="D44" t="n">
        <v>18</v>
      </c>
      <c r="E44" t="n">
        <v>0.05555555555555555</v>
      </c>
      <c r="F44" t="n">
        <v>1.430555555555556</v>
      </c>
      <c r="G44" t="b">
        <v>1</v>
      </c>
    </row>
    <row r="45">
      <c r="A45" t="n">
        <v>42</v>
      </c>
      <c r="B45" t="inlineStr">
        <is>
          <t>IKK Südwest</t>
        </is>
      </c>
      <c r="C45" t="inlineStr">
        <is>
          <t>context_actor</t>
        </is>
      </c>
      <c r="D45" t="n">
        <v>26</v>
      </c>
      <c r="E45" t="n">
        <v>0.03846153846153846</v>
      </c>
      <c r="F45" t="n">
        <v>0.9903846153846154</v>
      </c>
      <c r="G45" t="b">
        <v>0</v>
      </c>
    </row>
    <row r="46">
      <c r="A46" t="n">
        <v>43</v>
      </c>
      <c r="B46" t="inlineStr">
        <is>
          <t>in.betrieb gGmbH</t>
        </is>
      </c>
      <c r="C46" t="inlineStr">
        <is>
          <t>context_actor</t>
        </is>
      </c>
      <c r="D46" t="n">
        <v>26</v>
      </c>
      <c r="E46" t="n">
        <v>0.03846153846153846</v>
      </c>
      <c r="F46" t="n">
        <v>0.9903846153846154</v>
      </c>
      <c r="G46" t="b">
        <v>0</v>
      </c>
    </row>
    <row r="47">
      <c r="A47" t="n">
        <v>44</v>
      </c>
      <c r="B47" t="inlineStr">
        <is>
          <t>Ingenieurkammer Rheinland-Pfalz</t>
        </is>
      </c>
      <c r="C47" t="inlineStr">
        <is>
          <t>implementation_anchor</t>
        </is>
      </c>
      <c r="D47" t="n">
        <v>10</v>
      </c>
      <c r="E47" t="n">
        <v>0.1</v>
      </c>
      <c r="F47" t="n">
        <v>2.575</v>
      </c>
      <c r="G47" t="b">
        <v>0</v>
      </c>
    </row>
    <row r="48">
      <c r="A48" t="n">
        <v>45</v>
      </c>
      <c r="B48" t="inlineStr">
        <is>
          <t>Investitions- und Strukturbank Rheinland-Pfalz (ISB)</t>
        </is>
      </c>
      <c r="C48" t="inlineStr">
        <is>
          <t>context_actor</t>
        </is>
      </c>
      <c r="D48" t="n">
        <v>26</v>
      </c>
      <c r="E48" t="n">
        <v>0.03846153846153846</v>
      </c>
      <c r="F48" t="n">
        <v>0.9903846153846154</v>
      </c>
      <c r="G48" t="b">
        <v>0</v>
      </c>
    </row>
    <row r="49">
      <c r="A49" t="n">
        <v>46</v>
      </c>
      <c r="B49" t="inlineStr">
        <is>
          <t>IQIB - Institut für qualifizierende Innovationsforschung und -beratung GmbH</t>
        </is>
      </c>
      <c r="C49" t="inlineStr">
        <is>
          <t>profit_anchor</t>
        </is>
      </c>
      <c r="D49" t="n">
        <v>49</v>
      </c>
      <c r="E49" t="n">
        <v>0.02040816326530612</v>
      </c>
      <c r="F49" t="n">
        <v>0.5255102040816326</v>
      </c>
      <c r="G49" t="b">
        <v>0</v>
      </c>
    </row>
    <row r="50">
      <c r="A50" t="n">
        <v>47</v>
      </c>
      <c r="B50" t="inlineStr">
        <is>
          <t>ITK Engineering GmbH</t>
        </is>
      </c>
      <c r="C50" t="inlineStr">
        <is>
          <t>profit_anchor</t>
        </is>
      </c>
      <c r="D50" t="n">
        <v>49</v>
      </c>
      <c r="E50" t="n">
        <v>0.02040816326530612</v>
      </c>
      <c r="F50" t="n">
        <v>0.5255102040816326</v>
      </c>
      <c r="G50" t="b">
        <v>0</v>
      </c>
    </row>
    <row r="51">
      <c r="A51" t="n">
        <v>48</v>
      </c>
      <c r="B51" t="inlineStr">
        <is>
          <t>JOBS FOR MOMS UG</t>
        </is>
      </c>
      <c r="C51" t="inlineStr">
        <is>
          <t>context_actor</t>
        </is>
      </c>
      <c r="D51" t="n">
        <v>26</v>
      </c>
      <c r="E51" t="n">
        <v>0.03846153846153846</v>
      </c>
      <c r="F51" t="n">
        <v>0.9903846153846154</v>
      </c>
      <c r="G51" t="b">
        <v>0</v>
      </c>
    </row>
    <row r="52">
      <c r="A52" t="n">
        <v>49</v>
      </c>
      <c r="B52" t="inlineStr">
        <is>
          <t>Johannes Gutenberg-Universität Mainz</t>
        </is>
      </c>
      <c r="C52" t="inlineStr">
        <is>
          <t>academic_support</t>
        </is>
      </c>
      <c r="D52" t="n">
        <v>18</v>
      </c>
      <c r="E52" t="n">
        <v>0.05555555555555555</v>
      </c>
      <c r="F52" t="n">
        <v>1.430555555555556</v>
      </c>
      <c r="G52" t="b">
        <v>1</v>
      </c>
    </row>
    <row r="53">
      <c r="A53" t="n">
        <v>50</v>
      </c>
      <c r="B53" t="inlineStr">
        <is>
          <t>Joseph Vögele AG</t>
        </is>
      </c>
      <c r="C53" t="inlineStr">
        <is>
          <t>profit_anchor</t>
        </is>
      </c>
      <c r="D53" t="n">
        <v>49</v>
      </c>
      <c r="E53" t="n">
        <v>0.02040816326530612</v>
      </c>
      <c r="F53" t="n">
        <v>0.5255102040816326</v>
      </c>
      <c r="G53" t="b">
        <v>0</v>
      </c>
    </row>
    <row r="54">
      <c r="A54" t="n">
        <v>51</v>
      </c>
      <c r="B54" t="inlineStr">
        <is>
          <t>JUWI GmbH</t>
        </is>
      </c>
      <c r="C54" t="inlineStr">
        <is>
          <t>profit_anchor</t>
        </is>
      </c>
      <c r="D54" t="n">
        <v>49</v>
      </c>
      <c r="E54" t="n">
        <v>0.02040816326530612</v>
      </c>
      <c r="F54" t="n">
        <v>0.5255102040816326</v>
      </c>
      <c r="G54" t="b">
        <v>0</v>
      </c>
    </row>
    <row r="55">
      <c r="A55" t="n">
        <v>52</v>
      </c>
      <c r="B55" t="inlineStr">
        <is>
          <t>Karl Gemünden GmbH &amp; Co. KG</t>
        </is>
      </c>
      <c r="C55" t="inlineStr">
        <is>
          <t>profit_anchor</t>
        </is>
      </c>
      <c r="D55" t="n">
        <v>49</v>
      </c>
      <c r="E55" t="n">
        <v>0.02040816326530612</v>
      </c>
      <c r="F55" t="n">
        <v>0.5255102040816326</v>
      </c>
      <c r="G55" t="b">
        <v>0</v>
      </c>
    </row>
    <row r="56">
      <c r="A56" t="n">
        <v>53</v>
      </c>
      <c r="B56" t="inlineStr">
        <is>
          <t>Kassenzahnärztliche Vereinigung Rheinland-Pfalz</t>
        </is>
      </c>
      <c r="C56" t="inlineStr">
        <is>
          <t>context_actor</t>
        </is>
      </c>
      <c r="D56" t="n">
        <v>26</v>
      </c>
      <c r="E56" t="n">
        <v>0.03846153846153846</v>
      </c>
      <c r="F56" t="n">
        <v>0.9903846153846154</v>
      </c>
      <c r="G56" t="b">
        <v>0</v>
      </c>
    </row>
    <row r="57">
      <c r="A57" t="n">
        <v>54</v>
      </c>
      <c r="B57" t="inlineStr">
        <is>
          <t>Kassenärztliche Vereinigung Rheinland-Pfalz</t>
        </is>
      </c>
      <c r="C57" t="inlineStr">
        <is>
          <t>context_actor</t>
        </is>
      </c>
      <c r="D57" t="n">
        <v>26</v>
      </c>
      <c r="E57" t="n">
        <v>0.03846153846153846</v>
      </c>
      <c r="F57" t="n">
        <v>0.9903846153846154</v>
      </c>
      <c r="G57" t="b">
        <v>0</v>
      </c>
    </row>
    <row r="58">
      <c r="A58" t="n">
        <v>55</v>
      </c>
      <c r="B58" t="inlineStr">
        <is>
          <t>Katholische Hochschule Mainz</t>
        </is>
      </c>
      <c r="C58" t="inlineStr">
        <is>
          <t>academic_support</t>
        </is>
      </c>
      <c r="D58" t="n">
        <v>18</v>
      </c>
      <c r="E58" t="n">
        <v>0.05555555555555555</v>
      </c>
      <c r="F58" t="n">
        <v>1.430555555555556</v>
      </c>
      <c r="G58" t="b">
        <v>1</v>
      </c>
    </row>
    <row r="59">
      <c r="A59" t="n">
        <v>56</v>
      </c>
      <c r="B59" t="inlineStr">
        <is>
          <t>KPMG AG Wirtschaftsprüfungsgesellschaft</t>
        </is>
      </c>
      <c r="C59" t="inlineStr">
        <is>
          <t>profit_anchor</t>
        </is>
      </c>
      <c r="D59" t="n">
        <v>49</v>
      </c>
      <c r="E59" t="n">
        <v>0.02040816326530612</v>
      </c>
      <c r="F59" t="n">
        <v>0.5255102040816326</v>
      </c>
      <c r="G59" t="b">
        <v>0</v>
      </c>
    </row>
    <row r="60">
      <c r="A60" t="n">
        <v>57</v>
      </c>
      <c r="B60" t="inlineStr">
        <is>
          <t>KSB AG</t>
        </is>
      </c>
      <c r="C60" t="inlineStr">
        <is>
          <t>profit_anchor</t>
        </is>
      </c>
      <c r="D60" t="n">
        <v>49</v>
      </c>
      <c r="E60" t="n">
        <v>0.02040816326530612</v>
      </c>
      <c r="F60" t="n">
        <v>0.5255102040816326</v>
      </c>
      <c r="G60" t="b">
        <v>0</v>
      </c>
    </row>
    <row r="61">
      <c r="A61" t="n">
        <v>58</v>
      </c>
      <c r="B61" t="inlineStr">
        <is>
          <t>KÜBLER GmbH</t>
        </is>
      </c>
      <c r="C61" t="inlineStr">
        <is>
          <t>profit_anchor</t>
        </is>
      </c>
      <c r="D61" t="n">
        <v>49</v>
      </c>
      <c r="E61" t="n">
        <v>0.02040816326530612</v>
      </c>
      <c r="F61" t="n">
        <v>0.5255102040816326</v>
      </c>
      <c r="G61" t="b">
        <v>0</v>
      </c>
    </row>
    <row r="62">
      <c r="A62" t="n">
        <v>59</v>
      </c>
      <c r="B62" t="inlineStr">
        <is>
          <t>L Q M Marktforschung GmbH</t>
        </is>
      </c>
      <c r="C62" t="inlineStr">
        <is>
          <t>profit_anchor</t>
        </is>
      </c>
      <c r="D62" t="n">
        <v>49</v>
      </c>
      <c r="E62" t="n">
        <v>0.02040816326530612</v>
      </c>
      <c r="F62" t="n">
        <v>0.5255102040816326</v>
      </c>
      <c r="G62" t="b">
        <v>0</v>
      </c>
    </row>
    <row r="63">
      <c r="A63" t="n">
        <v>60</v>
      </c>
      <c r="B63" t="inlineStr">
        <is>
          <t>Landesbank Baden-Württemberg (LBBW)</t>
        </is>
      </c>
      <c r="C63" t="inlineStr">
        <is>
          <t>profit_anchor</t>
        </is>
      </c>
      <c r="D63" t="n">
        <v>49</v>
      </c>
      <c r="E63" t="n">
        <v>0.02040816326530612</v>
      </c>
      <c r="F63" t="n">
        <v>0.5255102040816326</v>
      </c>
      <c r="G63" t="b">
        <v>0</v>
      </c>
    </row>
    <row r="64">
      <c r="A64" t="n">
        <v>61</v>
      </c>
      <c r="B64" t="inlineStr">
        <is>
          <t>LandesPsychotherapeutenKammer Rheinland-Pfalz</t>
        </is>
      </c>
      <c r="C64" t="inlineStr">
        <is>
          <t>implementation_anchor</t>
        </is>
      </c>
      <c r="D64" t="n">
        <v>10</v>
      </c>
      <c r="E64" t="n">
        <v>0.1</v>
      </c>
      <c r="F64" t="n">
        <v>2.575</v>
      </c>
      <c r="G64" t="b">
        <v>0</v>
      </c>
    </row>
    <row r="65">
      <c r="A65" t="n">
        <v>62</v>
      </c>
      <c r="B65" t="inlineStr">
        <is>
          <t>Landesärztekammer Rheinland-Pfalz</t>
        </is>
      </c>
      <c r="C65" t="inlineStr">
        <is>
          <t>implementation_anchor</t>
        </is>
      </c>
      <c r="D65" t="n">
        <v>10</v>
      </c>
      <c r="E65" t="n">
        <v>0.1</v>
      </c>
      <c r="F65" t="n">
        <v>2.575</v>
      </c>
      <c r="G65" t="b">
        <v>0</v>
      </c>
    </row>
    <row r="66">
      <c r="A66" t="n">
        <v>63</v>
      </c>
      <c r="B66" t="inlineStr">
        <is>
          <t>Landkreistag Rheinland-Pfalz</t>
        </is>
      </c>
      <c r="C66" t="inlineStr">
        <is>
          <t>context_actor</t>
        </is>
      </c>
      <c r="D66" t="n">
        <v>26</v>
      </c>
      <c r="E66" t="n">
        <v>0.03846153846153846</v>
      </c>
      <c r="F66" t="n">
        <v>0.9903846153846154</v>
      </c>
      <c r="G66" t="b">
        <v>0</v>
      </c>
    </row>
    <row r="67">
      <c r="A67" t="n">
        <v>64</v>
      </c>
      <c r="B67" t="inlineStr">
        <is>
          <t>Leonardo PersonalKonzept GmbH</t>
        </is>
      </c>
      <c r="C67" t="inlineStr">
        <is>
          <t>profit_anchor</t>
        </is>
      </c>
      <c r="D67" t="n">
        <v>49</v>
      </c>
      <c r="E67" t="n">
        <v>0.02040816326530612</v>
      </c>
      <c r="F67" t="n">
        <v>0.5255102040816326</v>
      </c>
      <c r="G67" t="b">
        <v>0</v>
      </c>
    </row>
    <row r="68">
      <c r="A68" t="n">
        <v>65</v>
      </c>
      <c r="B68" t="inlineStr">
        <is>
          <t>Licharz GmbH</t>
        </is>
      </c>
      <c r="C68" t="inlineStr">
        <is>
          <t>profit_anchor</t>
        </is>
      </c>
      <c r="D68" t="n">
        <v>49</v>
      </c>
      <c r="E68" t="n">
        <v>0.02040816326530612</v>
      </c>
      <c r="F68" t="n">
        <v>0.5255102040816326</v>
      </c>
      <c r="G68" t="b">
        <v>0</v>
      </c>
    </row>
    <row r="69">
      <c r="A69" t="n">
        <v>66</v>
      </c>
      <c r="B69" t="inlineStr">
        <is>
          <t>LOTTO Rheinland-Pfalz GmbH</t>
        </is>
      </c>
      <c r="C69" t="inlineStr">
        <is>
          <t>profit_anchor</t>
        </is>
      </c>
      <c r="D69" t="n">
        <v>49</v>
      </c>
      <c r="E69" t="n">
        <v>0.02040816326530612</v>
      </c>
      <c r="F69" t="n">
        <v>0.5255102040816326</v>
      </c>
      <c r="G69" t="b">
        <v>0</v>
      </c>
    </row>
    <row r="70">
      <c r="A70" t="n">
        <v>67</v>
      </c>
      <c r="B70" t="inlineStr">
        <is>
          <t>LÖWEN ENTERTAINMENT GmbH</t>
        </is>
      </c>
      <c r="C70" t="inlineStr">
        <is>
          <t>profit_anchor</t>
        </is>
      </c>
      <c r="D70" t="n">
        <v>49</v>
      </c>
      <c r="E70" t="n">
        <v>0.02040816326530612</v>
      </c>
      <c r="F70" t="n">
        <v>0.5255102040816326</v>
      </c>
      <c r="G70" t="b">
        <v>0</v>
      </c>
    </row>
    <row r="71">
      <c r="A71" t="n">
        <v>68</v>
      </c>
      <c r="B71" t="inlineStr">
        <is>
          <t>Mainzer Stadtwerke AG</t>
        </is>
      </c>
      <c r="C71" t="inlineStr">
        <is>
          <t>profit_anchor</t>
        </is>
      </c>
      <c r="D71" t="n">
        <v>49</v>
      </c>
      <c r="E71" t="n">
        <v>0.02040816326530612</v>
      </c>
      <c r="F71" t="n">
        <v>0.5255102040816326</v>
      </c>
      <c r="G71" t="b">
        <v>0</v>
      </c>
    </row>
    <row r="72">
      <c r="A72" t="n">
        <v>69</v>
      </c>
      <c r="B72" t="inlineStr">
        <is>
          <t>Michelin Reifenwerke AG &amp; Co. KGaA</t>
        </is>
      </c>
      <c r="C72" t="inlineStr">
        <is>
          <t>profit_anchor</t>
        </is>
      </c>
      <c r="D72" t="n">
        <v>49</v>
      </c>
      <c r="E72" t="n">
        <v>0.02040816326530612</v>
      </c>
      <c r="F72" t="n">
        <v>0.5255102040816326</v>
      </c>
      <c r="G72" t="b">
        <v>0</v>
      </c>
    </row>
    <row r="73">
      <c r="A73" t="n">
        <v>70</v>
      </c>
      <c r="B73" t="inlineStr">
        <is>
          <t>Ministerium für Wirtschaft, Verkehr, Landwirtschaft und Weinbau</t>
        </is>
      </c>
      <c r="C73" t="inlineStr">
        <is>
          <t>profit_anchor</t>
        </is>
      </c>
      <c r="D73" t="n">
        <v>49</v>
      </c>
      <c r="E73" t="n">
        <v>0.02040816326530612</v>
      </c>
      <c r="F73" t="n">
        <v>0.5255102040816326</v>
      </c>
      <c r="G73" t="b">
        <v>0</v>
      </c>
    </row>
    <row r="74">
      <c r="A74" t="n">
        <v>71</v>
      </c>
      <c r="B74" t="inlineStr">
        <is>
          <t>PFAFF Industriesysteme und Maschinen GmbH</t>
        </is>
      </c>
      <c r="C74" t="inlineStr">
        <is>
          <t>profit_anchor</t>
        </is>
      </c>
      <c r="D74" t="n">
        <v>49</v>
      </c>
      <c r="E74" t="n">
        <v>0.02040816326530612</v>
      </c>
      <c r="F74" t="n">
        <v>0.5255102040816326</v>
      </c>
      <c r="G74" t="b">
        <v>0</v>
      </c>
    </row>
    <row r="75">
      <c r="A75" t="n">
        <v>72</v>
      </c>
      <c r="B75" t="inlineStr">
        <is>
          <t>Pfalzwerke AG</t>
        </is>
      </c>
      <c r="C75" t="inlineStr">
        <is>
          <t>profit_anchor</t>
        </is>
      </c>
      <c r="D75" t="n">
        <v>49</v>
      </c>
      <c r="E75" t="n">
        <v>0.02040816326530612</v>
      </c>
      <c r="F75" t="n">
        <v>0.5255102040816326</v>
      </c>
      <c r="G75" t="b">
        <v>0</v>
      </c>
    </row>
    <row r="76">
      <c r="A76" t="n">
        <v>73</v>
      </c>
      <c r="B76" t="inlineStr">
        <is>
          <t>Provinzial Versicherung AG</t>
        </is>
      </c>
      <c r="C76" t="inlineStr">
        <is>
          <t>profit_anchor</t>
        </is>
      </c>
      <c r="D76" t="n">
        <v>49</v>
      </c>
      <c r="E76" t="n">
        <v>0.02040816326530612</v>
      </c>
      <c r="F76" t="n">
        <v>0.5255102040816326</v>
      </c>
      <c r="G76" t="b">
        <v>0</v>
      </c>
    </row>
    <row r="77">
      <c r="A77" t="n">
        <v>74</v>
      </c>
      <c r="B77" t="inlineStr">
        <is>
          <t>Rheinland-Pfälzische Technische Universität Kaiserslautern-Landau (RPTU)</t>
        </is>
      </c>
      <c r="C77" t="inlineStr">
        <is>
          <t>academic_support</t>
        </is>
      </c>
      <c r="D77" t="n">
        <v>18</v>
      </c>
      <c r="E77" t="n">
        <v>0.05555555555555555</v>
      </c>
      <c r="F77" t="n">
        <v>1.430555555555556</v>
      </c>
      <c r="G77" t="b">
        <v>1</v>
      </c>
    </row>
    <row r="78">
      <c r="A78" t="n">
        <v>75</v>
      </c>
      <c r="B78" t="inlineStr">
        <is>
          <t>robotspaceship</t>
        </is>
      </c>
      <c r="C78" t="inlineStr">
        <is>
          <t>context_actor</t>
        </is>
      </c>
      <c r="D78" t="n">
        <v>26</v>
      </c>
      <c r="E78" t="n">
        <v>0.03846153846153846</v>
      </c>
      <c r="F78" t="n">
        <v>0.9903846153846154</v>
      </c>
      <c r="G78" t="b">
        <v>0</v>
      </c>
    </row>
    <row r="79">
      <c r="A79" t="n">
        <v>76</v>
      </c>
      <c r="B79" t="inlineStr">
        <is>
          <t>RPR1.</t>
        </is>
      </c>
      <c r="C79" t="inlineStr">
        <is>
          <t>context_actor</t>
        </is>
      </c>
      <c r="D79" t="n">
        <v>26</v>
      </c>
      <c r="E79" t="n">
        <v>0.03846153846153846</v>
      </c>
      <c r="F79" t="n">
        <v>0.9903846153846154</v>
      </c>
      <c r="G79" t="b">
        <v>0</v>
      </c>
    </row>
    <row r="80">
      <c r="A80" t="n">
        <v>77</v>
      </c>
      <c r="B80" t="inlineStr">
        <is>
          <t>Schoenergie GmbH</t>
        </is>
      </c>
      <c r="C80" t="inlineStr">
        <is>
          <t>profit_anchor</t>
        </is>
      </c>
      <c r="D80" t="n">
        <v>49</v>
      </c>
      <c r="E80" t="n">
        <v>0.02040816326530612</v>
      </c>
      <c r="F80" t="n">
        <v>0.5255102040816326</v>
      </c>
      <c r="G80" t="b">
        <v>0</v>
      </c>
    </row>
    <row r="81">
      <c r="A81" t="n">
        <v>78</v>
      </c>
      <c r="B81" t="inlineStr">
        <is>
          <t>SCHOTT AG</t>
        </is>
      </c>
      <c r="C81" t="inlineStr">
        <is>
          <t>profit_anchor</t>
        </is>
      </c>
      <c r="D81" t="n">
        <v>49</v>
      </c>
      <c r="E81" t="n">
        <v>0.02040816326530612</v>
      </c>
      <c r="F81" t="n">
        <v>0.5255102040816326</v>
      </c>
      <c r="G81" t="b">
        <v>0</v>
      </c>
    </row>
    <row r="82">
      <c r="A82" t="n">
        <v>79</v>
      </c>
      <c r="B82" t="inlineStr">
        <is>
          <t>Schuler Service GmbH &amp; Co. KG</t>
        </is>
      </c>
      <c r="C82" t="inlineStr">
        <is>
          <t>profit_anchor</t>
        </is>
      </c>
      <c r="D82" t="n">
        <v>49</v>
      </c>
      <c r="E82" t="n">
        <v>0.02040816326530612</v>
      </c>
      <c r="F82" t="n">
        <v>0.5255102040816326</v>
      </c>
      <c r="G82" t="b">
        <v>0</v>
      </c>
    </row>
    <row r="83">
      <c r="A83" t="n">
        <v>80</v>
      </c>
      <c r="B83" t="inlineStr">
        <is>
          <t>SIMONA AG</t>
        </is>
      </c>
      <c r="C83" t="inlineStr">
        <is>
          <t>profit_anchor</t>
        </is>
      </c>
      <c r="D83" t="n">
        <v>49</v>
      </c>
      <c r="E83" t="n">
        <v>0.02040816326530612</v>
      </c>
      <c r="F83" t="n">
        <v>0.5255102040816326</v>
      </c>
      <c r="G83" t="b">
        <v>0</v>
      </c>
    </row>
    <row r="84">
      <c r="A84" t="n">
        <v>81</v>
      </c>
      <c r="B84" t="inlineStr">
        <is>
          <t>SmartFactory KL e.V.</t>
        </is>
      </c>
      <c r="C84" t="inlineStr">
        <is>
          <t>context_actor</t>
        </is>
      </c>
      <c r="D84" t="n">
        <v>26</v>
      </c>
      <c r="E84" t="n">
        <v>0.03846153846153846</v>
      </c>
      <c r="F84" t="n">
        <v>0.9903846153846154</v>
      </c>
      <c r="G84" t="b">
        <v>0</v>
      </c>
    </row>
    <row r="85">
      <c r="A85" t="n">
        <v>82</v>
      </c>
      <c r="B85" t="inlineStr">
        <is>
          <t>Sparkassenverband Rheinland-Pfalz</t>
        </is>
      </c>
      <c r="C85" t="inlineStr">
        <is>
          <t>profit_anchor</t>
        </is>
      </c>
      <c r="D85" t="n">
        <v>49</v>
      </c>
      <c r="E85" t="n">
        <v>0.02040816326530612</v>
      </c>
      <c r="F85" t="n">
        <v>0.5255102040816326</v>
      </c>
      <c r="G85" t="b">
        <v>0</v>
      </c>
    </row>
    <row r="86">
      <c r="A86" t="n">
        <v>83</v>
      </c>
      <c r="B86" t="inlineStr">
        <is>
          <t>Staatskanzlei des Landes Rheinland-Pfalz</t>
        </is>
      </c>
      <c r="C86" t="inlineStr">
        <is>
          <t>context_actor</t>
        </is>
      </c>
      <c r="D86" t="n">
        <v>26</v>
      </c>
      <c r="E86" t="n">
        <v>0.03846153846153846</v>
      </c>
      <c r="F86" t="n">
        <v>0.9903846153846154</v>
      </c>
      <c r="G86" t="b">
        <v>0</v>
      </c>
    </row>
    <row r="87">
      <c r="A87" t="n">
        <v>84</v>
      </c>
      <c r="B87" t="inlineStr">
        <is>
          <t>Steuerberaterkammer Rheinland-Pfalz</t>
        </is>
      </c>
      <c r="C87" t="inlineStr">
        <is>
          <t>implementation_anchor</t>
        </is>
      </c>
      <c r="D87" t="n">
        <v>10</v>
      </c>
      <c r="E87" t="n">
        <v>0.1</v>
      </c>
      <c r="F87" t="n">
        <v>2.575</v>
      </c>
      <c r="G87" t="b">
        <v>0</v>
      </c>
    </row>
    <row r="88">
      <c r="A88" t="n">
        <v>85</v>
      </c>
      <c r="B88" t="inlineStr">
        <is>
          <t>Städtetag Rheinland-Pfalz</t>
        </is>
      </c>
      <c r="C88" t="inlineStr">
        <is>
          <t>context_actor</t>
        </is>
      </c>
      <c r="D88" t="n">
        <v>26</v>
      </c>
      <c r="E88" t="n">
        <v>0.03846153846153846</v>
      </c>
      <c r="F88" t="n">
        <v>0.9903846153846154</v>
      </c>
      <c r="G88" t="b">
        <v>0</v>
      </c>
    </row>
    <row r="89">
      <c r="A89" t="n">
        <v>86</v>
      </c>
      <c r="B89" t="inlineStr">
        <is>
          <t>SWR – Südwestrundfunk</t>
        </is>
      </c>
      <c r="C89" t="inlineStr">
        <is>
          <t>context_actor</t>
        </is>
      </c>
      <c r="D89" t="n">
        <v>26</v>
      </c>
      <c r="E89" t="n">
        <v>0.03846153846153846</v>
      </c>
      <c r="F89" t="n">
        <v>0.9903846153846154</v>
      </c>
      <c r="G89" t="b">
        <v>0</v>
      </c>
    </row>
    <row r="90">
      <c r="A90" t="n">
        <v>87</v>
      </c>
      <c r="B90" t="inlineStr">
        <is>
          <t>Techniker Krankenkasse</t>
        </is>
      </c>
      <c r="C90" t="inlineStr">
        <is>
          <t>context_actor</t>
        </is>
      </c>
      <c r="D90" t="n">
        <v>26</v>
      </c>
      <c r="E90" t="n">
        <v>0.03846153846153846</v>
      </c>
      <c r="F90" t="n">
        <v>0.9903846153846154</v>
      </c>
      <c r="G90" t="b">
        <v>0</v>
      </c>
    </row>
    <row r="91">
      <c r="A91" t="n">
        <v>88</v>
      </c>
      <c r="B91" t="inlineStr">
        <is>
          <t>Technische Hochschule Bingen</t>
        </is>
      </c>
      <c r="C91" t="inlineStr">
        <is>
          <t>academic_support</t>
        </is>
      </c>
      <c r="D91" t="n">
        <v>18</v>
      </c>
      <c r="E91" t="n">
        <v>0.05555555555555555</v>
      </c>
      <c r="F91" t="n">
        <v>1.430555555555556</v>
      </c>
      <c r="G91" t="b">
        <v>1</v>
      </c>
    </row>
    <row r="92">
      <c r="A92" t="n">
        <v>89</v>
      </c>
      <c r="B92" t="inlineStr">
        <is>
          <t>thyssenkrupp Rasselstein GmbH</t>
        </is>
      </c>
      <c r="C92" t="inlineStr">
        <is>
          <t>profit_anchor</t>
        </is>
      </c>
      <c r="D92" t="n">
        <v>49</v>
      </c>
      <c r="E92" t="n">
        <v>0.02040816326530612</v>
      </c>
      <c r="F92" t="n">
        <v>0.5255102040816326</v>
      </c>
      <c r="G92" t="b">
        <v>0</v>
      </c>
    </row>
    <row r="93">
      <c r="A93" t="n">
        <v>90</v>
      </c>
      <c r="B93" t="inlineStr">
        <is>
          <t>Transdev GmbH</t>
        </is>
      </c>
      <c r="C93" t="inlineStr">
        <is>
          <t>profit_anchor</t>
        </is>
      </c>
      <c r="D93" t="n">
        <v>49</v>
      </c>
      <c r="E93" t="n">
        <v>0.02040816326530612</v>
      </c>
      <c r="F93" t="n">
        <v>0.5255102040816326</v>
      </c>
      <c r="G93" t="b">
        <v>0</v>
      </c>
    </row>
    <row r="94">
      <c r="A94" t="n">
        <v>91</v>
      </c>
      <c r="B94" t="inlineStr">
        <is>
          <t>TÜV Rheinland Berlin Brandenburg Pfalz e.V.</t>
        </is>
      </c>
      <c r="C94" t="inlineStr">
        <is>
          <t>context_actor</t>
        </is>
      </c>
      <c r="D94" t="n">
        <v>26</v>
      </c>
      <c r="E94" t="n">
        <v>0.03846153846153846</v>
      </c>
      <c r="F94" t="n">
        <v>0.9903846153846154</v>
      </c>
      <c r="G94" t="b">
        <v>0</v>
      </c>
    </row>
    <row r="95">
      <c r="A95" t="n">
        <v>92</v>
      </c>
      <c r="B95" t="inlineStr">
        <is>
          <t>Universität Koblenz</t>
        </is>
      </c>
      <c r="C95" t="inlineStr">
        <is>
          <t>academic_support</t>
        </is>
      </c>
      <c r="D95" t="n">
        <v>18</v>
      </c>
      <c r="E95" t="n">
        <v>0.05555555555555555</v>
      </c>
      <c r="F95" t="n">
        <v>1.430555555555556</v>
      </c>
      <c r="G95" t="b">
        <v>1</v>
      </c>
    </row>
    <row r="96">
      <c r="A96" t="n">
        <v>93</v>
      </c>
      <c r="B96" t="inlineStr">
        <is>
          <t>Universität Trier</t>
        </is>
      </c>
      <c r="C96" t="inlineStr">
        <is>
          <t>academic_support</t>
        </is>
      </c>
      <c r="D96" t="n">
        <v>18</v>
      </c>
      <c r="E96" t="n">
        <v>0.05555555555555555</v>
      </c>
      <c r="F96" t="n">
        <v>1.430555555555556</v>
      </c>
      <c r="G96" t="b">
        <v>1</v>
      </c>
    </row>
    <row r="97">
      <c r="A97" t="n">
        <v>94</v>
      </c>
      <c r="B97" t="inlineStr">
        <is>
          <t>Vereinigte VR Bank Kur- und Rheinpfalz eG</t>
        </is>
      </c>
      <c r="C97" t="inlineStr">
        <is>
          <t>profit_anchor</t>
        </is>
      </c>
      <c r="D97" t="n">
        <v>49</v>
      </c>
      <c r="E97" t="n">
        <v>0.02040816326530612</v>
      </c>
      <c r="F97" t="n">
        <v>0.5255102040816326</v>
      </c>
      <c r="G97" t="b">
        <v>0</v>
      </c>
    </row>
    <row r="98">
      <c r="A98" t="n">
        <v>95</v>
      </c>
      <c r="B98" t="inlineStr">
        <is>
          <t>vero – Verband der Bau- und Rohstoffindustrie</t>
        </is>
      </c>
      <c r="C98" t="inlineStr">
        <is>
          <t>profit_anchor</t>
        </is>
      </c>
      <c r="D98" t="n">
        <v>49</v>
      </c>
      <c r="E98" t="n">
        <v>0.02040816326530612</v>
      </c>
      <c r="F98" t="n">
        <v>0.5255102040816326</v>
      </c>
      <c r="G98" t="b">
        <v>0</v>
      </c>
    </row>
    <row r="99">
      <c r="A99" t="n">
        <v>96</v>
      </c>
      <c r="B99" t="inlineStr">
        <is>
          <t>Villa Musica Rheinland-Pfalz</t>
        </is>
      </c>
      <c r="C99" t="inlineStr">
        <is>
          <t>context_actor</t>
        </is>
      </c>
      <c r="D99" t="n">
        <v>26</v>
      </c>
      <c r="E99" t="n">
        <v>0.03846153846153846</v>
      </c>
      <c r="F99" t="n">
        <v>0.9903846153846154</v>
      </c>
      <c r="G99" t="b">
        <v>0</v>
      </c>
    </row>
    <row r="100">
      <c r="A100" t="n">
        <v>97</v>
      </c>
      <c r="B100" t="inlineStr">
        <is>
          <t>Vinzenz Pallotti University gGmbH</t>
        </is>
      </c>
      <c r="C100" t="inlineStr">
        <is>
          <t>academic_support</t>
        </is>
      </c>
      <c r="D100" t="n">
        <v>18</v>
      </c>
      <c r="E100" t="n">
        <v>0.05555555555555555</v>
      </c>
      <c r="F100" t="n">
        <v>1.430555555555556</v>
      </c>
      <c r="G100" t="b">
        <v>1</v>
      </c>
    </row>
    <row r="101">
      <c r="A101" t="n">
        <v>98</v>
      </c>
      <c r="B101" t="inlineStr">
        <is>
          <t>Westenergie AG</t>
        </is>
      </c>
      <c r="C101" t="inlineStr">
        <is>
          <t>profit_anchor</t>
        </is>
      </c>
      <c r="D101" t="n">
        <v>49</v>
      </c>
      <c r="E101" t="n">
        <v>0.02040816326530612</v>
      </c>
      <c r="F101" t="n">
        <v>0.5255102040816326</v>
      </c>
      <c r="G101" t="b">
        <v>0</v>
      </c>
    </row>
    <row r="102">
      <c r="A102" t="n">
        <v>99</v>
      </c>
      <c r="B102" t="inlineStr">
        <is>
          <t>WHU – Otto Beisheim School of Management</t>
        </is>
      </c>
      <c r="C102" t="inlineStr">
        <is>
          <t>academic_support</t>
        </is>
      </c>
      <c r="D102" t="n">
        <v>18</v>
      </c>
      <c r="E102" t="n">
        <v>0.05555555555555555</v>
      </c>
      <c r="F102" t="n">
        <v>1.430555555555556</v>
      </c>
      <c r="G102" t="b">
        <v>1</v>
      </c>
    </row>
    <row r="103">
      <c r="A103" t="n">
        <v>100</v>
      </c>
      <c r="B103" t="inlineStr">
        <is>
          <t>Wilhelm Faber GmbH</t>
        </is>
      </c>
      <c r="C103" t="inlineStr">
        <is>
          <t>profit_anchor</t>
        </is>
      </c>
      <c r="D103" t="n">
        <v>49</v>
      </c>
      <c r="E103" t="n">
        <v>0.02040816326530612</v>
      </c>
      <c r="F103" t="n">
        <v>0.5255102040816326</v>
      </c>
      <c r="G103" t="b">
        <v>0</v>
      </c>
    </row>
    <row r="104">
      <c r="A104" t="n">
        <v>101</v>
      </c>
      <c r="B104" t="inlineStr">
        <is>
          <t>Zahnen Technik GmbH</t>
        </is>
      </c>
      <c r="C104" t="inlineStr">
        <is>
          <t>profit_anchor</t>
        </is>
      </c>
      <c r="D104" t="n">
        <v>49</v>
      </c>
      <c r="E104" t="n">
        <v>0.02040816326530612</v>
      </c>
      <c r="F104" t="n">
        <v>0.5255102040816326</v>
      </c>
      <c r="G104" t="b">
        <v>0</v>
      </c>
    </row>
    <row r="105">
      <c r="A105" t="n">
        <v>102</v>
      </c>
      <c r="B105" t="inlineStr">
        <is>
          <t>ZDF – Zweites Deutsches Fernsehen</t>
        </is>
      </c>
      <c r="C105" t="inlineStr">
        <is>
          <t>context_actor</t>
        </is>
      </c>
      <c r="D105" t="n">
        <v>26</v>
      </c>
      <c r="E105" t="n">
        <v>0.03846153846153846</v>
      </c>
      <c r="F105" t="n">
        <v>0.9903846153846154</v>
      </c>
      <c r="G105" t="b">
        <v>0</v>
      </c>
    </row>
    <row r="106">
      <c r="A106" t="n">
        <v>103</v>
      </c>
      <c r="B106" t="inlineStr">
        <is>
          <t>Alexianer GmbH</t>
        </is>
      </c>
      <c r="C106" t="inlineStr">
        <is>
          <t>context_actor</t>
        </is>
      </c>
      <c r="D106" t="n">
        <v>26</v>
      </c>
      <c r="E106" t="n">
        <v>0.03846153846153846</v>
      </c>
      <c r="F106" t="n">
        <v>0.9903846153846154</v>
      </c>
      <c r="G106"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3" customWidth="1" style="46" min="1" max="1"/>
    <col width="14" customWidth="1" style="46" min="2" max="2"/>
    <col width="23" customWidth="1" style="46" min="3" max="3"/>
    <col width="30" customWidth="1" style="46" min="4" max="4"/>
    <col width="13" customWidth="1" style="46" min="5" max="5"/>
  </cols>
  <sheetData>
    <row r="1">
      <c r="A1" s="62" t="inlineStr">
        <is>
          <t>actor_subrole</t>
        </is>
      </c>
      <c r="B1" s="62" t="inlineStr">
        <is>
          <t>member_count</t>
        </is>
      </c>
      <c r="C1" s="62" t="inlineStr">
        <is>
          <t>member_inverse_weight</t>
        </is>
      </c>
      <c r="D1" s="62" t="inlineStr">
        <is>
          <t>recommended_max_subrole_mass</t>
        </is>
      </c>
      <c r="E1" s="62" t="inlineStr">
        <is>
          <t>description</t>
        </is>
      </c>
    </row>
    <row r="2">
      <c r="A2" t="inlineStr">
        <is>
          <t>agriculture_wine_anchor</t>
        </is>
      </c>
      <c r="B2" t="n">
        <v>1</v>
      </c>
      <c r="C2" t="n">
        <v>1</v>
      </c>
      <c r="D2" t="n">
        <v>1</v>
      </c>
      <c r="E2" t="inlineStr"/>
    </row>
    <row r="3">
      <c r="A3" t="inlineStr">
        <is>
          <t>bank_finance_anchor</t>
        </is>
      </c>
      <c r="B3" t="n">
        <v>7</v>
      </c>
      <c r="C3" t="n">
        <v>0.14285714</v>
      </c>
      <c r="D3" t="n">
        <v>1</v>
      </c>
      <c r="E3" t="inlineStr"/>
    </row>
    <row r="4">
      <c r="A4" t="inlineStr">
        <is>
          <t>chamber_association_anchor</t>
        </is>
      </c>
      <c r="B4" t="n">
        <v>4</v>
      </c>
      <c r="C4" t="n">
        <v>0.25</v>
      </c>
      <c r="D4" t="n">
        <v>1</v>
      </c>
      <c r="E4" t="inlineStr"/>
    </row>
    <row r="5">
      <c r="A5" t="inlineStr">
        <is>
          <t>construction_planning_anchor</t>
        </is>
      </c>
      <c r="B5" t="n">
        <v>8</v>
      </c>
      <c r="C5" t="n">
        <v>0.125</v>
      </c>
      <c r="D5" t="n">
        <v>1</v>
      </c>
      <c r="E5" t="inlineStr"/>
    </row>
    <row r="6">
      <c r="A6" t="inlineStr">
        <is>
          <t>culture_foundation_anchor</t>
        </is>
      </c>
      <c r="B6" t="n">
        <v>3</v>
      </c>
      <c r="C6" t="n">
        <v>0.33333333</v>
      </c>
      <c r="D6" t="n">
        <v>1</v>
      </c>
      <c r="E6" t="inlineStr"/>
    </row>
    <row r="7">
      <c r="A7" t="inlineStr">
        <is>
          <t>energy_infrastructure_anchor</t>
        </is>
      </c>
      <c r="B7" t="n">
        <v>9</v>
      </c>
      <c r="C7" t="n">
        <v>0.11111111</v>
      </c>
      <c r="D7" t="n">
        <v>1</v>
      </c>
      <c r="E7" t="inlineStr"/>
    </row>
    <row r="8">
      <c r="A8" t="inlineStr">
        <is>
          <t>food_beverage_consumer_anchor</t>
        </is>
      </c>
      <c r="B8" t="n">
        <v>5</v>
      </c>
      <c r="C8" t="n">
        <v>0.2</v>
      </c>
      <c r="D8" t="n">
        <v>1</v>
      </c>
      <c r="E8" t="inlineStr"/>
    </row>
    <row r="9">
      <c r="A9" t="inlineStr">
        <is>
          <t>health_social_anchor</t>
        </is>
      </c>
      <c r="B9" t="n">
        <v>12</v>
      </c>
      <c r="C9" t="n">
        <v>0.08333333</v>
      </c>
      <c r="D9" t="n">
        <v>1</v>
      </c>
      <c r="E9" t="inlineStr"/>
    </row>
    <row r="10">
      <c r="A10" t="inlineStr">
        <is>
          <t>industry_anchor</t>
        </is>
      </c>
      <c r="B10" t="n">
        <v>11</v>
      </c>
      <c r="C10" t="n">
        <v>0.09090909</v>
      </c>
      <c r="D10" t="n">
        <v>1</v>
      </c>
      <c r="E10" t="inlineStr"/>
    </row>
    <row r="11">
      <c r="A11" t="inlineStr">
        <is>
          <t>media_publicity_anchor</t>
        </is>
      </c>
      <c r="B11" t="n">
        <v>3</v>
      </c>
      <c r="C11" t="n">
        <v>0.33333333</v>
      </c>
      <c r="D11" t="n">
        <v>1</v>
      </c>
      <c r="E11" t="inlineStr"/>
    </row>
    <row r="12">
      <c r="A12" t="inlineStr">
        <is>
          <t>professional_services_anchor</t>
        </is>
      </c>
      <c r="B12" t="n">
        <v>5</v>
      </c>
      <c r="C12" t="n">
        <v>0.2</v>
      </c>
      <c r="D12" t="n">
        <v>1</v>
      </c>
      <c r="E12" t="inlineStr"/>
    </row>
    <row r="13">
      <c r="A13" t="inlineStr">
        <is>
          <t>public_policy_anchor</t>
        </is>
      </c>
      <c r="B13" t="n">
        <v>6</v>
      </c>
      <c r="C13" t="n">
        <v>0.16666667</v>
      </c>
      <c r="D13" t="n">
        <v>1</v>
      </c>
      <c r="E13" t="inlineStr"/>
    </row>
    <row r="14">
      <c r="A14" t="inlineStr">
        <is>
          <t>sports_regional_identity_anchor</t>
        </is>
      </c>
      <c r="B14" t="n">
        <v>2</v>
      </c>
      <c r="C14" t="n">
        <v>0.5</v>
      </c>
      <c r="D14" t="n">
        <v>1</v>
      </c>
      <c r="E14" t="inlineStr"/>
    </row>
    <row r="15">
      <c r="A15" t="inlineStr">
        <is>
          <t>technology_digital_anchor</t>
        </is>
      </c>
      <c r="B15" t="n">
        <v>9</v>
      </c>
      <c r="C15" t="n">
        <v>0.11111111</v>
      </c>
      <c r="D15" t="n">
        <v>1</v>
      </c>
      <c r="E15" t="inlineStr"/>
    </row>
    <row r="16">
      <c r="A16" t="inlineStr">
        <is>
          <t>university_applied_sciences</t>
        </is>
      </c>
      <c r="B16" t="n">
        <v>11</v>
      </c>
      <c r="C16" t="n">
        <v>0.09090909</v>
      </c>
      <c r="D16" t="n">
        <v>1</v>
      </c>
      <c r="E16" t="inlineStr"/>
    </row>
    <row r="17">
      <c r="A17" t="inlineStr">
        <is>
          <t>university_research</t>
        </is>
      </c>
      <c r="B17" t="n">
        <v>7</v>
      </c>
      <c r="C17" t="n">
        <v>0.14285714</v>
      </c>
      <c r="D17" t="n">
        <v>1</v>
      </c>
      <c r="E1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2" customWidth="1" style="46" min="1" max="1"/>
    <col width="60" customWidth="1" style="46" min="2" max="2"/>
    <col width="23" customWidth="1" style="46" min="3" max="3"/>
    <col width="33" customWidth="1" style="46" min="4" max="4"/>
    <col width="22" customWidth="1" style="46" min="5" max="5"/>
    <col width="16" customWidth="1" style="46" min="6" max="6"/>
    <col width="30" customWidth="1" style="46" min="7" max="7"/>
    <col width="25" customWidth="1" style="46" min="8" max="8"/>
    <col width="19" customWidth="1" style="46" min="9" max="9"/>
  </cols>
  <sheetData>
    <row r="1">
      <c r="A1" s="62" t="inlineStr">
        <is>
          <t>member_id</t>
        </is>
      </c>
      <c r="B1" s="62" t="inlineStr">
        <is>
          <t>member_name</t>
        </is>
      </c>
      <c r="C1" s="62" t="inlineStr">
        <is>
          <t>actor_role</t>
        </is>
      </c>
      <c r="D1" s="62" t="inlineStr">
        <is>
          <t>actor_subrole</t>
        </is>
      </c>
      <c r="E1" s="62" t="inlineStr">
        <is>
          <t>subrole_member_count</t>
        </is>
      </c>
      <c r="F1" s="62" t="inlineStr">
        <is>
          <t>subrole_weight</t>
        </is>
      </c>
      <c r="G1" s="62" t="inlineStr">
        <is>
          <t>recommended_max_subrole_mass</t>
        </is>
      </c>
      <c r="H1" s="62" t="inlineStr">
        <is>
          <t>macro_role_member_count</t>
        </is>
      </c>
      <c r="I1" s="62" t="inlineStr">
        <is>
          <t>macro_role_weight</t>
        </is>
      </c>
    </row>
    <row r="2">
      <c r="A2" t="n">
        <v>1</v>
      </c>
      <c r="B2" t="inlineStr">
        <is>
          <t>1. FSV Mainz 05 e.V.</t>
        </is>
      </c>
      <c r="C2" t="inlineStr">
        <is>
          <t>context_actor</t>
        </is>
      </c>
      <c r="D2" t="inlineStr">
        <is>
          <t>sports_regional_identity_anchor</t>
        </is>
      </c>
      <c r="E2" t="n">
        <v>2</v>
      </c>
      <c r="F2" t="n">
        <v>0.5</v>
      </c>
      <c r="G2" t="n">
        <v>1</v>
      </c>
      <c r="H2" t="n">
        <v>26</v>
      </c>
      <c r="I2" t="n">
        <v>0.03846154</v>
      </c>
    </row>
    <row r="3">
      <c r="A3" t="n">
        <v>103</v>
      </c>
      <c r="B3" t="inlineStr">
        <is>
          <t>Alexianer GmbH</t>
        </is>
      </c>
      <c r="C3" t="inlineStr">
        <is>
          <t>context_actor</t>
        </is>
      </c>
      <c r="D3" t="inlineStr">
        <is>
          <t>health_social_anchor</t>
        </is>
      </c>
      <c r="E3" t="n">
        <v>12</v>
      </c>
      <c r="F3" t="n">
        <v>0.08333333</v>
      </c>
      <c r="G3" t="n">
        <v>1</v>
      </c>
      <c r="H3" t="n">
        <v>26</v>
      </c>
      <c r="I3" t="n">
        <v>0.03846154</v>
      </c>
    </row>
    <row r="4">
      <c r="A4" t="n">
        <v>2</v>
      </c>
      <c r="B4" t="inlineStr">
        <is>
          <t>AOK Rheinland-Pfalz/Saarland</t>
        </is>
      </c>
      <c r="C4" t="inlineStr">
        <is>
          <t>context_actor</t>
        </is>
      </c>
      <c r="D4" t="inlineStr">
        <is>
          <t>health_social_anchor</t>
        </is>
      </c>
      <c r="E4" t="n">
        <v>12</v>
      </c>
      <c r="F4" t="n">
        <v>0.08333333</v>
      </c>
      <c r="G4" t="n">
        <v>1</v>
      </c>
      <c r="H4" t="n">
        <v>26</v>
      </c>
      <c r="I4" t="n">
        <v>0.03846154</v>
      </c>
    </row>
    <row r="5">
      <c r="A5" t="n">
        <v>3</v>
      </c>
      <c r="B5" t="inlineStr">
        <is>
          <t>Architektenkammer Rheinland-Pfalz</t>
        </is>
      </c>
      <c r="C5" t="inlineStr">
        <is>
          <t>implementation_anchor</t>
        </is>
      </c>
      <c r="D5" t="inlineStr">
        <is>
          <t>construction_planning_anchor</t>
        </is>
      </c>
      <c r="E5" t="n">
        <v>8</v>
      </c>
      <c r="F5" t="n">
        <v>0.125</v>
      </c>
      <c r="G5" t="n">
        <v>1</v>
      </c>
      <c r="H5" t="n">
        <v>10</v>
      </c>
      <c r="I5" t="n">
        <v>0.1</v>
      </c>
    </row>
    <row r="6">
      <c r="A6" t="n">
        <v>4</v>
      </c>
      <c r="B6" t="inlineStr">
        <is>
          <t>Aturas GmbH</t>
        </is>
      </c>
      <c r="C6" t="inlineStr">
        <is>
          <t>profit_anchor</t>
        </is>
      </c>
      <c r="D6" t="inlineStr">
        <is>
          <t>technology_digital_anchor</t>
        </is>
      </c>
      <c r="E6" t="n">
        <v>9</v>
      </c>
      <c r="F6" t="n">
        <v>0.11111111</v>
      </c>
      <c r="G6" t="n">
        <v>1</v>
      </c>
      <c r="H6" t="n">
        <v>49</v>
      </c>
      <c r="I6" t="n">
        <v>0.02040816</v>
      </c>
    </row>
    <row r="7">
      <c r="A7" t="n">
        <v>5</v>
      </c>
      <c r="B7" t="inlineStr">
        <is>
          <t>Barmherzige Brüder Trier gGmbH</t>
        </is>
      </c>
      <c r="C7" t="inlineStr">
        <is>
          <t>context_actor</t>
        </is>
      </c>
      <c r="D7" t="inlineStr">
        <is>
          <t>health_social_anchor</t>
        </is>
      </c>
      <c r="E7" t="n">
        <v>12</v>
      </c>
      <c r="F7" t="n">
        <v>0.08333333</v>
      </c>
      <c r="G7" t="n">
        <v>1</v>
      </c>
      <c r="H7" t="n">
        <v>26</v>
      </c>
      <c r="I7" t="n">
        <v>0.03846154</v>
      </c>
    </row>
    <row r="8">
      <c r="A8" t="n">
        <v>6</v>
      </c>
      <c r="B8" t="inlineStr">
        <is>
          <t>BASF SE</t>
        </is>
      </c>
      <c r="C8" t="inlineStr">
        <is>
          <t>profit_anchor</t>
        </is>
      </c>
      <c r="D8" t="inlineStr">
        <is>
          <t>industry_anchor</t>
        </is>
      </c>
      <c r="E8" t="n">
        <v>11</v>
      </c>
      <c r="F8" t="n">
        <v>0.09090909</v>
      </c>
      <c r="G8" t="n">
        <v>1</v>
      </c>
      <c r="H8" t="n">
        <v>49</v>
      </c>
      <c r="I8" t="n">
        <v>0.02040816</v>
      </c>
    </row>
    <row r="9">
      <c r="A9" t="n">
        <v>7</v>
      </c>
      <c r="B9" t="inlineStr">
        <is>
          <t>Bauern- und Winzerverband Rheinland-Pfalz Süd e.V.</t>
        </is>
      </c>
      <c r="C9" t="inlineStr">
        <is>
          <t>implementation_anchor</t>
        </is>
      </c>
      <c r="D9" t="inlineStr">
        <is>
          <t>agriculture_wine_anchor</t>
        </is>
      </c>
      <c r="E9" t="n">
        <v>1</v>
      </c>
      <c r="F9" t="n">
        <v>1</v>
      </c>
      <c r="G9" t="n">
        <v>1</v>
      </c>
      <c r="H9" t="n">
        <v>10</v>
      </c>
      <c r="I9" t="n">
        <v>0.1</v>
      </c>
    </row>
    <row r="10">
      <c r="A10" t="n">
        <v>8</v>
      </c>
      <c r="B10" t="inlineStr">
        <is>
          <t>Bauwirtschaft Rheinland-Pfalz e.V.</t>
        </is>
      </c>
      <c r="C10" t="inlineStr">
        <is>
          <t>context_actor</t>
        </is>
      </c>
      <c r="D10" t="inlineStr">
        <is>
          <t>construction_planning_anchor</t>
        </is>
      </c>
      <c r="E10" t="n">
        <v>8</v>
      </c>
      <c r="F10" t="n">
        <v>0.125</v>
      </c>
      <c r="G10" t="n">
        <v>1</v>
      </c>
      <c r="H10" t="n">
        <v>26</v>
      </c>
      <c r="I10" t="n">
        <v>0.03846154</v>
      </c>
    </row>
    <row r="11">
      <c r="A11" t="n">
        <v>9</v>
      </c>
      <c r="B11" t="inlineStr">
        <is>
          <t>Bernd Hummel Holding GmbH</t>
        </is>
      </c>
      <c r="C11" t="inlineStr">
        <is>
          <t>profit_anchor</t>
        </is>
      </c>
      <c r="D11" t="inlineStr">
        <is>
          <t>industry_anchor</t>
        </is>
      </c>
      <c r="E11" t="n">
        <v>11</v>
      </c>
      <c r="F11" t="n">
        <v>0.09090909</v>
      </c>
      <c r="G11" t="n">
        <v>1</v>
      </c>
      <c r="H11" t="n">
        <v>49</v>
      </c>
      <c r="I11" t="n">
        <v>0.02040816</v>
      </c>
    </row>
    <row r="12">
      <c r="A12" t="n">
        <v>10</v>
      </c>
      <c r="B12" t="inlineStr">
        <is>
          <t>Bitburger Braugruppe GmbH</t>
        </is>
      </c>
      <c r="C12" t="inlineStr">
        <is>
          <t>profit_anchor</t>
        </is>
      </c>
      <c r="D12" t="inlineStr">
        <is>
          <t>food_beverage_consumer_anchor</t>
        </is>
      </c>
      <c r="E12" t="n">
        <v>5</v>
      </c>
      <c r="F12" t="n">
        <v>0.2</v>
      </c>
      <c r="G12" t="n">
        <v>1</v>
      </c>
      <c r="H12" t="n">
        <v>49</v>
      </c>
      <c r="I12" t="n">
        <v>0.02040816</v>
      </c>
    </row>
    <row r="13">
      <c r="A13" t="n">
        <v>11</v>
      </c>
      <c r="B13" t="inlineStr">
        <is>
          <t>Boehringer Ingelheim Pharma GmbH &amp; Co. KG</t>
        </is>
      </c>
      <c r="C13" t="inlineStr">
        <is>
          <t>profit_anchor</t>
        </is>
      </c>
      <c r="D13" t="inlineStr">
        <is>
          <t>health_social_anchor</t>
        </is>
      </c>
      <c r="E13" t="n">
        <v>12</v>
      </c>
      <c r="F13" t="n">
        <v>0.08333333</v>
      </c>
      <c r="G13" t="n">
        <v>1</v>
      </c>
      <c r="H13" t="n">
        <v>49</v>
      </c>
      <c r="I13" t="n">
        <v>0.02040816</v>
      </c>
    </row>
    <row r="14">
      <c r="A14" t="n">
        <v>12</v>
      </c>
      <c r="B14" t="inlineStr">
        <is>
          <t>BRICKMAKERS AG</t>
        </is>
      </c>
      <c r="C14" t="inlineStr">
        <is>
          <t>profit_anchor</t>
        </is>
      </c>
      <c r="D14" t="inlineStr">
        <is>
          <t>technology_digital_anchor</t>
        </is>
      </c>
      <c r="E14" t="n">
        <v>9</v>
      </c>
      <c r="F14" t="n">
        <v>0.11111111</v>
      </c>
      <c r="G14" t="n">
        <v>1</v>
      </c>
      <c r="H14" t="n">
        <v>49</v>
      </c>
      <c r="I14" t="n">
        <v>0.02040816</v>
      </c>
    </row>
    <row r="15">
      <c r="A15" t="n">
        <v>13</v>
      </c>
      <c r="B15" t="inlineStr">
        <is>
          <t>Bundesagentur für Arbeit, Regionaldirektion Rheinland-Pfalz-Saarland</t>
        </is>
      </c>
      <c r="C15" t="inlineStr">
        <is>
          <t>implementation_anchor</t>
        </is>
      </c>
      <c r="D15" t="inlineStr">
        <is>
          <t>public_policy_anchor</t>
        </is>
      </c>
      <c r="E15" t="n">
        <v>6</v>
      </c>
      <c r="F15" t="n">
        <v>0.16666667</v>
      </c>
      <c r="G15" t="n">
        <v>1</v>
      </c>
      <c r="H15" t="n">
        <v>10</v>
      </c>
      <c r="I15" t="n">
        <v>0.1</v>
      </c>
    </row>
    <row r="16">
      <c r="A16" t="n">
        <v>14</v>
      </c>
      <c r="B16" t="inlineStr">
        <is>
          <t>Caritasverband für die Diözese Speyer e.V.</t>
        </is>
      </c>
      <c r="C16" t="inlineStr">
        <is>
          <t>implementation_anchor</t>
        </is>
      </c>
      <c r="D16" t="inlineStr">
        <is>
          <t>health_social_anchor</t>
        </is>
      </c>
      <c r="E16" t="n">
        <v>12</v>
      </c>
      <c r="F16" t="n">
        <v>0.08333333</v>
      </c>
      <c r="G16" t="n">
        <v>1</v>
      </c>
      <c r="H16" t="n">
        <v>10</v>
      </c>
      <c r="I16" t="n">
        <v>0.1</v>
      </c>
    </row>
    <row r="17">
      <c r="A17" t="n">
        <v>15</v>
      </c>
      <c r="B17" t="inlineStr">
        <is>
          <t>Continental Automotive Technologies GmbH, Safety and Motion (SAM), Standort Rheinböllen</t>
        </is>
      </c>
      <c r="C17" t="inlineStr">
        <is>
          <t>profit_anchor</t>
        </is>
      </c>
      <c r="D17" t="inlineStr">
        <is>
          <t>industry_anchor</t>
        </is>
      </c>
      <c r="E17" t="n">
        <v>11</v>
      </c>
      <c r="F17" t="n">
        <v>0.09090909</v>
      </c>
      <c r="G17" t="n">
        <v>1</v>
      </c>
      <c r="H17" t="n">
        <v>49</v>
      </c>
      <c r="I17" t="n">
        <v>0.02040816</v>
      </c>
    </row>
    <row r="18">
      <c r="A18" t="n">
        <v>16</v>
      </c>
      <c r="B18" t="inlineStr">
        <is>
          <t>Debeka Versicherungsgruppe</t>
        </is>
      </c>
      <c r="C18" t="inlineStr">
        <is>
          <t>profit_anchor</t>
        </is>
      </c>
      <c r="D18" t="inlineStr">
        <is>
          <t>bank_finance_anchor</t>
        </is>
      </c>
      <c r="E18" t="n">
        <v>7</v>
      </c>
      <c r="F18" t="n">
        <v>0.14285714</v>
      </c>
      <c r="G18" t="n">
        <v>1</v>
      </c>
      <c r="H18" t="n">
        <v>49</v>
      </c>
      <c r="I18" t="n">
        <v>0.02040816</v>
      </c>
    </row>
    <row r="19">
      <c r="A19" t="n">
        <v>17</v>
      </c>
      <c r="B19" t="inlineStr">
        <is>
          <t>Deutsche Bundesbank, Hauptverwaltung in Rheinland-Pfalz und dem Saarland</t>
        </is>
      </c>
      <c r="C19" t="inlineStr">
        <is>
          <t>context_actor</t>
        </is>
      </c>
      <c r="D19" t="inlineStr">
        <is>
          <t>bank_finance_anchor</t>
        </is>
      </c>
      <c r="E19" t="n">
        <v>7</v>
      </c>
      <c r="F19" t="n">
        <v>0.14285714</v>
      </c>
      <c r="G19" t="n">
        <v>1</v>
      </c>
      <c r="H19" t="n">
        <v>26</v>
      </c>
      <c r="I19" t="n">
        <v>0.03846154</v>
      </c>
    </row>
    <row r="20">
      <c r="A20" t="n">
        <v>18</v>
      </c>
      <c r="B20" t="inlineStr">
        <is>
          <t>Deutsche Telekom AG</t>
        </is>
      </c>
      <c r="C20" t="inlineStr">
        <is>
          <t>profit_anchor</t>
        </is>
      </c>
      <c r="D20" t="inlineStr">
        <is>
          <t>technology_digital_anchor</t>
        </is>
      </c>
      <c r="E20" t="n">
        <v>9</v>
      </c>
      <c r="F20" t="n">
        <v>0.11111111</v>
      </c>
      <c r="G20" t="n">
        <v>1</v>
      </c>
      <c r="H20" t="n">
        <v>49</v>
      </c>
      <c r="I20" t="n">
        <v>0.02040816</v>
      </c>
    </row>
    <row r="21">
      <c r="A21" t="n">
        <v>19</v>
      </c>
      <c r="B21" t="inlineStr">
        <is>
          <t>Deutsche Universität für Verwaltungswissenschaften Speyer</t>
        </is>
      </c>
      <c r="C21" t="inlineStr">
        <is>
          <t>academic_support</t>
        </is>
      </c>
      <c r="D21" t="inlineStr">
        <is>
          <t>university_research</t>
        </is>
      </c>
      <c r="E21" t="n">
        <v>7</v>
      </c>
      <c r="F21" t="n">
        <v>0.14285714</v>
      </c>
      <c r="G21" t="n">
        <v>1</v>
      </c>
      <c r="H21" t="n">
        <v>18</v>
      </c>
      <c r="I21" t="n">
        <v>0.05555556</v>
      </c>
    </row>
    <row r="22">
      <c r="A22" t="n">
        <v>20</v>
      </c>
      <c r="B22" t="inlineStr">
        <is>
          <t>Deutscher Gewerkschaftsbund (DGB) Rheinland-Pfalz/Saarland</t>
        </is>
      </c>
      <c r="C22" t="inlineStr">
        <is>
          <t>context_actor</t>
        </is>
      </c>
      <c r="D22" t="inlineStr">
        <is>
          <t>chamber_association_anchor</t>
        </is>
      </c>
      <c r="E22" t="n">
        <v>4</v>
      </c>
      <c r="F22" t="n">
        <v>0.25</v>
      </c>
      <c r="G22" t="n">
        <v>1</v>
      </c>
      <c r="H22" t="n">
        <v>26</v>
      </c>
      <c r="I22" t="n">
        <v>0.03846154</v>
      </c>
    </row>
    <row r="23">
      <c r="A23" t="n">
        <v>21</v>
      </c>
      <c r="B23" t="inlineStr">
        <is>
          <t>Duale Hochschule Rheinland-Pfalz</t>
        </is>
      </c>
      <c r="C23" t="inlineStr">
        <is>
          <t>academic_support</t>
        </is>
      </c>
      <c r="D23" t="inlineStr">
        <is>
          <t>university_applied_sciences</t>
        </is>
      </c>
      <c r="E23" t="n">
        <v>11</v>
      </c>
      <c r="F23" t="n">
        <v>0.09090909</v>
      </c>
      <c r="G23" t="n">
        <v>1</v>
      </c>
      <c r="H23" t="n">
        <v>18</v>
      </c>
      <c r="I23" t="n">
        <v>0.05555556</v>
      </c>
    </row>
    <row r="24">
      <c r="A24" t="n">
        <v>22</v>
      </c>
      <c r="B24" t="inlineStr">
        <is>
          <t>Eckes-Granini Deutschland GmbH</t>
        </is>
      </c>
      <c r="C24" t="inlineStr">
        <is>
          <t>profit_anchor</t>
        </is>
      </c>
      <c r="D24" t="inlineStr">
        <is>
          <t>food_beverage_consumer_anchor</t>
        </is>
      </c>
      <c r="E24" t="n">
        <v>5</v>
      </c>
      <c r="F24" t="n">
        <v>0.2</v>
      </c>
      <c r="G24" t="n">
        <v>1</v>
      </c>
      <c r="H24" t="n">
        <v>49</v>
      </c>
      <c r="I24" t="n">
        <v>0.02040816</v>
      </c>
    </row>
    <row r="25">
      <c r="A25" t="n">
        <v>23</v>
      </c>
      <c r="B25" t="inlineStr">
        <is>
          <t>Empolis Information Management GmbH</t>
        </is>
      </c>
      <c r="C25" t="inlineStr">
        <is>
          <t>profit_anchor</t>
        </is>
      </c>
      <c r="D25" t="inlineStr">
        <is>
          <t>technology_digital_anchor</t>
        </is>
      </c>
      <c r="E25" t="n">
        <v>9</v>
      </c>
      <c r="F25" t="n">
        <v>0.11111111</v>
      </c>
      <c r="G25" t="n">
        <v>1</v>
      </c>
      <c r="H25" t="n">
        <v>49</v>
      </c>
      <c r="I25" t="n">
        <v>0.02040816</v>
      </c>
    </row>
    <row r="26">
      <c r="A26" t="n">
        <v>24</v>
      </c>
      <c r="B26" t="inlineStr">
        <is>
          <t>ENTEGA Plus GmbH</t>
        </is>
      </c>
      <c r="C26" t="inlineStr">
        <is>
          <t>profit_anchor</t>
        </is>
      </c>
      <c r="D26" t="inlineStr">
        <is>
          <t>energy_infrastructure_anchor</t>
        </is>
      </c>
      <c r="E26" t="n">
        <v>9</v>
      </c>
      <c r="F26" t="n">
        <v>0.11111111</v>
      </c>
      <c r="G26" t="n">
        <v>1</v>
      </c>
      <c r="H26" t="n">
        <v>49</v>
      </c>
      <c r="I26" t="n">
        <v>0.02040816</v>
      </c>
    </row>
    <row r="27">
      <c r="A27" t="n">
        <v>25</v>
      </c>
      <c r="B27" t="inlineStr">
        <is>
          <t>Entwicklungsagentur Rheinland-Pfalz e.V.</t>
        </is>
      </c>
      <c r="C27" t="inlineStr">
        <is>
          <t>implementation_anchor</t>
        </is>
      </c>
      <c r="D27" t="inlineStr">
        <is>
          <t>public_policy_anchor</t>
        </is>
      </c>
      <c r="E27" t="n">
        <v>6</v>
      </c>
      <c r="F27" t="n">
        <v>0.16666667</v>
      </c>
      <c r="G27" t="n">
        <v>1</v>
      </c>
      <c r="H27" t="n">
        <v>10</v>
      </c>
      <c r="I27" t="n">
        <v>0.1</v>
      </c>
    </row>
    <row r="28">
      <c r="A28" t="n">
        <v>26</v>
      </c>
      <c r="B28" t="inlineStr">
        <is>
          <t>Ernst &amp; Young GmbH</t>
        </is>
      </c>
      <c r="C28" t="inlineStr">
        <is>
          <t>profit_anchor</t>
        </is>
      </c>
      <c r="D28" t="inlineStr">
        <is>
          <t>professional_services_anchor</t>
        </is>
      </c>
      <c r="E28" t="n">
        <v>5</v>
      </c>
      <c r="F28" t="n">
        <v>0.2</v>
      </c>
      <c r="G28" t="n">
        <v>1</v>
      </c>
      <c r="H28" t="n">
        <v>49</v>
      </c>
      <c r="I28" t="n">
        <v>0.02040816</v>
      </c>
    </row>
    <row r="29">
      <c r="A29" t="n">
        <v>27</v>
      </c>
      <c r="B29" t="inlineStr">
        <is>
          <t>Erster FC Kaiserslautern GmbH &amp; Co. KGaA</t>
        </is>
      </c>
      <c r="C29" t="inlineStr">
        <is>
          <t>profit_anchor</t>
        </is>
      </c>
      <c r="D29" t="inlineStr">
        <is>
          <t>sports_regional_identity_anchor</t>
        </is>
      </c>
      <c r="E29" t="n">
        <v>2</v>
      </c>
      <c r="F29" t="n">
        <v>0.5</v>
      </c>
      <c r="G29" t="n">
        <v>1</v>
      </c>
      <c r="H29" t="n">
        <v>49</v>
      </c>
      <c r="I29" t="n">
        <v>0.02040816</v>
      </c>
    </row>
    <row r="30">
      <c r="A30" t="n">
        <v>28</v>
      </c>
      <c r="B30" t="inlineStr">
        <is>
          <t>Evangelische Kirche der Pfalz</t>
        </is>
      </c>
      <c r="C30" t="inlineStr">
        <is>
          <t>context_actor</t>
        </is>
      </c>
      <c r="D30" t="inlineStr">
        <is>
          <t>culture_foundation_anchor</t>
        </is>
      </c>
      <c r="E30" t="n">
        <v>3</v>
      </c>
      <c r="F30" t="n">
        <v>0.33333333</v>
      </c>
      <c r="G30" t="n">
        <v>1</v>
      </c>
      <c r="H30" t="n">
        <v>26</v>
      </c>
      <c r="I30" t="n">
        <v>0.03846154</v>
      </c>
    </row>
    <row r="31">
      <c r="A31" t="n">
        <v>29</v>
      </c>
      <c r="B31" t="inlineStr">
        <is>
          <t>Fachingen Heil- und Mineralbrunnen GmbH</t>
        </is>
      </c>
      <c r="C31" t="inlineStr">
        <is>
          <t>profit_anchor</t>
        </is>
      </c>
      <c r="D31" t="inlineStr">
        <is>
          <t>food_beverage_consumer_anchor</t>
        </is>
      </c>
      <c r="E31" t="n">
        <v>5</v>
      </c>
      <c r="F31" t="n">
        <v>0.2</v>
      </c>
      <c r="G31" t="n">
        <v>1</v>
      </c>
      <c r="H31" t="n">
        <v>49</v>
      </c>
      <c r="I31" t="n">
        <v>0.02040816</v>
      </c>
    </row>
    <row r="32">
      <c r="A32" t="n">
        <v>30</v>
      </c>
      <c r="B32" t="inlineStr">
        <is>
          <t>Gerolsteiner Brunnen GmbH &amp; Co. KG</t>
        </is>
      </c>
      <c r="C32" t="inlineStr">
        <is>
          <t>profit_anchor</t>
        </is>
      </c>
      <c r="D32" t="inlineStr">
        <is>
          <t>food_beverage_consumer_anchor</t>
        </is>
      </c>
      <c r="E32" t="n">
        <v>5</v>
      </c>
      <c r="F32" t="n">
        <v>0.2</v>
      </c>
      <c r="G32" t="n">
        <v>1</v>
      </c>
      <c r="H32" t="n">
        <v>49</v>
      </c>
      <c r="I32" t="n">
        <v>0.02040816</v>
      </c>
    </row>
    <row r="33">
      <c r="A33" t="n">
        <v>31</v>
      </c>
      <c r="B33" t="inlineStr">
        <is>
          <t>GLOBUS Markthallen Holding GmbH &amp; Co. KG</t>
        </is>
      </c>
      <c r="C33" t="inlineStr">
        <is>
          <t>profit_anchor</t>
        </is>
      </c>
      <c r="D33" t="inlineStr">
        <is>
          <t>food_beverage_consumer_anchor</t>
        </is>
      </c>
      <c r="E33" t="n">
        <v>5</v>
      </c>
      <c r="F33" t="n">
        <v>0.2</v>
      </c>
      <c r="G33" t="n">
        <v>1</v>
      </c>
      <c r="H33" t="n">
        <v>49</v>
      </c>
      <c r="I33" t="n">
        <v>0.02040816</v>
      </c>
    </row>
    <row r="34">
      <c r="A34" t="n">
        <v>32</v>
      </c>
      <c r="B34" t="inlineStr">
        <is>
          <t>Handwerkskammern Rheinland-Pfalz</t>
        </is>
      </c>
      <c r="C34" t="inlineStr">
        <is>
          <t>implementation_anchor</t>
        </is>
      </c>
      <c r="D34" t="inlineStr">
        <is>
          <t>chamber_association_anchor</t>
        </is>
      </c>
      <c r="E34" t="n">
        <v>4</v>
      </c>
      <c r="F34" t="n">
        <v>0.25</v>
      </c>
      <c r="G34" t="n">
        <v>1</v>
      </c>
      <c r="H34" t="n">
        <v>10</v>
      </c>
      <c r="I34" t="n">
        <v>0.1</v>
      </c>
    </row>
    <row r="35">
      <c r="A35" t="n">
        <v>33</v>
      </c>
      <c r="B35" t="inlineStr">
        <is>
          <t>Heberger Gruppe</t>
        </is>
      </c>
      <c r="C35" t="inlineStr">
        <is>
          <t>context_actor</t>
        </is>
      </c>
      <c r="D35" t="inlineStr">
        <is>
          <t>construction_planning_anchor</t>
        </is>
      </c>
      <c r="E35" t="n">
        <v>8</v>
      </c>
      <c r="F35" t="n">
        <v>0.125</v>
      </c>
      <c r="G35" t="n">
        <v>1</v>
      </c>
      <c r="H35" t="n">
        <v>26</v>
      </c>
      <c r="I35" t="n">
        <v>0.03846154</v>
      </c>
    </row>
    <row r="36">
      <c r="A36" t="n">
        <v>34</v>
      </c>
      <c r="B36" t="inlineStr">
        <is>
          <t>Hochschule für Gesellschaftsgestaltung (HfGG)</t>
        </is>
      </c>
      <c r="C36" t="inlineStr">
        <is>
          <t>academic_support</t>
        </is>
      </c>
      <c r="D36" t="inlineStr">
        <is>
          <t>university_applied_sciences</t>
        </is>
      </c>
      <c r="E36" t="n">
        <v>11</v>
      </c>
      <c r="F36" t="n">
        <v>0.09090909</v>
      </c>
      <c r="G36" t="n">
        <v>1</v>
      </c>
      <c r="H36" t="n">
        <v>18</v>
      </c>
      <c r="I36" t="n">
        <v>0.05555556</v>
      </c>
    </row>
    <row r="37">
      <c r="A37" t="n">
        <v>35</v>
      </c>
      <c r="B37" t="inlineStr">
        <is>
          <t>Hochschule für Musik Mainz</t>
        </is>
      </c>
      <c r="C37" t="inlineStr">
        <is>
          <t>academic_support</t>
        </is>
      </c>
      <c r="D37" t="inlineStr">
        <is>
          <t>university_applied_sciences</t>
        </is>
      </c>
      <c r="E37" t="n">
        <v>11</v>
      </c>
      <c r="F37" t="n">
        <v>0.09090909</v>
      </c>
      <c r="G37" t="n">
        <v>1</v>
      </c>
      <c r="H37" t="n">
        <v>18</v>
      </c>
      <c r="I37" t="n">
        <v>0.05555556</v>
      </c>
    </row>
    <row r="38">
      <c r="A38" t="n">
        <v>36</v>
      </c>
      <c r="B38" t="inlineStr">
        <is>
          <t>Hochschule für Wirtschaft und Gesellschaft Ludwigshafen</t>
        </is>
      </c>
      <c r="C38" t="inlineStr">
        <is>
          <t>academic_support</t>
        </is>
      </c>
      <c r="D38" t="inlineStr">
        <is>
          <t>university_applied_sciences</t>
        </is>
      </c>
      <c r="E38" t="n">
        <v>11</v>
      </c>
      <c r="F38" t="n">
        <v>0.09090909</v>
      </c>
      <c r="G38" t="n">
        <v>1</v>
      </c>
      <c r="H38" t="n">
        <v>18</v>
      </c>
      <c r="I38" t="n">
        <v>0.05555556</v>
      </c>
    </row>
    <row r="39">
      <c r="A39" t="n">
        <v>37</v>
      </c>
      <c r="B39" t="inlineStr">
        <is>
          <t>Hochschule Kaiserslautern</t>
        </is>
      </c>
      <c r="C39" t="inlineStr">
        <is>
          <t>academic_support</t>
        </is>
      </c>
      <c r="D39" t="inlineStr">
        <is>
          <t>university_applied_sciences</t>
        </is>
      </c>
      <c r="E39" t="n">
        <v>11</v>
      </c>
      <c r="F39" t="n">
        <v>0.09090909</v>
      </c>
      <c r="G39" t="n">
        <v>1</v>
      </c>
      <c r="H39" t="n">
        <v>18</v>
      </c>
      <c r="I39" t="n">
        <v>0.05555556</v>
      </c>
    </row>
    <row r="40">
      <c r="A40" t="n">
        <v>38</v>
      </c>
      <c r="B40" t="inlineStr">
        <is>
          <t>Hochschule Koblenz</t>
        </is>
      </c>
      <c r="C40" t="inlineStr">
        <is>
          <t>academic_support</t>
        </is>
      </c>
      <c r="D40" t="inlineStr">
        <is>
          <t>university_applied_sciences</t>
        </is>
      </c>
      <c r="E40" t="n">
        <v>11</v>
      </c>
      <c r="F40" t="n">
        <v>0.09090909</v>
      </c>
      <c r="G40" t="n">
        <v>1</v>
      </c>
      <c r="H40" t="n">
        <v>18</v>
      </c>
      <c r="I40" t="n">
        <v>0.05555556</v>
      </c>
    </row>
    <row r="41">
      <c r="A41" t="n">
        <v>39</v>
      </c>
      <c r="B41" t="inlineStr">
        <is>
          <t>Hochschule Mainz</t>
        </is>
      </c>
      <c r="C41" t="inlineStr">
        <is>
          <t>academic_support</t>
        </is>
      </c>
      <c r="D41" t="inlineStr">
        <is>
          <t>university_applied_sciences</t>
        </is>
      </c>
      <c r="E41" t="n">
        <v>11</v>
      </c>
      <c r="F41" t="n">
        <v>0.09090909</v>
      </c>
      <c r="G41" t="n">
        <v>1</v>
      </c>
      <c r="H41" t="n">
        <v>18</v>
      </c>
      <c r="I41" t="n">
        <v>0.05555556</v>
      </c>
    </row>
    <row r="42">
      <c r="A42" t="n">
        <v>40</v>
      </c>
      <c r="B42" t="inlineStr">
        <is>
          <t>Hochschule Trier</t>
        </is>
      </c>
      <c r="C42" t="inlineStr">
        <is>
          <t>academic_support</t>
        </is>
      </c>
      <c r="D42" t="inlineStr">
        <is>
          <t>university_applied_sciences</t>
        </is>
      </c>
      <c r="E42" t="n">
        <v>11</v>
      </c>
      <c r="F42" t="n">
        <v>0.09090909</v>
      </c>
      <c r="G42" t="n">
        <v>1</v>
      </c>
      <c r="H42" t="n">
        <v>18</v>
      </c>
      <c r="I42" t="n">
        <v>0.05555556</v>
      </c>
    </row>
    <row r="43">
      <c r="A43" t="n">
        <v>41</v>
      </c>
      <c r="B43" t="inlineStr">
        <is>
          <t>Hochschule Worms</t>
        </is>
      </c>
      <c r="C43" t="inlineStr">
        <is>
          <t>academic_support</t>
        </is>
      </c>
      <c r="D43" t="inlineStr">
        <is>
          <t>university_applied_sciences</t>
        </is>
      </c>
      <c r="E43" t="n">
        <v>11</v>
      </c>
      <c r="F43" t="n">
        <v>0.09090909</v>
      </c>
      <c r="G43" t="n">
        <v>1</v>
      </c>
      <c r="H43" t="n">
        <v>18</v>
      </c>
      <c r="I43" t="n">
        <v>0.05555556</v>
      </c>
    </row>
    <row r="44">
      <c r="A44" t="n">
        <v>42</v>
      </c>
      <c r="B44" t="inlineStr">
        <is>
          <t>IKK Südwest</t>
        </is>
      </c>
      <c r="C44" t="inlineStr">
        <is>
          <t>context_actor</t>
        </is>
      </c>
      <c r="D44" t="inlineStr">
        <is>
          <t>health_social_anchor</t>
        </is>
      </c>
      <c r="E44" t="n">
        <v>12</v>
      </c>
      <c r="F44" t="n">
        <v>0.08333333</v>
      </c>
      <c r="G44" t="n">
        <v>1</v>
      </c>
      <c r="H44" t="n">
        <v>26</v>
      </c>
      <c r="I44" t="n">
        <v>0.03846154</v>
      </c>
    </row>
    <row r="45">
      <c r="A45" t="n">
        <v>43</v>
      </c>
      <c r="B45" t="inlineStr">
        <is>
          <t>in.betrieb gGmbH</t>
        </is>
      </c>
      <c r="C45" t="inlineStr">
        <is>
          <t>context_actor</t>
        </is>
      </c>
      <c r="D45" t="inlineStr">
        <is>
          <t>health_social_anchor</t>
        </is>
      </c>
      <c r="E45" t="n">
        <v>12</v>
      </c>
      <c r="F45" t="n">
        <v>0.08333333</v>
      </c>
      <c r="G45" t="n">
        <v>1</v>
      </c>
      <c r="H45" t="n">
        <v>26</v>
      </c>
      <c r="I45" t="n">
        <v>0.03846154</v>
      </c>
    </row>
    <row r="46">
      <c r="A46" t="n">
        <v>44</v>
      </c>
      <c r="B46" t="inlineStr">
        <is>
          <t>Ingenieurkammer Rheinland-Pfalz</t>
        </is>
      </c>
      <c r="C46" t="inlineStr">
        <is>
          <t>implementation_anchor</t>
        </is>
      </c>
      <c r="D46" t="inlineStr">
        <is>
          <t>construction_planning_anchor</t>
        </is>
      </c>
      <c r="E46" t="n">
        <v>8</v>
      </c>
      <c r="F46" t="n">
        <v>0.125</v>
      </c>
      <c r="G46" t="n">
        <v>1</v>
      </c>
      <c r="H46" t="n">
        <v>10</v>
      </c>
      <c r="I46" t="n">
        <v>0.1</v>
      </c>
    </row>
    <row r="47">
      <c r="A47" t="n">
        <v>45</v>
      </c>
      <c r="B47" t="inlineStr">
        <is>
          <t>Investitions- und Strukturbank Rheinland-Pfalz (ISB)</t>
        </is>
      </c>
      <c r="C47" t="inlineStr">
        <is>
          <t>context_actor</t>
        </is>
      </c>
      <c r="D47" t="inlineStr">
        <is>
          <t>bank_finance_anchor</t>
        </is>
      </c>
      <c r="E47" t="n">
        <v>7</v>
      </c>
      <c r="F47" t="n">
        <v>0.14285714</v>
      </c>
      <c r="G47" t="n">
        <v>1</v>
      </c>
      <c r="H47" t="n">
        <v>26</v>
      </c>
      <c r="I47" t="n">
        <v>0.03846154</v>
      </c>
    </row>
    <row r="48">
      <c r="A48" t="n">
        <v>46</v>
      </c>
      <c r="B48" t="inlineStr">
        <is>
          <t>IQIB - Institut für qualifizierende Innovationsforschung und -beratung GmbH</t>
        </is>
      </c>
      <c r="C48" t="inlineStr">
        <is>
          <t>profit_anchor</t>
        </is>
      </c>
      <c r="D48" t="inlineStr">
        <is>
          <t>technology_digital_anchor</t>
        </is>
      </c>
      <c r="E48" t="n">
        <v>9</v>
      </c>
      <c r="F48" t="n">
        <v>0.11111111</v>
      </c>
      <c r="G48" t="n">
        <v>1</v>
      </c>
      <c r="H48" t="n">
        <v>49</v>
      </c>
      <c r="I48" t="n">
        <v>0.02040816</v>
      </c>
    </row>
    <row r="49">
      <c r="A49" t="n">
        <v>47</v>
      </c>
      <c r="B49" t="inlineStr">
        <is>
          <t>ITK Engineering GmbH</t>
        </is>
      </c>
      <c r="C49" t="inlineStr">
        <is>
          <t>profit_anchor</t>
        </is>
      </c>
      <c r="D49" t="inlineStr">
        <is>
          <t>technology_digital_anchor</t>
        </is>
      </c>
      <c r="E49" t="n">
        <v>9</v>
      </c>
      <c r="F49" t="n">
        <v>0.11111111</v>
      </c>
      <c r="G49" t="n">
        <v>1</v>
      </c>
      <c r="H49" t="n">
        <v>49</v>
      </c>
      <c r="I49" t="n">
        <v>0.02040816</v>
      </c>
    </row>
    <row r="50">
      <c r="A50" t="n">
        <v>48</v>
      </c>
      <c r="B50" t="inlineStr">
        <is>
          <t>JOBS FOR MOMS UG</t>
        </is>
      </c>
      <c r="C50" t="inlineStr">
        <is>
          <t>context_actor</t>
        </is>
      </c>
      <c r="D50" t="inlineStr">
        <is>
          <t>professional_services_anchor</t>
        </is>
      </c>
      <c r="E50" t="n">
        <v>5</v>
      </c>
      <c r="F50" t="n">
        <v>0.2</v>
      </c>
      <c r="G50" t="n">
        <v>1</v>
      </c>
      <c r="H50" t="n">
        <v>26</v>
      </c>
      <c r="I50" t="n">
        <v>0.03846154</v>
      </c>
    </row>
    <row r="51">
      <c r="A51" t="n">
        <v>49</v>
      </c>
      <c r="B51" t="inlineStr">
        <is>
          <t>Johannes Gutenberg-Universität Mainz</t>
        </is>
      </c>
      <c r="C51" t="inlineStr">
        <is>
          <t>academic_support</t>
        </is>
      </c>
      <c r="D51" t="inlineStr">
        <is>
          <t>university_research</t>
        </is>
      </c>
      <c r="E51" t="n">
        <v>7</v>
      </c>
      <c r="F51" t="n">
        <v>0.14285714</v>
      </c>
      <c r="G51" t="n">
        <v>1</v>
      </c>
      <c r="H51" t="n">
        <v>18</v>
      </c>
      <c r="I51" t="n">
        <v>0.05555556</v>
      </c>
    </row>
    <row r="52">
      <c r="A52" t="n">
        <v>50</v>
      </c>
      <c r="B52" t="inlineStr">
        <is>
          <t>Joseph Vögele AG</t>
        </is>
      </c>
      <c r="C52" t="inlineStr">
        <is>
          <t>profit_anchor</t>
        </is>
      </c>
      <c r="D52" t="inlineStr">
        <is>
          <t>construction_planning_anchor</t>
        </is>
      </c>
      <c r="E52" t="n">
        <v>8</v>
      </c>
      <c r="F52" t="n">
        <v>0.125</v>
      </c>
      <c r="G52" t="n">
        <v>1</v>
      </c>
      <c r="H52" t="n">
        <v>49</v>
      </c>
      <c r="I52" t="n">
        <v>0.02040816</v>
      </c>
    </row>
    <row r="53">
      <c r="A53" t="n">
        <v>51</v>
      </c>
      <c r="B53" t="inlineStr">
        <is>
          <t>JUWI GmbH</t>
        </is>
      </c>
      <c r="C53" t="inlineStr">
        <is>
          <t>profit_anchor</t>
        </is>
      </c>
      <c r="D53" t="inlineStr">
        <is>
          <t>energy_infrastructure_anchor</t>
        </is>
      </c>
      <c r="E53" t="n">
        <v>9</v>
      </c>
      <c r="F53" t="n">
        <v>0.11111111</v>
      </c>
      <c r="G53" t="n">
        <v>1</v>
      </c>
      <c r="H53" t="n">
        <v>49</v>
      </c>
      <c r="I53" t="n">
        <v>0.02040816</v>
      </c>
    </row>
    <row r="54">
      <c r="A54" t="n">
        <v>52</v>
      </c>
      <c r="B54" t="inlineStr">
        <is>
          <t>Karl Gemünden GmbH &amp; Co. KG</t>
        </is>
      </c>
      <c r="C54" t="inlineStr">
        <is>
          <t>profit_anchor</t>
        </is>
      </c>
      <c r="D54" t="inlineStr">
        <is>
          <t>construction_planning_anchor</t>
        </is>
      </c>
      <c r="E54" t="n">
        <v>8</v>
      </c>
      <c r="F54" t="n">
        <v>0.125</v>
      </c>
      <c r="G54" t="n">
        <v>1</v>
      </c>
      <c r="H54" t="n">
        <v>49</v>
      </c>
      <c r="I54" t="n">
        <v>0.02040816</v>
      </c>
    </row>
    <row r="55">
      <c r="A55" t="n">
        <v>53</v>
      </c>
      <c r="B55" t="inlineStr">
        <is>
          <t>Kassenzahnärztliche Vereinigung Rheinland-Pfalz</t>
        </is>
      </c>
      <c r="C55" t="inlineStr">
        <is>
          <t>context_actor</t>
        </is>
      </c>
      <c r="D55" t="inlineStr">
        <is>
          <t>health_social_anchor</t>
        </is>
      </c>
      <c r="E55" t="n">
        <v>12</v>
      </c>
      <c r="F55" t="n">
        <v>0.08333333</v>
      </c>
      <c r="G55" t="n">
        <v>1</v>
      </c>
      <c r="H55" t="n">
        <v>26</v>
      </c>
      <c r="I55" t="n">
        <v>0.03846154</v>
      </c>
    </row>
    <row r="56">
      <c r="A56" t="n">
        <v>54</v>
      </c>
      <c r="B56" t="inlineStr">
        <is>
          <t>Kassenärztliche Vereinigung Rheinland-Pfalz</t>
        </is>
      </c>
      <c r="C56" t="inlineStr">
        <is>
          <t>context_actor</t>
        </is>
      </c>
      <c r="D56" t="inlineStr">
        <is>
          <t>health_social_anchor</t>
        </is>
      </c>
      <c r="E56" t="n">
        <v>12</v>
      </c>
      <c r="F56" t="n">
        <v>0.08333333</v>
      </c>
      <c r="G56" t="n">
        <v>1</v>
      </c>
      <c r="H56" t="n">
        <v>26</v>
      </c>
      <c r="I56" t="n">
        <v>0.03846154</v>
      </c>
    </row>
    <row r="57">
      <c r="A57" t="n">
        <v>55</v>
      </c>
      <c r="B57" t="inlineStr">
        <is>
          <t>Katholische Hochschule Mainz</t>
        </is>
      </c>
      <c r="C57" t="inlineStr">
        <is>
          <t>academic_support</t>
        </is>
      </c>
      <c r="D57" t="inlineStr">
        <is>
          <t>university_applied_sciences</t>
        </is>
      </c>
      <c r="E57" t="n">
        <v>11</v>
      </c>
      <c r="F57" t="n">
        <v>0.09090909</v>
      </c>
      <c r="G57" t="n">
        <v>1</v>
      </c>
      <c r="H57" t="n">
        <v>18</v>
      </c>
      <c r="I57" t="n">
        <v>0.05555556</v>
      </c>
    </row>
    <row r="58">
      <c r="A58" t="n">
        <v>56</v>
      </c>
      <c r="B58" t="inlineStr">
        <is>
          <t>KPMG AG Wirtschaftsprüfungsgesellschaft</t>
        </is>
      </c>
      <c r="C58" t="inlineStr">
        <is>
          <t>profit_anchor</t>
        </is>
      </c>
      <c r="D58" t="inlineStr">
        <is>
          <t>professional_services_anchor</t>
        </is>
      </c>
      <c r="E58" t="n">
        <v>5</v>
      </c>
      <c r="F58" t="n">
        <v>0.2</v>
      </c>
      <c r="G58" t="n">
        <v>1</v>
      </c>
      <c r="H58" t="n">
        <v>49</v>
      </c>
      <c r="I58" t="n">
        <v>0.02040816</v>
      </c>
    </row>
    <row r="59">
      <c r="A59" t="n">
        <v>57</v>
      </c>
      <c r="B59" t="inlineStr">
        <is>
          <t>KSB AG</t>
        </is>
      </c>
      <c r="C59" t="inlineStr">
        <is>
          <t>profit_anchor</t>
        </is>
      </c>
      <c r="D59" t="inlineStr">
        <is>
          <t>industry_anchor</t>
        </is>
      </c>
      <c r="E59" t="n">
        <v>11</v>
      </c>
      <c r="F59" t="n">
        <v>0.09090909</v>
      </c>
      <c r="G59" t="n">
        <v>1</v>
      </c>
      <c r="H59" t="n">
        <v>49</v>
      </c>
      <c r="I59" t="n">
        <v>0.02040816</v>
      </c>
    </row>
    <row r="60">
      <c r="A60" t="n">
        <v>58</v>
      </c>
      <c r="B60" t="inlineStr">
        <is>
          <t>KÜBLER GmbH</t>
        </is>
      </c>
      <c r="C60" t="inlineStr">
        <is>
          <t>profit_anchor</t>
        </is>
      </c>
      <c r="D60" t="inlineStr">
        <is>
          <t>energy_infrastructure_anchor</t>
        </is>
      </c>
      <c r="E60" t="n">
        <v>9</v>
      </c>
      <c r="F60" t="n">
        <v>0.11111111</v>
      </c>
      <c r="G60" t="n">
        <v>1</v>
      </c>
      <c r="H60" t="n">
        <v>49</v>
      </c>
      <c r="I60" t="n">
        <v>0.02040816</v>
      </c>
    </row>
    <row r="61">
      <c r="A61" t="n">
        <v>59</v>
      </c>
      <c r="B61" t="inlineStr">
        <is>
          <t>L Q M Marktforschung GmbH</t>
        </is>
      </c>
      <c r="C61" t="inlineStr">
        <is>
          <t>profit_anchor</t>
        </is>
      </c>
      <c r="D61" t="inlineStr">
        <is>
          <t>professional_services_anchor</t>
        </is>
      </c>
      <c r="E61" t="n">
        <v>5</v>
      </c>
      <c r="F61" t="n">
        <v>0.2</v>
      </c>
      <c r="G61" t="n">
        <v>1</v>
      </c>
      <c r="H61" t="n">
        <v>49</v>
      </c>
      <c r="I61" t="n">
        <v>0.02040816</v>
      </c>
    </row>
    <row r="62">
      <c r="A62" t="n">
        <v>60</v>
      </c>
      <c r="B62" t="inlineStr">
        <is>
          <t>Landesbank Baden-Württemberg (LBBW)</t>
        </is>
      </c>
      <c r="C62" t="inlineStr">
        <is>
          <t>profit_anchor</t>
        </is>
      </c>
      <c r="D62" t="inlineStr">
        <is>
          <t>bank_finance_anchor</t>
        </is>
      </c>
      <c r="E62" t="n">
        <v>7</v>
      </c>
      <c r="F62" t="n">
        <v>0.14285714</v>
      </c>
      <c r="G62" t="n">
        <v>1</v>
      </c>
      <c r="H62" t="n">
        <v>49</v>
      </c>
      <c r="I62" t="n">
        <v>0.02040816</v>
      </c>
    </row>
    <row r="63">
      <c r="A63" t="n">
        <v>61</v>
      </c>
      <c r="B63" t="inlineStr">
        <is>
          <t>LandesPsychotherapeutenKammer Rheinland-Pfalz</t>
        </is>
      </c>
      <c r="C63" t="inlineStr">
        <is>
          <t>implementation_anchor</t>
        </is>
      </c>
      <c r="D63" t="inlineStr">
        <is>
          <t>health_social_anchor</t>
        </is>
      </c>
      <c r="E63" t="n">
        <v>12</v>
      </c>
      <c r="F63" t="n">
        <v>0.08333333</v>
      </c>
      <c r="G63" t="n">
        <v>1</v>
      </c>
      <c r="H63" t="n">
        <v>10</v>
      </c>
      <c r="I63" t="n">
        <v>0.1</v>
      </c>
    </row>
    <row r="64">
      <c r="A64" t="n">
        <v>62</v>
      </c>
      <c r="B64" t="inlineStr">
        <is>
          <t>Landesärztekammer Rheinland-Pfalz</t>
        </is>
      </c>
      <c r="C64" t="inlineStr">
        <is>
          <t>implementation_anchor</t>
        </is>
      </c>
      <c r="D64" t="inlineStr">
        <is>
          <t>health_social_anchor</t>
        </is>
      </c>
      <c r="E64" t="n">
        <v>12</v>
      </c>
      <c r="F64" t="n">
        <v>0.08333333</v>
      </c>
      <c r="G64" t="n">
        <v>1</v>
      </c>
      <c r="H64" t="n">
        <v>10</v>
      </c>
      <c r="I64" t="n">
        <v>0.1</v>
      </c>
    </row>
    <row r="65">
      <c r="A65" t="n">
        <v>63</v>
      </c>
      <c r="B65" t="inlineStr">
        <is>
          <t>Landkreistag Rheinland-Pfalz</t>
        </is>
      </c>
      <c r="C65" t="inlineStr">
        <is>
          <t>context_actor</t>
        </is>
      </c>
      <c r="D65" t="inlineStr">
        <is>
          <t>public_policy_anchor</t>
        </is>
      </c>
      <c r="E65" t="n">
        <v>6</v>
      </c>
      <c r="F65" t="n">
        <v>0.16666667</v>
      </c>
      <c r="G65" t="n">
        <v>1</v>
      </c>
      <c r="H65" t="n">
        <v>26</v>
      </c>
      <c r="I65" t="n">
        <v>0.03846154</v>
      </c>
    </row>
    <row r="66">
      <c r="A66" t="n">
        <v>64</v>
      </c>
      <c r="B66" t="inlineStr">
        <is>
          <t>Leonardo PersonalKonzept GmbH</t>
        </is>
      </c>
      <c r="C66" t="inlineStr">
        <is>
          <t>profit_anchor</t>
        </is>
      </c>
      <c r="D66" t="inlineStr">
        <is>
          <t>professional_services_anchor</t>
        </is>
      </c>
      <c r="E66" t="n">
        <v>5</v>
      </c>
      <c r="F66" t="n">
        <v>0.2</v>
      </c>
      <c r="G66" t="n">
        <v>1</v>
      </c>
      <c r="H66" t="n">
        <v>49</v>
      </c>
      <c r="I66" t="n">
        <v>0.02040816</v>
      </c>
    </row>
    <row r="67">
      <c r="A67" t="n">
        <v>65</v>
      </c>
      <c r="B67" t="inlineStr">
        <is>
          <t>Licharz GmbH</t>
        </is>
      </c>
      <c r="C67" t="inlineStr">
        <is>
          <t>profit_anchor</t>
        </is>
      </c>
      <c r="D67" t="inlineStr">
        <is>
          <t>industry_anchor</t>
        </is>
      </c>
      <c r="E67" t="n">
        <v>11</v>
      </c>
      <c r="F67" t="n">
        <v>0.09090909</v>
      </c>
      <c r="G67" t="n">
        <v>1</v>
      </c>
      <c r="H67" t="n">
        <v>49</v>
      </c>
      <c r="I67" t="n">
        <v>0.02040816</v>
      </c>
    </row>
    <row r="68">
      <c r="A68" t="n">
        <v>66</v>
      </c>
      <c r="B68" t="inlineStr">
        <is>
          <t>LOTTO Rheinland-Pfalz GmbH</t>
        </is>
      </c>
      <c r="C68" t="inlineStr">
        <is>
          <t>profit_anchor</t>
        </is>
      </c>
      <c r="D68" t="inlineStr">
        <is>
          <t>culture_foundation_anchor</t>
        </is>
      </c>
      <c r="E68" t="n">
        <v>3</v>
      </c>
      <c r="F68" t="n">
        <v>0.33333333</v>
      </c>
      <c r="G68" t="n">
        <v>1</v>
      </c>
      <c r="H68" t="n">
        <v>49</v>
      </c>
      <c r="I68" t="n">
        <v>0.02040816</v>
      </c>
    </row>
    <row r="69">
      <c r="A69" t="n">
        <v>67</v>
      </c>
      <c r="B69" t="inlineStr">
        <is>
          <t>LÖWEN ENTERTAINMENT GmbH</t>
        </is>
      </c>
      <c r="C69" t="inlineStr">
        <is>
          <t>profit_anchor</t>
        </is>
      </c>
      <c r="D69" t="inlineStr">
        <is>
          <t>technology_digital_anchor</t>
        </is>
      </c>
      <c r="E69" t="n">
        <v>9</v>
      </c>
      <c r="F69" t="n">
        <v>0.11111111</v>
      </c>
      <c r="G69" t="n">
        <v>1</v>
      </c>
      <c r="H69" t="n">
        <v>49</v>
      </c>
      <c r="I69" t="n">
        <v>0.02040816</v>
      </c>
    </row>
    <row r="70">
      <c r="A70" t="n">
        <v>68</v>
      </c>
      <c r="B70" t="inlineStr">
        <is>
          <t>Mainzer Stadtwerke AG</t>
        </is>
      </c>
      <c r="C70" t="inlineStr">
        <is>
          <t>profit_anchor</t>
        </is>
      </c>
      <c r="D70" t="inlineStr">
        <is>
          <t>energy_infrastructure_anchor</t>
        </is>
      </c>
      <c r="E70" t="n">
        <v>9</v>
      </c>
      <c r="F70" t="n">
        <v>0.11111111</v>
      </c>
      <c r="G70" t="n">
        <v>1</v>
      </c>
      <c r="H70" t="n">
        <v>49</v>
      </c>
      <c r="I70" t="n">
        <v>0.02040816</v>
      </c>
    </row>
    <row r="71">
      <c r="A71" t="n">
        <v>69</v>
      </c>
      <c r="B71" t="inlineStr">
        <is>
          <t>Michelin Reifenwerke AG &amp; Co. KGaA</t>
        </is>
      </c>
      <c r="C71" t="inlineStr">
        <is>
          <t>profit_anchor</t>
        </is>
      </c>
      <c r="D71" t="inlineStr">
        <is>
          <t>industry_anchor</t>
        </is>
      </c>
      <c r="E71" t="n">
        <v>11</v>
      </c>
      <c r="F71" t="n">
        <v>0.09090909</v>
      </c>
      <c r="G71" t="n">
        <v>1</v>
      </c>
      <c r="H71" t="n">
        <v>49</v>
      </c>
      <c r="I71" t="n">
        <v>0.02040816</v>
      </c>
    </row>
    <row r="72">
      <c r="A72" t="n">
        <v>70</v>
      </c>
      <c r="B72" t="inlineStr">
        <is>
          <t>Ministerium für Wirtschaft, Verkehr, Landwirtschaft und Weinbau</t>
        </is>
      </c>
      <c r="C72" t="inlineStr">
        <is>
          <t>profit_anchor</t>
        </is>
      </c>
      <c r="D72" t="inlineStr">
        <is>
          <t>public_policy_anchor</t>
        </is>
      </c>
      <c r="E72" t="n">
        <v>6</v>
      </c>
      <c r="F72" t="n">
        <v>0.16666667</v>
      </c>
      <c r="G72" t="n">
        <v>1</v>
      </c>
      <c r="H72" t="n">
        <v>49</v>
      </c>
      <c r="I72" t="n">
        <v>0.02040816</v>
      </c>
    </row>
    <row r="73">
      <c r="A73" t="n">
        <v>71</v>
      </c>
      <c r="B73" t="inlineStr">
        <is>
          <t>PFAFF Industriesysteme und Maschinen GmbH</t>
        </is>
      </c>
      <c r="C73" t="inlineStr">
        <is>
          <t>profit_anchor</t>
        </is>
      </c>
      <c r="D73" t="inlineStr">
        <is>
          <t>industry_anchor</t>
        </is>
      </c>
      <c r="E73" t="n">
        <v>11</v>
      </c>
      <c r="F73" t="n">
        <v>0.09090909</v>
      </c>
      <c r="G73" t="n">
        <v>1</v>
      </c>
      <c r="H73" t="n">
        <v>49</v>
      </c>
      <c r="I73" t="n">
        <v>0.02040816</v>
      </c>
    </row>
    <row r="74">
      <c r="A74" t="n">
        <v>72</v>
      </c>
      <c r="B74" t="inlineStr">
        <is>
          <t>Pfalzwerke AG</t>
        </is>
      </c>
      <c r="C74" t="inlineStr">
        <is>
          <t>profit_anchor</t>
        </is>
      </c>
      <c r="D74" t="inlineStr">
        <is>
          <t>energy_infrastructure_anchor</t>
        </is>
      </c>
      <c r="E74" t="n">
        <v>9</v>
      </c>
      <c r="F74" t="n">
        <v>0.11111111</v>
      </c>
      <c r="G74" t="n">
        <v>1</v>
      </c>
      <c r="H74" t="n">
        <v>49</v>
      </c>
      <c r="I74" t="n">
        <v>0.02040816</v>
      </c>
    </row>
    <row r="75">
      <c r="A75" t="n">
        <v>73</v>
      </c>
      <c r="B75" t="inlineStr">
        <is>
          <t>Provinzial Versicherung AG</t>
        </is>
      </c>
      <c r="C75" t="inlineStr">
        <is>
          <t>profit_anchor</t>
        </is>
      </c>
      <c r="D75" t="inlineStr">
        <is>
          <t>bank_finance_anchor</t>
        </is>
      </c>
      <c r="E75" t="n">
        <v>7</v>
      </c>
      <c r="F75" t="n">
        <v>0.14285714</v>
      </c>
      <c r="G75" t="n">
        <v>1</v>
      </c>
      <c r="H75" t="n">
        <v>49</v>
      </c>
      <c r="I75" t="n">
        <v>0.02040816</v>
      </c>
    </row>
    <row r="76">
      <c r="A76" t="n">
        <v>74</v>
      </c>
      <c r="B76" t="inlineStr">
        <is>
          <t>Rheinland-Pfälzische Technische Universität Kaiserslautern-Landau (RPTU)</t>
        </is>
      </c>
      <c r="C76" t="inlineStr">
        <is>
          <t>academic_support</t>
        </is>
      </c>
      <c r="D76" t="inlineStr">
        <is>
          <t>university_research</t>
        </is>
      </c>
      <c r="E76" t="n">
        <v>7</v>
      </c>
      <c r="F76" t="n">
        <v>0.14285714</v>
      </c>
      <c r="G76" t="n">
        <v>1</v>
      </c>
      <c r="H76" t="n">
        <v>18</v>
      </c>
      <c r="I76" t="n">
        <v>0.05555556</v>
      </c>
    </row>
    <row r="77">
      <c r="A77" t="n">
        <v>75</v>
      </c>
      <c r="B77" t="inlineStr">
        <is>
          <t>robotspaceship</t>
        </is>
      </c>
      <c r="C77" t="inlineStr">
        <is>
          <t>context_actor</t>
        </is>
      </c>
      <c r="D77" t="inlineStr">
        <is>
          <t>technology_digital_anchor</t>
        </is>
      </c>
      <c r="E77" t="n">
        <v>9</v>
      </c>
      <c r="F77" t="n">
        <v>0.11111111</v>
      </c>
      <c r="G77" t="n">
        <v>1</v>
      </c>
      <c r="H77" t="n">
        <v>26</v>
      </c>
      <c r="I77" t="n">
        <v>0.03846154</v>
      </c>
    </row>
    <row r="78">
      <c r="A78" t="n">
        <v>76</v>
      </c>
      <c r="B78" t="inlineStr">
        <is>
          <t>RPR1.</t>
        </is>
      </c>
      <c r="C78" t="inlineStr">
        <is>
          <t>context_actor</t>
        </is>
      </c>
      <c r="D78" t="inlineStr">
        <is>
          <t>media_publicity_anchor</t>
        </is>
      </c>
      <c r="E78" t="n">
        <v>3</v>
      </c>
      <c r="F78" t="n">
        <v>0.33333333</v>
      </c>
      <c r="G78" t="n">
        <v>1</v>
      </c>
      <c r="H78" t="n">
        <v>26</v>
      </c>
      <c r="I78" t="n">
        <v>0.03846154</v>
      </c>
    </row>
    <row r="79">
      <c r="A79" t="n">
        <v>77</v>
      </c>
      <c r="B79" t="inlineStr">
        <is>
          <t>Schoenergie GmbH</t>
        </is>
      </c>
      <c r="C79" t="inlineStr">
        <is>
          <t>profit_anchor</t>
        </is>
      </c>
      <c r="D79" t="inlineStr">
        <is>
          <t>energy_infrastructure_anchor</t>
        </is>
      </c>
      <c r="E79" t="n">
        <v>9</v>
      </c>
      <c r="F79" t="n">
        <v>0.11111111</v>
      </c>
      <c r="G79" t="n">
        <v>1</v>
      </c>
      <c r="H79" t="n">
        <v>49</v>
      </c>
      <c r="I79" t="n">
        <v>0.02040816</v>
      </c>
    </row>
    <row r="80">
      <c r="A80" t="n">
        <v>78</v>
      </c>
      <c r="B80" t="inlineStr">
        <is>
          <t>SCHOTT AG</t>
        </is>
      </c>
      <c r="C80" t="inlineStr">
        <is>
          <t>profit_anchor</t>
        </is>
      </c>
      <c r="D80" t="inlineStr">
        <is>
          <t>industry_anchor</t>
        </is>
      </c>
      <c r="E80" t="n">
        <v>11</v>
      </c>
      <c r="F80" t="n">
        <v>0.09090909</v>
      </c>
      <c r="G80" t="n">
        <v>1</v>
      </c>
      <c r="H80" t="n">
        <v>49</v>
      </c>
      <c r="I80" t="n">
        <v>0.02040816</v>
      </c>
    </row>
    <row r="81">
      <c r="A81" t="n">
        <v>79</v>
      </c>
      <c r="B81" t="inlineStr">
        <is>
          <t>Schuler Service GmbH &amp; Co. KG</t>
        </is>
      </c>
      <c r="C81" t="inlineStr">
        <is>
          <t>profit_anchor</t>
        </is>
      </c>
      <c r="D81" t="inlineStr">
        <is>
          <t>industry_anchor</t>
        </is>
      </c>
      <c r="E81" t="n">
        <v>11</v>
      </c>
      <c r="F81" t="n">
        <v>0.09090909</v>
      </c>
      <c r="G81" t="n">
        <v>1</v>
      </c>
      <c r="H81" t="n">
        <v>49</v>
      </c>
      <c r="I81" t="n">
        <v>0.02040816</v>
      </c>
    </row>
    <row r="82">
      <c r="A82" t="n">
        <v>80</v>
      </c>
      <c r="B82" t="inlineStr">
        <is>
          <t>SIMONA AG</t>
        </is>
      </c>
      <c r="C82" t="inlineStr">
        <is>
          <t>profit_anchor</t>
        </is>
      </c>
      <c r="D82" t="inlineStr">
        <is>
          <t>industry_anchor</t>
        </is>
      </c>
      <c r="E82" t="n">
        <v>11</v>
      </c>
      <c r="F82" t="n">
        <v>0.09090909</v>
      </c>
      <c r="G82" t="n">
        <v>1</v>
      </c>
      <c r="H82" t="n">
        <v>49</v>
      </c>
      <c r="I82" t="n">
        <v>0.02040816</v>
      </c>
    </row>
    <row r="83">
      <c r="A83" t="n">
        <v>81</v>
      </c>
      <c r="B83" t="inlineStr">
        <is>
          <t>SmartFactory KL e.V.</t>
        </is>
      </c>
      <c r="C83" t="inlineStr">
        <is>
          <t>context_actor</t>
        </is>
      </c>
      <c r="D83" t="inlineStr">
        <is>
          <t>technology_digital_anchor</t>
        </is>
      </c>
      <c r="E83" t="n">
        <v>9</v>
      </c>
      <c r="F83" t="n">
        <v>0.11111111</v>
      </c>
      <c r="G83" t="n">
        <v>1</v>
      </c>
      <c r="H83" t="n">
        <v>26</v>
      </c>
      <c r="I83" t="n">
        <v>0.03846154</v>
      </c>
    </row>
    <row r="84">
      <c r="A84" t="n">
        <v>82</v>
      </c>
      <c r="B84" t="inlineStr">
        <is>
          <t>Sparkassenverband Rheinland-Pfalz</t>
        </is>
      </c>
      <c r="C84" t="inlineStr">
        <is>
          <t>profit_anchor</t>
        </is>
      </c>
      <c r="D84" t="inlineStr">
        <is>
          <t>bank_finance_anchor</t>
        </is>
      </c>
      <c r="E84" t="n">
        <v>7</v>
      </c>
      <c r="F84" t="n">
        <v>0.14285714</v>
      </c>
      <c r="G84" t="n">
        <v>1</v>
      </c>
      <c r="H84" t="n">
        <v>49</v>
      </c>
      <c r="I84" t="n">
        <v>0.02040816</v>
      </c>
    </row>
    <row r="85">
      <c r="A85" t="n">
        <v>83</v>
      </c>
      <c r="B85" t="inlineStr">
        <is>
          <t>Staatskanzlei des Landes Rheinland-Pfalz</t>
        </is>
      </c>
      <c r="C85" t="inlineStr">
        <is>
          <t>context_actor</t>
        </is>
      </c>
      <c r="D85" t="inlineStr">
        <is>
          <t>public_policy_anchor</t>
        </is>
      </c>
      <c r="E85" t="n">
        <v>6</v>
      </c>
      <c r="F85" t="n">
        <v>0.16666667</v>
      </c>
      <c r="G85" t="n">
        <v>1</v>
      </c>
      <c r="H85" t="n">
        <v>26</v>
      </c>
      <c r="I85" t="n">
        <v>0.03846154</v>
      </c>
    </row>
    <row r="86">
      <c r="A86" t="n">
        <v>84</v>
      </c>
      <c r="B86" t="inlineStr">
        <is>
          <t>Steuerberaterkammer Rheinland-Pfalz</t>
        </is>
      </c>
      <c r="C86" t="inlineStr">
        <is>
          <t>implementation_anchor</t>
        </is>
      </c>
      <c r="D86" t="inlineStr">
        <is>
          <t>chamber_association_anchor</t>
        </is>
      </c>
      <c r="E86" t="n">
        <v>4</v>
      </c>
      <c r="F86" t="n">
        <v>0.25</v>
      </c>
      <c r="G86" t="n">
        <v>1</v>
      </c>
      <c r="H86" t="n">
        <v>10</v>
      </c>
      <c r="I86" t="n">
        <v>0.1</v>
      </c>
    </row>
    <row r="87">
      <c r="A87" t="n">
        <v>85</v>
      </c>
      <c r="B87" t="inlineStr">
        <is>
          <t>Städtetag Rheinland-Pfalz</t>
        </is>
      </c>
      <c r="C87" t="inlineStr">
        <is>
          <t>context_actor</t>
        </is>
      </c>
      <c r="D87" t="inlineStr">
        <is>
          <t>public_policy_anchor</t>
        </is>
      </c>
      <c r="E87" t="n">
        <v>6</v>
      </c>
      <c r="F87" t="n">
        <v>0.16666667</v>
      </c>
      <c r="G87" t="n">
        <v>1</v>
      </c>
      <c r="H87" t="n">
        <v>26</v>
      </c>
      <c r="I87" t="n">
        <v>0.03846154</v>
      </c>
    </row>
    <row r="88">
      <c r="A88" t="n">
        <v>86</v>
      </c>
      <c r="B88" t="inlineStr">
        <is>
          <t>SWR – Südwestrundfunk</t>
        </is>
      </c>
      <c r="C88" t="inlineStr">
        <is>
          <t>context_actor</t>
        </is>
      </c>
      <c r="D88" t="inlineStr">
        <is>
          <t>media_publicity_anchor</t>
        </is>
      </c>
      <c r="E88" t="n">
        <v>3</v>
      </c>
      <c r="F88" t="n">
        <v>0.33333333</v>
      </c>
      <c r="G88" t="n">
        <v>1</v>
      </c>
      <c r="H88" t="n">
        <v>26</v>
      </c>
      <c r="I88" t="n">
        <v>0.03846154</v>
      </c>
    </row>
    <row r="89">
      <c r="A89" t="n">
        <v>87</v>
      </c>
      <c r="B89" t="inlineStr">
        <is>
          <t>Techniker Krankenkasse</t>
        </is>
      </c>
      <c r="C89" t="inlineStr">
        <is>
          <t>context_actor</t>
        </is>
      </c>
      <c r="D89" t="inlineStr">
        <is>
          <t>health_social_anchor</t>
        </is>
      </c>
      <c r="E89" t="n">
        <v>12</v>
      </c>
      <c r="F89" t="n">
        <v>0.08333333</v>
      </c>
      <c r="G89" t="n">
        <v>1</v>
      </c>
      <c r="H89" t="n">
        <v>26</v>
      </c>
      <c r="I89" t="n">
        <v>0.03846154</v>
      </c>
    </row>
    <row r="90">
      <c r="A90" t="n">
        <v>88</v>
      </c>
      <c r="B90" t="inlineStr">
        <is>
          <t>Technische Hochschule Bingen</t>
        </is>
      </c>
      <c r="C90" t="inlineStr">
        <is>
          <t>academic_support</t>
        </is>
      </c>
      <c r="D90" t="inlineStr">
        <is>
          <t>university_applied_sciences</t>
        </is>
      </c>
      <c r="E90" t="n">
        <v>11</v>
      </c>
      <c r="F90" t="n">
        <v>0.09090909</v>
      </c>
      <c r="G90" t="n">
        <v>1</v>
      </c>
      <c r="H90" t="n">
        <v>18</v>
      </c>
      <c r="I90" t="n">
        <v>0.05555556</v>
      </c>
    </row>
    <row r="91">
      <c r="A91" t="n">
        <v>89</v>
      </c>
      <c r="B91" t="inlineStr">
        <is>
          <t>thyssenkrupp Rasselstein GmbH</t>
        </is>
      </c>
      <c r="C91" t="inlineStr">
        <is>
          <t>profit_anchor</t>
        </is>
      </c>
      <c r="D91" t="inlineStr">
        <is>
          <t>industry_anchor</t>
        </is>
      </c>
      <c r="E91" t="n">
        <v>11</v>
      </c>
      <c r="F91" t="n">
        <v>0.09090909</v>
      </c>
      <c r="G91" t="n">
        <v>1</v>
      </c>
      <c r="H91" t="n">
        <v>49</v>
      </c>
      <c r="I91" t="n">
        <v>0.02040816</v>
      </c>
    </row>
    <row r="92">
      <c r="A92" t="n">
        <v>90</v>
      </c>
      <c r="B92" t="inlineStr">
        <is>
          <t>Transdev GmbH</t>
        </is>
      </c>
      <c r="C92" t="inlineStr">
        <is>
          <t>profit_anchor</t>
        </is>
      </c>
      <c r="D92" t="inlineStr">
        <is>
          <t>energy_infrastructure_anchor</t>
        </is>
      </c>
      <c r="E92" t="n">
        <v>9</v>
      </c>
      <c r="F92" t="n">
        <v>0.11111111</v>
      </c>
      <c r="G92" t="n">
        <v>1</v>
      </c>
      <c r="H92" t="n">
        <v>49</v>
      </c>
      <c r="I92" t="n">
        <v>0.02040816</v>
      </c>
    </row>
    <row r="93">
      <c r="A93" t="n">
        <v>91</v>
      </c>
      <c r="B93" t="inlineStr">
        <is>
          <t>TÜV Rheinland Berlin Brandenburg Pfalz e.V.</t>
        </is>
      </c>
      <c r="C93" t="inlineStr">
        <is>
          <t>context_actor</t>
        </is>
      </c>
      <c r="D93" t="inlineStr">
        <is>
          <t>chamber_association_anchor</t>
        </is>
      </c>
      <c r="E93" t="n">
        <v>4</v>
      </c>
      <c r="F93" t="n">
        <v>0.25</v>
      </c>
      <c r="G93" t="n">
        <v>1</v>
      </c>
      <c r="H93" t="n">
        <v>26</v>
      </c>
      <c r="I93" t="n">
        <v>0.03846154</v>
      </c>
    </row>
    <row r="94">
      <c r="A94" t="n">
        <v>92</v>
      </c>
      <c r="B94" t="inlineStr">
        <is>
          <t>Universität Koblenz</t>
        </is>
      </c>
      <c r="C94" t="inlineStr">
        <is>
          <t>academic_support</t>
        </is>
      </c>
      <c r="D94" t="inlineStr">
        <is>
          <t>university_research</t>
        </is>
      </c>
      <c r="E94" t="n">
        <v>7</v>
      </c>
      <c r="F94" t="n">
        <v>0.14285714</v>
      </c>
      <c r="G94" t="n">
        <v>1</v>
      </c>
      <c r="H94" t="n">
        <v>18</v>
      </c>
      <c r="I94" t="n">
        <v>0.05555556</v>
      </c>
    </row>
    <row r="95">
      <c r="A95" t="n">
        <v>93</v>
      </c>
      <c r="B95" t="inlineStr">
        <is>
          <t>Universität Trier</t>
        </is>
      </c>
      <c r="C95" t="inlineStr">
        <is>
          <t>academic_support</t>
        </is>
      </c>
      <c r="D95" t="inlineStr">
        <is>
          <t>university_research</t>
        </is>
      </c>
      <c r="E95" t="n">
        <v>7</v>
      </c>
      <c r="F95" t="n">
        <v>0.14285714</v>
      </c>
      <c r="G95" t="n">
        <v>1</v>
      </c>
      <c r="H95" t="n">
        <v>18</v>
      </c>
      <c r="I95" t="n">
        <v>0.05555556</v>
      </c>
    </row>
    <row r="96">
      <c r="A96" t="n">
        <v>94</v>
      </c>
      <c r="B96" t="inlineStr">
        <is>
          <t>Vereinigte VR Bank Kur- und Rheinpfalz eG</t>
        </is>
      </c>
      <c r="C96" t="inlineStr">
        <is>
          <t>profit_anchor</t>
        </is>
      </c>
      <c r="D96" t="inlineStr">
        <is>
          <t>bank_finance_anchor</t>
        </is>
      </c>
      <c r="E96" t="n">
        <v>7</v>
      </c>
      <c r="F96" t="n">
        <v>0.14285714</v>
      </c>
      <c r="G96" t="n">
        <v>1</v>
      </c>
      <c r="H96" t="n">
        <v>49</v>
      </c>
      <c r="I96" t="n">
        <v>0.02040816</v>
      </c>
    </row>
    <row r="97">
      <c r="A97" t="n">
        <v>95</v>
      </c>
      <c r="B97" t="inlineStr">
        <is>
          <t>vero – Verband der Bau- und Rohstoffindustrie</t>
        </is>
      </c>
      <c r="C97" t="inlineStr">
        <is>
          <t>profit_anchor</t>
        </is>
      </c>
      <c r="D97" t="inlineStr">
        <is>
          <t>construction_planning_anchor</t>
        </is>
      </c>
      <c r="E97" t="n">
        <v>8</v>
      </c>
      <c r="F97" t="n">
        <v>0.125</v>
      </c>
      <c r="G97" t="n">
        <v>1</v>
      </c>
      <c r="H97" t="n">
        <v>49</v>
      </c>
      <c r="I97" t="n">
        <v>0.02040816</v>
      </c>
    </row>
    <row r="98">
      <c r="A98" t="n">
        <v>96</v>
      </c>
      <c r="B98" t="inlineStr">
        <is>
          <t>Villa Musica Rheinland-Pfalz</t>
        </is>
      </c>
      <c r="C98" t="inlineStr">
        <is>
          <t>context_actor</t>
        </is>
      </c>
      <c r="D98" t="inlineStr">
        <is>
          <t>culture_foundation_anchor</t>
        </is>
      </c>
      <c r="E98" t="n">
        <v>3</v>
      </c>
      <c r="F98" t="n">
        <v>0.33333333</v>
      </c>
      <c r="G98" t="n">
        <v>1</v>
      </c>
      <c r="H98" t="n">
        <v>26</v>
      </c>
      <c r="I98" t="n">
        <v>0.03846154</v>
      </c>
    </row>
    <row r="99">
      <c r="A99" t="n">
        <v>97</v>
      </c>
      <c r="B99" t="inlineStr">
        <is>
          <t>Vinzenz Pallotti University gGmbH</t>
        </is>
      </c>
      <c r="C99" t="inlineStr">
        <is>
          <t>academic_support</t>
        </is>
      </c>
      <c r="D99" t="inlineStr">
        <is>
          <t>university_research</t>
        </is>
      </c>
      <c r="E99" t="n">
        <v>7</v>
      </c>
      <c r="F99" t="n">
        <v>0.14285714</v>
      </c>
      <c r="G99" t="n">
        <v>1</v>
      </c>
      <c r="H99" t="n">
        <v>18</v>
      </c>
      <c r="I99" t="n">
        <v>0.05555556</v>
      </c>
    </row>
    <row r="100">
      <c r="A100" t="n">
        <v>98</v>
      </c>
      <c r="B100" t="inlineStr">
        <is>
          <t>Westenergie AG</t>
        </is>
      </c>
      <c r="C100" t="inlineStr">
        <is>
          <t>profit_anchor</t>
        </is>
      </c>
      <c r="D100" t="inlineStr">
        <is>
          <t>energy_infrastructure_anchor</t>
        </is>
      </c>
      <c r="E100" t="n">
        <v>9</v>
      </c>
      <c r="F100" t="n">
        <v>0.11111111</v>
      </c>
      <c r="G100" t="n">
        <v>1</v>
      </c>
      <c r="H100" t="n">
        <v>49</v>
      </c>
      <c r="I100" t="n">
        <v>0.02040816</v>
      </c>
    </row>
    <row r="101">
      <c r="A101" t="n">
        <v>99</v>
      </c>
      <c r="B101" t="inlineStr">
        <is>
          <t>WHU – Otto Beisheim School of Management</t>
        </is>
      </c>
      <c r="C101" t="inlineStr">
        <is>
          <t>academic_support</t>
        </is>
      </c>
      <c r="D101" t="inlineStr">
        <is>
          <t>university_research</t>
        </is>
      </c>
      <c r="E101" t="n">
        <v>7</v>
      </c>
      <c r="F101" t="n">
        <v>0.14285714</v>
      </c>
      <c r="G101" t="n">
        <v>1</v>
      </c>
      <c r="H101" t="n">
        <v>18</v>
      </c>
      <c r="I101" t="n">
        <v>0.05555556</v>
      </c>
    </row>
    <row r="102">
      <c r="A102" t="n">
        <v>100</v>
      </c>
      <c r="B102" t="inlineStr">
        <is>
          <t>Wilhelm Faber GmbH</t>
        </is>
      </c>
      <c r="C102" t="inlineStr">
        <is>
          <t>profit_anchor</t>
        </is>
      </c>
      <c r="D102" t="inlineStr">
        <is>
          <t>construction_planning_anchor</t>
        </is>
      </c>
      <c r="E102" t="n">
        <v>8</v>
      </c>
      <c r="F102" t="n">
        <v>0.125</v>
      </c>
      <c r="G102" t="n">
        <v>1</v>
      </c>
      <c r="H102" t="n">
        <v>49</v>
      </c>
      <c r="I102" t="n">
        <v>0.02040816</v>
      </c>
    </row>
    <row r="103">
      <c r="A103" t="n">
        <v>101</v>
      </c>
      <c r="B103" t="inlineStr">
        <is>
          <t>Zahnen Technik GmbH</t>
        </is>
      </c>
      <c r="C103" t="inlineStr">
        <is>
          <t>profit_anchor</t>
        </is>
      </c>
      <c r="D103" t="inlineStr">
        <is>
          <t>energy_infrastructure_anchor</t>
        </is>
      </c>
      <c r="E103" t="n">
        <v>9</v>
      </c>
      <c r="F103" t="n">
        <v>0.11111111</v>
      </c>
      <c r="G103" t="n">
        <v>1</v>
      </c>
      <c r="H103" t="n">
        <v>49</v>
      </c>
      <c r="I103" t="n">
        <v>0.02040816</v>
      </c>
    </row>
    <row r="104">
      <c r="A104" t="n">
        <v>102</v>
      </c>
      <c r="B104" t="inlineStr">
        <is>
          <t>ZDF – Zweites Deutsches Fernsehen</t>
        </is>
      </c>
      <c r="C104" t="inlineStr">
        <is>
          <t>context_actor</t>
        </is>
      </c>
      <c r="D104" t="inlineStr">
        <is>
          <t>media_publicity_anchor</t>
        </is>
      </c>
      <c r="E104" t="n">
        <v>3</v>
      </c>
      <c r="F104" t="n">
        <v>0.33333333</v>
      </c>
      <c r="G104" t="n">
        <v>1</v>
      </c>
      <c r="H104" t="n">
        <v>26</v>
      </c>
      <c r="I104" t="n">
        <v>0.03846154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3" customWidth="1" style="46" min="1" max="1"/>
    <col width="14" customWidth="1" style="46" min="2" max="2"/>
    <col width="60" customWidth="1" style="46" min="3" max="3"/>
  </cols>
  <sheetData>
    <row r="1">
      <c r="A1" s="62" t="inlineStr">
        <is>
          <t>actor_subrole</t>
        </is>
      </c>
      <c r="B1" s="62" t="inlineStr">
        <is>
          <t>member_count</t>
        </is>
      </c>
      <c r="C1" s="62" t="inlineStr">
        <is>
          <t>members</t>
        </is>
      </c>
    </row>
    <row r="2">
      <c r="A2" t="inlineStr">
        <is>
          <t>agriculture_wine_anchor</t>
        </is>
      </c>
      <c r="B2" t="n">
        <v>1</v>
      </c>
      <c r="C2" t="inlineStr">
        <is>
          <t>Bauern- und Winzerverband Rheinland-Pfalz Süd e.V.</t>
        </is>
      </c>
    </row>
    <row r="3">
      <c r="A3" t="inlineStr">
        <is>
          <t>bank_finance_anchor</t>
        </is>
      </c>
      <c r="B3" t="n">
        <v>7</v>
      </c>
      <c r="C3" t="inlineStr">
        <is>
          <t>Debeka Versicherungsgruppe, Deutsche Bundesbank, Hauptverwaltung in Rheinland-Pfalz und dem Saarland, Investitions- und Strukturbank Rheinland-Pfalz (ISB), Landesbank Baden-Württemberg (LBBW), Provinzial Versicherung AG, Sparkassenverband Rheinland-Pfalz, Vereinigte VR Bank Kur- und Rheinpfalz eG</t>
        </is>
      </c>
    </row>
    <row r="4">
      <c r="A4" t="inlineStr">
        <is>
          <t>chamber_association_anchor</t>
        </is>
      </c>
      <c r="B4" t="n">
        <v>4</v>
      </c>
      <c r="C4" t="inlineStr">
        <is>
          <t>Deutscher Gewerkschaftsbund (DGB) Rheinland-Pfalz/Saarland, Handwerkskammern Rheinland-Pfalz, Steuerberaterkammer Rheinland-Pfalz, TÜV Rheinland Berlin Brandenburg Pfalz e.V.</t>
        </is>
      </c>
    </row>
    <row r="5">
      <c r="A5" t="inlineStr">
        <is>
          <t>construction_planning_anchor</t>
        </is>
      </c>
      <c r="B5" t="n">
        <v>8</v>
      </c>
      <c r="C5" t="inlineStr">
        <is>
          <t>Architektenkammer Rheinland-Pfalz, Bauwirtschaft Rheinland-Pfalz e.V., Heberger Gruppe, Ingenieurkammer Rheinland-Pfalz, Joseph Vögele AG, Karl Gemünden GmbH &amp; Co. KG, Wilhelm Faber GmbH, vero – Verband der Bau- und Rohstoffindustrie</t>
        </is>
      </c>
    </row>
    <row r="6">
      <c r="A6" t="inlineStr">
        <is>
          <t>culture_foundation_anchor</t>
        </is>
      </c>
      <c r="B6" t="n">
        <v>3</v>
      </c>
      <c r="C6" t="inlineStr">
        <is>
          <t>Evangelische Kirche der Pfalz, LOTTO Rheinland-Pfalz GmbH, Villa Musica Rheinland-Pfalz</t>
        </is>
      </c>
    </row>
    <row r="7">
      <c r="A7" t="inlineStr">
        <is>
          <t>energy_infrastructure_anchor</t>
        </is>
      </c>
      <c r="B7" t="n">
        <v>9</v>
      </c>
      <c r="C7" t="inlineStr">
        <is>
          <t>ENTEGA Plus GmbH, JUWI GmbH, KÜBLER GmbH, Mainzer Stadtwerke AG, Pfalzwerke AG, Schoenergie GmbH, Transdev GmbH, Westenergie AG, Zahnen Technik GmbH</t>
        </is>
      </c>
    </row>
    <row r="8">
      <c r="A8" t="inlineStr">
        <is>
          <t>food_beverage_consumer_anchor</t>
        </is>
      </c>
      <c r="B8" t="n">
        <v>5</v>
      </c>
      <c r="C8" t="inlineStr">
        <is>
          <t>Bitburger Braugruppe GmbH, Eckes-Granini Deutschland GmbH, Fachingen Heil- und Mineralbrunnen GmbH, GLOBUS Markthallen Holding GmbH &amp; Co. KG, Gerolsteiner Brunnen GmbH &amp; Co. KG</t>
        </is>
      </c>
    </row>
    <row r="9">
      <c r="A9" t="inlineStr">
        <is>
          <t>health_social_anchor</t>
        </is>
      </c>
      <c r="B9" t="n">
        <v>12</v>
      </c>
      <c r="C9" t="inlineStr">
        <is>
          <t>AOK Rheinland-Pfalz/Saarland, Alexianer GmbH, Barmherzige Brüder Trier gGmbH, Boehringer Ingelheim Pharma GmbH &amp; Co. KG, Caritasverband für die Diözese Speyer e.V., IKK Südwest, Kassenzahnärztliche Vereinigung Rheinland-Pfalz, Kassenärztliche Vereinigung Rheinland-Pfalz, LandesPsychotherapeutenKammer Rheinland-Pfalz, Landesärztekammer Rheinland-Pfalz, Techniker Krankenkasse, in.betrieb gGmbH</t>
        </is>
      </c>
    </row>
    <row r="10">
      <c r="A10" t="inlineStr">
        <is>
          <t>industry_anchor</t>
        </is>
      </c>
      <c r="B10" t="n">
        <v>11</v>
      </c>
      <c r="C10" t="inlineStr">
        <is>
          <t>BASF SE, Bernd Hummel Holding GmbH, Continental Automotive Technologies GmbH, Safety and Motion (SAM), Standort Rheinböllen, KSB AG, Licharz GmbH, Michelin Reifenwerke AG &amp; Co. KGaA, PFAFF Industriesysteme und Maschinen GmbH, SCHOTT AG, SIMONA AG, Schuler Service GmbH &amp; Co. KG, thyssenkrupp Rasselstein GmbH</t>
        </is>
      </c>
    </row>
    <row r="11">
      <c r="A11" t="inlineStr">
        <is>
          <t>media_publicity_anchor</t>
        </is>
      </c>
      <c r="B11" t="n">
        <v>3</v>
      </c>
      <c r="C11" t="inlineStr">
        <is>
          <t>RPR1., SWR – Südwestrundfunk, ZDF – Zweites Deutsches Fernsehen</t>
        </is>
      </c>
    </row>
    <row r="12">
      <c r="A12" t="inlineStr">
        <is>
          <t>professional_services_anchor</t>
        </is>
      </c>
      <c r="B12" t="n">
        <v>5</v>
      </c>
      <c r="C12" t="inlineStr">
        <is>
          <t>Ernst &amp; Young GmbH, JOBS FOR MOMS UG, KPMG AG Wirtschaftsprüfungsgesellschaft, L Q M Marktforschung GmbH, Leonardo PersonalKonzept GmbH</t>
        </is>
      </c>
    </row>
    <row r="13">
      <c r="A13" t="inlineStr">
        <is>
          <t>public_policy_anchor</t>
        </is>
      </c>
      <c r="B13" t="n">
        <v>6</v>
      </c>
      <c r="C13" t="inlineStr">
        <is>
          <t>Bundesagentur für Arbeit, Regionaldirektion Rheinland-Pfalz-Saarland, Entwicklungsagentur Rheinland-Pfalz e.V., Landkreistag Rheinland-Pfalz, Ministerium für Wirtschaft, Verkehr, Landwirtschaft und Weinbau, Staatskanzlei des Landes Rheinland-Pfalz, Städtetag Rheinland-Pfalz</t>
        </is>
      </c>
    </row>
    <row r="14">
      <c r="A14" t="inlineStr">
        <is>
          <t>sports_regional_identity_anchor</t>
        </is>
      </c>
      <c r="B14" t="n">
        <v>2</v>
      </c>
      <c r="C14" t="inlineStr">
        <is>
          <t>1. FSV Mainz 05 e.V., Erster FC Kaiserslautern GmbH &amp; Co. KGaA</t>
        </is>
      </c>
    </row>
    <row r="15">
      <c r="A15" t="inlineStr">
        <is>
          <t>technology_digital_anchor</t>
        </is>
      </c>
      <c r="B15" t="n">
        <v>9</v>
      </c>
      <c r="C15" t="inlineStr">
        <is>
          <t>Aturas GmbH, BRICKMAKERS AG, Deutsche Telekom AG, Empolis Information Management GmbH, IQIB - Institut für qualifizierende Innovationsforschung und -beratung GmbH, ITK Engineering GmbH, LÖWEN ENTERTAINMENT GmbH, SmartFactory KL e.V., robotspaceship</t>
        </is>
      </c>
    </row>
    <row r="16">
      <c r="A16" t="inlineStr">
        <is>
          <t>university_applied_sciences</t>
        </is>
      </c>
      <c r="B16" t="n">
        <v>11</v>
      </c>
      <c r="C16" t="inlineStr">
        <is>
          <t>Duale Hochschule Rheinland-Pfalz, Hochschule Kaiserslautern, Hochschule Koblenz, Hochschule Mainz, Hochschule Trier, Hochschule Worms, Hochschule für Gesellschaftsgestaltung (HfGG), Hochschule für Musik Mainz, Hochschule für Wirtschaft und Gesellschaft Ludwigshafen, Katholische Hochschule Mainz, Technische Hochschule Bingen</t>
        </is>
      </c>
    </row>
    <row r="17">
      <c r="A17" t="inlineStr">
        <is>
          <t>university_research</t>
        </is>
      </c>
      <c r="B17" t="n">
        <v>7</v>
      </c>
      <c r="C17" t="inlineStr">
        <is>
          <t>Deutsche Universität für Verwaltungswissenschaften Speyer, Johannes Gutenberg-Universität Mainz, Rheinland-Pfälzische Technische Universität Kaiserslautern-Landau (RPTU), Universität Koblenz, Universität Trier, Vinzenz Pallotti University gGmbH, WHU – Otto Beisheim School of Management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style="46" min="1" max="1"/>
    <col width="12" customWidth="1" style="46" min="2" max="2"/>
    <col width="13" customWidth="1" style="46" min="3" max="3"/>
    <col width="17" customWidth="1" style="46" min="4" max="4"/>
    <col width="60" customWidth="1" style="46" min="5" max="5"/>
  </cols>
  <sheetData>
    <row r="1">
      <c r="A1" s="62" t="inlineStr">
        <is>
          <t>constraint_name</t>
        </is>
      </c>
      <c r="B1" s="62" t="inlineStr">
        <is>
          <t>enabled</t>
        </is>
      </c>
      <c r="C1" s="62" t="inlineStr">
        <is>
          <t>limit_value</t>
        </is>
      </c>
      <c r="D1" s="62" t="inlineStr">
        <is>
          <t>constraint_type</t>
        </is>
      </c>
      <c r="E1" s="62" t="inlineStr">
        <is>
          <t>notes</t>
        </is>
      </c>
    </row>
    <row r="2">
      <c r="A2" t="inlineStr">
        <is>
          <t>role_quota_enabled</t>
        </is>
      </c>
      <c r="B2" t="n">
        <v>1</v>
      </c>
      <c r="C2" t="inlineStr"/>
      <c r="D2" t="inlineStr">
        <is>
          <t>switch</t>
        </is>
      </c>
      <c r="E2" t="inlineStr">
        <is>
          <t>Use Role_Weights / Member_Role_Weights macro role mass constraints.</t>
        </is>
      </c>
    </row>
    <row r="3">
      <c r="A3" t="inlineStr">
        <is>
          <t>subrole_quota_enabled</t>
        </is>
      </c>
      <c r="B3" t="n">
        <v>1</v>
      </c>
      <c r="C3" t="inlineStr"/>
      <c r="D3" t="inlineStr">
        <is>
          <t>switch</t>
        </is>
      </c>
      <c r="E3" t="inlineStr">
        <is>
          <t>Use Subrole_Weights / Member_Subrole_Weights institutional-family mass constraints.</t>
        </is>
      </c>
    </row>
    <row r="4">
      <c r="A4" t="inlineStr">
        <is>
          <t>max_academic_matches</t>
        </is>
      </c>
      <c r="B4" t="n">
        <v>1</v>
      </c>
      <c r="C4" t="n">
        <v>2</v>
      </c>
      <c r="D4" t="inlineStr">
        <is>
          <t>hard_cap</t>
        </is>
      </c>
      <c r="E4" t="inlineStr">
        <is>
          <t>For six visible matches, at most two selected pairings may include an academic actor.</t>
        </is>
      </c>
    </row>
    <row r="5">
      <c r="A5" t="inlineStr">
        <is>
          <t>max_academic_actor_slots</t>
        </is>
      </c>
      <c r="B5" t="n">
        <v>1</v>
      </c>
      <c r="C5" t="n">
        <v>3</v>
      </c>
      <c r="D5" t="inlineStr">
        <is>
          <t>hard_cap</t>
        </is>
      </c>
      <c r="E5" t="inlineStr">
        <is>
          <t>Across six selected pairings, universities/Hochschulen may occupy at most three of twelve actor slots.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695"/>
  <sheetViews>
    <sheetView workbookViewId="0">
      <pane ySplit="1" topLeftCell="A2" activePane="bottomLeft" state="frozen"/>
      <selection pane="bottomLeft" activeCell="A1" sqref="A1"/>
    </sheetView>
  </sheetViews>
  <sheetFormatPr baseColWidth="8" defaultRowHeight="15"/>
  <cols>
    <col width="14" customWidth="1" style="46" min="1" max="1"/>
    <col width="15" customWidth="1" style="46" min="2" max="2"/>
    <col width="60" customWidth="1" style="46" min="3" max="3"/>
    <col width="23" customWidth="1" style="46" min="4" max="4"/>
    <col width="31" customWidth="1" style="46" min="5" max="5"/>
    <col width="60" customWidth="1" style="46" min="6" max="6"/>
    <col width="23" customWidth="1" style="46" min="7" max="7"/>
    <col width="33" customWidth="1" style="46" min="8" max="8"/>
    <col width="20" customWidth="1" style="46" min="9" max="9"/>
    <col width="12" customWidth="1" style="46" min="10" max="10"/>
    <col width="16" customWidth="1" style="46" min="11" max="11"/>
    <col width="16" customWidth="1" style="46" min="12" max="12"/>
    <col width="16" customWidth="1" style="46" min="13" max="13"/>
    <col width="23" customWidth="1" style="46" min="14" max="14"/>
    <col width="21" customWidth="1" style="46" min="15" max="15"/>
    <col width="18" customWidth="1" style="46" min="16" max="16"/>
    <col width="18" customWidth="1" style="46" min="17" max="17"/>
    <col width="19" customWidth="1" style="46" min="18" max="18"/>
    <col width="20" customWidth="1" style="46" min="19" max="19"/>
    <col width="34" customWidth="1" style="46" min="20" max="20"/>
    <col width="29" customWidth="1" style="46" min="21" max="21"/>
    <col width="22" customWidth="1" style="46" min="22" max="22"/>
    <col width="17" customWidth="1" style="46" min="23" max="23"/>
    <col width="60" customWidth="1" style="46" min="24" max="24"/>
  </cols>
  <sheetData>
    <row r="1">
      <c r="A1" s="62" t="inlineStr">
        <is>
          <t>candidate_id</t>
        </is>
      </c>
      <c r="B1" s="62" t="inlineStr">
        <is>
          <t>scip_variable</t>
        </is>
      </c>
      <c r="C1" s="62" t="inlineStr">
        <is>
          <t>member_a</t>
        </is>
      </c>
      <c r="D1" s="62" t="inlineStr">
        <is>
          <t>role_a</t>
        </is>
      </c>
      <c r="E1" s="62" t="inlineStr">
        <is>
          <t>subrole_a</t>
        </is>
      </c>
      <c r="F1" s="62" t="inlineStr">
        <is>
          <t>member_b</t>
        </is>
      </c>
      <c r="G1" s="62" t="inlineStr">
        <is>
          <t>role_b</t>
        </is>
      </c>
      <c r="H1" s="62" t="inlineStr">
        <is>
          <t>subrole_b</t>
        </is>
      </c>
      <c r="I1" s="62" t="inlineStr">
        <is>
          <t>base_support_score</t>
        </is>
      </c>
      <c r="J1" s="62" t="inlineStr">
        <is>
          <t>selected_x</t>
        </is>
      </c>
      <c r="K1" s="62" t="inlineStr">
        <is>
          <t>macro_weight_a</t>
        </is>
      </c>
      <c r="L1" s="62" t="inlineStr">
        <is>
          <t>macro_weight_b</t>
        </is>
      </c>
      <c r="M1" s="62" t="inlineStr">
        <is>
          <t>pair_role_mass</t>
        </is>
      </c>
      <c r="N1" s="62" t="inlineStr">
        <is>
          <t>macro_role_multiplier</t>
        </is>
      </c>
      <c r="O1" s="62" t="inlineStr">
        <is>
          <t>role_balanced_score</t>
        </is>
      </c>
      <c r="P1" s="62" t="inlineStr">
        <is>
          <t>subrole_weight_a</t>
        </is>
      </c>
      <c r="Q1" s="62" t="inlineStr">
        <is>
          <t>subrole_weight_b</t>
        </is>
      </c>
      <c r="R1" s="62" t="inlineStr">
        <is>
          <t>pair_subrole_mass</t>
        </is>
      </c>
      <c r="S1" s="62" t="inlineStr">
        <is>
          <t>subrole_multiplier</t>
        </is>
      </c>
      <c r="T1" s="62" t="inlineStr">
        <is>
          <t>combined_role_subrole_multiplier</t>
        </is>
      </c>
      <c r="U1" s="62" t="inlineStr">
        <is>
          <t>role_subrole_balanced_score</t>
        </is>
      </c>
      <c r="V1" s="62" t="inlineStr">
        <is>
          <t>academic_or_uni_pair</t>
        </is>
      </c>
      <c r="W1" s="62" t="inlineStr">
        <is>
          <t>constraint_term</t>
        </is>
      </c>
      <c r="X1" s="62" t="inlineStr">
        <is>
          <t>notes</t>
        </is>
      </c>
    </row>
    <row r="2">
      <c r="A2" t="inlineStr">
        <is>
          <t>C0001</t>
        </is>
      </c>
      <c r="B2" t="inlineStr">
        <is>
          <t>x_0001</t>
        </is>
      </c>
      <c r="C2" t="inlineStr">
        <is>
          <t>Architektenkammer Rheinland-Pfalz</t>
        </is>
      </c>
      <c r="D2" t="inlineStr">
        <is>
          <t>implementation_anchor</t>
        </is>
      </c>
      <c r="E2" t="inlineStr">
        <is>
          <t>construction_planning_anchor</t>
        </is>
      </c>
      <c r="F2" t="inlineStr">
        <is>
          <t>vero – Verband der Bau- und Rohstoffindustrie</t>
        </is>
      </c>
      <c r="G2" t="inlineStr">
        <is>
          <t>profit_anchor</t>
        </is>
      </c>
      <c r="H2" t="inlineStr">
        <is>
          <t>construction_planning_anchor</t>
        </is>
      </c>
      <c r="I2" t="n">
        <v>36</v>
      </c>
      <c r="J2" t="n">
        <v>0</v>
      </c>
      <c r="K2" t="n">
        <v>0.1</v>
      </c>
      <c r="L2" t="n">
        <v>0.02040816</v>
      </c>
      <c r="M2" t="n">
        <v>0.12040816</v>
      </c>
      <c r="N2" t="n">
        <v>1.5502551</v>
      </c>
      <c r="O2" t="n">
        <v>55.809184</v>
      </c>
      <c r="P2" t="n">
        <v>0.125</v>
      </c>
      <c r="Q2" t="n">
        <v>0.125</v>
      </c>
      <c r="R2" t="n">
        <v>0.25</v>
      </c>
      <c r="S2" t="n">
        <v>0.8046875</v>
      </c>
      <c r="T2" t="n">
        <v>1.11690237</v>
      </c>
      <c r="U2" t="n">
        <v>40.208485</v>
      </c>
      <c r="V2" t="b">
        <v>0</v>
      </c>
      <c r="W2" t="n">
        <v>0</v>
      </c>
      <c r="X2" t="inlineStr">
        <is>
          <t>role_subrole_balanced_score = base_support_score * capped sqrt(avg_macro_multiplier * avg_subrole_multiplier); role/subrole quota constraints use inverse weights.</t>
        </is>
      </c>
    </row>
    <row r="3">
      <c r="A3" t="inlineStr">
        <is>
          <t>C0002</t>
        </is>
      </c>
      <c r="B3" t="inlineStr">
        <is>
          <t>x_0002</t>
        </is>
      </c>
      <c r="C3" t="inlineStr">
        <is>
          <t>Ingenieurkammer Rheinland-Pfalz</t>
        </is>
      </c>
      <c r="D3" t="inlineStr">
        <is>
          <t>implementation_anchor</t>
        </is>
      </c>
      <c r="E3" t="inlineStr">
        <is>
          <t>construction_planning_anchor</t>
        </is>
      </c>
      <c r="F3" t="inlineStr">
        <is>
          <t>vero – Verband der Bau- und Rohstoffindustrie</t>
        </is>
      </c>
      <c r="G3" t="inlineStr">
        <is>
          <t>profit_anchor</t>
        </is>
      </c>
      <c r="H3" t="inlineStr">
        <is>
          <t>construction_planning_anchor</t>
        </is>
      </c>
      <c r="I3" t="n">
        <v>36</v>
      </c>
      <c r="J3" t="n">
        <v>0</v>
      </c>
      <c r="K3" t="n">
        <v>0.1</v>
      </c>
      <c r="L3" t="n">
        <v>0.02040816</v>
      </c>
      <c r="M3" t="n">
        <v>0.12040816</v>
      </c>
      <c r="N3" t="n">
        <v>1.5502551</v>
      </c>
      <c r="O3" t="n">
        <v>55.809184</v>
      </c>
      <c r="P3" t="n">
        <v>0.125</v>
      </c>
      <c r="Q3" t="n">
        <v>0.125</v>
      </c>
      <c r="R3" t="n">
        <v>0.25</v>
      </c>
      <c r="S3" t="n">
        <v>0.8046875</v>
      </c>
      <c r="T3" t="n">
        <v>1.11690237</v>
      </c>
      <c r="U3" t="n">
        <v>40.208485</v>
      </c>
      <c r="V3" t="b">
        <v>0</v>
      </c>
      <c r="W3" t="n">
        <v>0</v>
      </c>
      <c r="X3" t="inlineStr">
        <is>
          <t>role_subrole_balanced_score = base_support_score * capped sqrt(avg_macro_multiplier * avg_subrole_multiplier); role/subrole quota constraints use inverse weights.</t>
        </is>
      </c>
    </row>
    <row r="4">
      <c r="A4" t="inlineStr">
        <is>
          <t>C0003</t>
        </is>
      </c>
      <c r="B4" t="inlineStr">
        <is>
          <t>x_0003</t>
        </is>
      </c>
      <c r="C4" t="inlineStr">
        <is>
          <t>Bundesagentur für Arbeit, Regionaldirektion Rheinland-Pfalz-Saarland</t>
        </is>
      </c>
      <c r="D4" t="inlineStr">
        <is>
          <t>implementation_anchor</t>
        </is>
      </c>
      <c r="E4" t="inlineStr">
        <is>
          <t>public_policy_anchor</t>
        </is>
      </c>
      <c r="F4" t="inlineStr">
        <is>
          <t>Leonardo PersonalKonzept GmbH</t>
        </is>
      </c>
      <c r="G4" t="inlineStr">
        <is>
          <t>profit_anchor</t>
        </is>
      </c>
      <c r="H4" t="inlineStr">
        <is>
          <t>professional_services_anchor</t>
        </is>
      </c>
      <c r="I4" t="n">
        <v>35</v>
      </c>
      <c r="J4" t="n">
        <v>0</v>
      </c>
      <c r="K4" t="n">
        <v>0.1</v>
      </c>
      <c r="L4" t="n">
        <v>0.02040816</v>
      </c>
      <c r="M4" t="n">
        <v>0.12040816</v>
      </c>
      <c r="N4" t="n">
        <v>1.5502551</v>
      </c>
      <c r="O4" t="n">
        <v>54.258929</v>
      </c>
      <c r="P4" t="n">
        <v>0.16666667</v>
      </c>
      <c r="Q4" t="n">
        <v>0.2</v>
      </c>
      <c r="R4" t="n">
        <v>0.36666667</v>
      </c>
      <c r="S4" t="n">
        <v>1.18020833</v>
      </c>
      <c r="T4" t="n">
        <v>1.35263594</v>
      </c>
      <c r="U4" t="n">
        <v>47.342258</v>
      </c>
      <c r="V4" t="b">
        <v>0</v>
      </c>
      <c r="W4" t="n">
        <v>0</v>
      </c>
      <c r="X4" t="inlineStr">
        <is>
          <t>role_subrole_balanced_score = base_support_score * capped sqrt(avg_macro_multiplier * avg_subrole_multiplier); role/subrole quota constraints use inverse weights.</t>
        </is>
      </c>
    </row>
    <row r="5">
      <c r="A5" t="inlineStr">
        <is>
          <t>C0004</t>
        </is>
      </c>
      <c r="B5" t="inlineStr">
        <is>
          <t>x_0004</t>
        </is>
      </c>
      <c r="C5" t="inlineStr">
        <is>
          <t>Bundesagentur für Arbeit, Regionaldirektion Rheinland-Pfalz-Saarland</t>
        </is>
      </c>
      <c r="D5" t="inlineStr">
        <is>
          <t>implementation_anchor</t>
        </is>
      </c>
      <c r="E5" t="inlineStr">
        <is>
          <t>public_policy_anchor</t>
        </is>
      </c>
      <c r="F5" t="inlineStr">
        <is>
          <t>Ministerium für Wirtschaft, Verkehr, Landwirtschaft und Weinbau</t>
        </is>
      </c>
      <c r="G5" t="inlineStr">
        <is>
          <t>profit_anchor</t>
        </is>
      </c>
      <c r="H5" t="inlineStr">
        <is>
          <t>public_policy_anchor</t>
        </is>
      </c>
      <c r="I5" t="n">
        <v>35</v>
      </c>
      <c r="J5" t="n">
        <v>0</v>
      </c>
      <c r="K5" t="n">
        <v>0.1</v>
      </c>
      <c r="L5" t="n">
        <v>0.02040816</v>
      </c>
      <c r="M5" t="n">
        <v>0.12040816</v>
      </c>
      <c r="N5" t="n">
        <v>1.5502551</v>
      </c>
      <c r="O5" t="n">
        <v>54.258929</v>
      </c>
      <c r="P5" t="n">
        <v>0.16666667</v>
      </c>
      <c r="Q5" t="n">
        <v>0.16666667</v>
      </c>
      <c r="R5" t="n">
        <v>0.33333333</v>
      </c>
      <c r="S5" t="n">
        <v>1.07291667</v>
      </c>
      <c r="T5" t="n">
        <v>1.28968777</v>
      </c>
      <c r="U5" t="n">
        <v>45.139072</v>
      </c>
      <c r="V5" t="b">
        <v>0</v>
      </c>
      <c r="W5" t="n">
        <v>0</v>
      </c>
      <c r="X5" t="inlineStr">
        <is>
          <t>role_subrole_balanced_score = base_support_score * capped sqrt(avg_macro_multiplier * avg_subrole_multiplier); role/subrole quota constraints use inverse weights.</t>
        </is>
      </c>
    </row>
    <row r="6">
      <c r="A6" t="inlineStr">
        <is>
          <t>C0005</t>
        </is>
      </c>
      <c r="B6" t="inlineStr">
        <is>
          <t>x_0005</t>
        </is>
      </c>
      <c r="C6" t="inlineStr">
        <is>
          <t>Handwerkskammern Rheinland-Pfalz</t>
        </is>
      </c>
      <c r="D6" t="inlineStr">
        <is>
          <t>implementation_anchor</t>
        </is>
      </c>
      <c r="E6" t="inlineStr">
        <is>
          <t>chamber_association_anchor</t>
        </is>
      </c>
      <c r="F6" t="inlineStr">
        <is>
          <t>Leonardo PersonalKonzept GmbH</t>
        </is>
      </c>
      <c r="G6" t="inlineStr">
        <is>
          <t>profit_anchor</t>
        </is>
      </c>
      <c r="H6" t="inlineStr">
        <is>
          <t>professional_services_anchor</t>
        </is>
      </c>
      <c r="I6" t="n">
        <v>35</v>
      </c>
      <c r="J6" t="n">
        <v>0</v>
      </c>
      <c r="K6" t="n">
        <v>0.1</v>
      </c>
      <c r="L6" t="n">
        <v>0.02040816</v>
      </c>
      <c r="M6" t="n">
        <v>0.12040816</v>
      </c>
      <c r="N6" t="n">
        <v>1.5502551</v>
      </c>
      <c r="O6" t="n">
        <v>54.258929</v>
      </c>
      <c r="P6" t="n">
        <v>0.25</v>
      </c>
      <c r="Q6" t="n">
        <v>0.2</v>
      </c>
      <c r="R6" t="n">
        <v>0.45</v>
      </c>
      <c r="S6" t="n">
        <v>1.4484375</v>
      </c>
      <c r="T6" t="n">
        <v>1.49848177</v>
      </c>
      <c r="U6" t="n">
        <v>52.446862</v>
      </c>
      <c r="V6" t="b">
        <v>0</v>
      </c>
      <c r="W6" t="n">
        <v>0</v>
      </c>
      <c r="X6" t="inlineStr">
        <is>
          <t>role_subrole_balanced_score = base_support_score * capped sqrt(avg_macro_multiplier * avg_subrole_multiplier); role/subrole quota constraints use inverse weights.</t>
        </is>
      </c>
    </row>
    <row r="7">
      <c r="A7" t="inlineStr">
        <is>
          <t>C0006</t>
        </is>
      </c>
      <c r="B7" t="inlineStr">
        <is>
          <t>x_0006</t>
        </is>
      </c>
      <c r="C7" t="inlineStr">
        <is>
          <t>Handwerkskammern Rheinland-Pfalz</t>
        </is>
      </c>
      <c r="D7" t="inlineStr">
        <is>
          <t>implementation_anchor</t>
        </is>
      </c>
      <c r="E7" t="inlineStr">
        <is>
          <t>chamber_association_anchor</t>
        </is>
      </c>
      <c r="F7" t="inlineStr">
        <is>
          <t>Ministerium für Wirtschaft, Verkehr, Landwirtschaft und Weinbau</t>
        </is>
      </c>
      <c r="G7" t="inlineStr">
        <is>
          <t>profit_anchor</t>
        </is>
      </c>
      <c r="H7" t="inlineStr">
        <is>
          <t>public_policy_anchor</t>
        </is>
      </c>
      <c r="I7" t="n">
        <v>35</v>
      </c>
      <c r="J7" t="n">
        <v>0</v>
      </c>
      <c r="K7" t="n">
        <v>0.1</v>
      </c>
      <c r="L7" t="n">
        <v>0.02040816</v>
      </c>
      <c r="M7" t="n">
        <v>0.12040816</v>
      </c>
      <c r="N7" t="n">
        <v>1.5502551</v>
      </c>
      <c r="O7" t="n">
        <v>54.258929</v>
      </c>
      <c r="P7" t="n">
        <v>0.25</v>
      </c>
      <c r="Q7" t="n">
        <v>0.16666667</v>
      </c>
      <c r="R7" t="n">
        <v>0.41666667</v>
      </c>
      <c r="S7" t="n">
        <v>1.34114583</v>
      </c>
      <c r="T7" t="n">
        <v>1.44191476</v>
      </c>
      <c r="U7" t="n">
        <v>50.467017</v>
      </c>
      <c r="V7" t="b">
        <v>0</v>
      </c>
      <c r="W7" t="n">
        <v>0</v>
      </c>
      <c r="X7" t="inlineStr">
        <is>
          <t>role_subrole_balanced_score = base_support_score * capped sqrt(avg_macro_multiplier * avg_subrole_multiplier); role/subrole quota constraints use inverse weights.</t>
        </is>
      </c>
    </row>
    <row r="8">
      <c r="A8" t="inlineStr">
        <is>
          <t>C0007</t>
        </is>
      </c>
      <c r="B8" t="inlineStr">
        <is>
          <t>x_0007</t>
        </is>
      </c>
      <c r="C8" t="inlineStr">
        <is>
          <t>Architektenkammer Rheinland-Pfalz</t>
        </is>
      </c>
      <c r="D8" t="inlineStr">
        <is>
          <t>implementation_anchor</t>
        </is>
      </c>
      <c r="E8" t="inlineStr">
        <is>
          <t>construction_planning_anchor</t>
        </is>
      </c>
      <c r="F8" t="inlineStr">
        <is>
          <t>Aturas GmbH</t>
        </is>
      </c>
      <c r="G8" t="inlineStr">
        <is>
          <t>profit_anchor</t>
        </is>
      </c>
      <c r="H8" t="inlineStr">
        <is>
          <t>technology_digital_anchor</t>
        </is>
      </c>
      <c r="I8" t="n">
        <v>35</v>
      </c>
      <c r="J8" t="n">
        <v>0</v>
      </c>
      <c r="K8" t="n">
        <v>0.1</v>
      </c>
      <c r="L8" t="n">
        <v>0.02040816</v>
      </c>
      <c r="M8" t="n">
        <v>0.12040816</v>
      </c>
      <c r="N8" t="n">
        <v>1.5502551</v>
      </c>
      <c r="O8" t="n">
        <v>54.258929</v>
      </c>
      <c r="P8" t="n">
        <v>0.125</v>
      </c>
      <c r="Q8" t="n">
        <v>0.11111111</v>
      </c>
      <c r="R8" t="n">
        <v>0.23611111</v>
      </c>
      <c r="S8" t="n">
        <v>0.75998264</v>
      </c>
      <c r="T8" t="n">
        <v>1.085434</v>
      </c>
      <c r="U8" t="n">
        <v>37.99019</v>
      </c>
      <c r="V8" t="b">
        <v>0</v>
      </c>
      <c r="W8" t="n">
        <v>0</v>
      </c>
      <c r="X8" t="inlineStr">
        <is>
          <t>role_subrole_balanced_score = base_support_score * capped sqrt(avg_macro_multiplier * avg_subrole_multiplier); role/subrole quota constraints use inverse weights.</t>
        </is>
      </c>
    </row>
    <row r="9">
      <c r="A9" t="inlineStr">
        <is>
          <t>C0008</t>
        </is>
      </c>
      <c r="B9" t="inlineStr">
        <is>
          <t>x_0008</t>
        </is>
      </c>
      <c r="C9" t="inlineStr">
        <is>
          <t>Architektenkammer Rheinland-Pfalz</t>
        </is>
      </c>
      <c r="D9" t="inlineStr">
        <is>
          <t>implementation_anchor</t>
        </is>
      </c>
      <c r="E9" t="inlineStr">
        <is>
          <t>construction_planning_anchor</t>
        </is>
      </c>
      <c r="F9" t="inlineStr">
        <is>
          <t>BRICKMAKERS AG</t>
        </is>
      </c>
      <c r="G9" t="inlineStr">
        <is>
          <t>profit_anchor</t>
        </is>
      </c>
      <c r="H9" t="inlineStr">
        <is>
          <t>technology_digital_anchor</t>
        </is>
      </c>
      <c r="I9" t="n">
        <v>35</v>
      </c>
      <c r="J9" t="n">
        <v>0</v>
      </c>
      <c r="K9" t="n">
        <v>0.1</v>
      </c>
      <c r="L9" t="n">
        <v>0.02040816</v>
      </c>
      <c r="M9" t="n">
        <v>0.12040816</v>
      </c>
      <c r="N9" t="n">
        <v>1.5502551</v>
      </c>
      <c r="O9" t="n">
        <v>54.258929</v>
      </c>
      <c r="P9" t="n">
        <v>0.125</v>
      </c>
      <c r="Q9" t="n">
        <v>0.11111111</v>
      </c>
      <c r="R9" t="n">
        <v>0.23611111</v>
      </c>
      <c r="S9" t="n">
        <v>0.75998264</v>
      </c>
      <c r="T9" t="n">
        <v>1.085434</v>
      </c>
      <c r="U9" t="n">
        <v>37.99019</v>
      </c>
      <c r="V9" t="b">
        <v>0</v>
      </c>
      <c r="W9" t="n">
        <v>0</v>
      </c>
      <c r="X9" t="inlineStr">
        <is>
          <t>role_subrole_balanced_score = base_support_score * capped sqrt(avg_macro_multiplier * avg_subrole_multiplier); role/subrole quota constraints use inverse weights.</t>
        </is>
      </c>
    </row>
    <row r="10">
      <c r="A10" t="inlineStr">
        <is>
          <t>C0009</t>
        </is>
      </c>
      <c r="B10" t="inlineStr">
        <is>
          <t>x_0009</t>
        </is>
      </c>
      <c r="C10" t="inlineStr">
        <is>
          <t>Architektenkammer Rheinland-Pfalz</t>
        </is>
      </c>
      <c r="D10" t="inlineStr">
        <is>
          <t>implementation_anchor</t>
        </is>
      </c>
      <c r="E10" t="inlineStr">
        <is>
          <t>construction_planning_anchor</t>
        </is>
      </c>
      <c r="F10" t="inlineStr">
        <is>
          <t>Empolis Information Management GmbH</t>
        </is>
      </c>
      <c r="G10" t="inlineStr">
        <is>
          <t>profit_anchor</t>
        </is>
      </c>
      <c r="H10" t="inlineStr">
        <is>
          <t>technology_digital_anchor</t>
        </is>
      </c>
      <c r="I10" t="n">
        <v>35</v>
      </c>
      <c r="J10" t="n">
        <v>0</v>
      </c>
      <c r="K10" t="n">
        <v>0.1</v>
      </c>
      <c r="L10" t="n">
        <v>0.02040816</v>
      </c>
      <c r="M10" t="n">
        <v>0.12040816</v>
      </c>
      <c r="N10" t="n">
        <v>1.5502551</v>
      </c>
      <c r="O10" t="n">
        <v>54.258929</v>
      </c>
      <c r="P10" t="n">
        <v>0.125</v>
      </c>
      <c r="Q10" t="n">
        <v>0.11111111</v>
      </c>
      <c r="R10" t="n">
        <v>0.23611111</v>
      </c>
      <c r="S10" t="n">
        <v>0.75998264</v>
      </c>
      <c r="T10" t="n">
        <v>1.085434</v>
      </c>
      <c r="U10" t="n">
        <v>37.99019</v>
      </c>
      <c r="V10" t="b">
        <v>0</v>
      </c>
      <c r="W10" t="n">
        <v>0</v>
      </c>
      <c r="X10" t="inlineStr">
        <is>
          <t>role_subrole_balanced_score = base_support_score * capped sqrt(avg_macro_multiplier * avg_subrole_multiplier); role/subrole quota constraints use inverse weights.</t>
        </is>
      </c>
    </row>
    <row r="11">
      <c r="A11" t="inlineStr">
        <is>
          <t>C0010</t>
        </is>
      </c>
      <c r="B11" t="inlineStr">
        <is>
          <t>x_0010</t>
        </is>
      </c>
      <c r="C11" t="inlineStr">
        <is>
          <t>Architektenkammer Rheinland-Pfalz</t>
        </is>
      </c>
      <c r="D11" t="inlineStr">
        <is>
          <t>implementation_anchor</t>
        </is>
      </c>
      <c r="E11" t="inlineStr">
        <is>
          <t>construction_planning_anchor</t>
        </is>
      </c>
      <c r="F11" t="inlineStr">
        <is>
          <t>Ministerium für Wirtschaft, Verkehr, Landwirtschaft und Weinbau</t>
        </is>
      </c>
      <c r="G11" t="inlineStr">
        <is>
          <t>profit_anchor</t>
        </is>
      </c>
      <c r="H11" t="inlineStr">
        <is>
          <t>public_policy_anchor</t>
        </is>
      </c>
      <c r="I11" t="n">
        <v>35</v>
      </c>
      <c r="J11" t="n">
        <v>0</v>
      </c>
      <c r="K11" t="n">
        <v>0.1</v>
      </c>
      <c r="L11" t="n">
        <v>0.02040816</v>
      </c>
      <c r="M11" t="n">
        <v>0.12040816</v>
      </c>
      <c r="N11" t="n">
        <v>1.5502551</v>
      </c>
      <c r="O11" t="n">
        <v>54.258929</v>
      </c>
      <c r="P11" t="n">
        <v>0.125</v>
      </c>
      <c r="Q11" t="n">
        <v>0.16666667</v>
      </c>
      <c r="R11" t="n">
        <v>0.29166667</v>
      </c>
      <c r="S11" t="n">
        <v>0.93880208</v>
      </c>
      <c r="T11" t="n">
        <v>1.20639244</v>
      </c>
      <c r="U11" t="n">
        <v>42.223735</v>
      </c>
      <c r="V11" t="b">
        <v>0</v>
      </c>
      <c r="W11" t="n">
        <v>0</v>
      </c>
      <c r="X11" t="inlineStr">
        <is>
          <t>role_subrole_balanced_score = base_support_score * capped sqrt(avg_macro_multiplier * avg_subrole_multiplier); role/subrole quota constraints use inverse weights.</t>
        </is>
      </c>
    </row>
    <row r="12">
      <c r="A12" t="inlineStr">
        <is>
          <t>C0011</t>
        </is>
      </c>
      <c r="B12" t="inlineStr">
        <is>
          <t>x_0011</t>
        </is>
      </c>
      <c r="C12" t="inlineStr">
        <is>
          <t>Aturas GmbH</t>
        </is>
      </c>
      <c r="D12" t="inlineStr">
        <is>
          <t>profit_anchor</t>
        </is>
      </c>
      <c r="E12" t="inlineStr">
        <is>
          <t>technology_digital_anchor</t>
        </is>
      </c>
      <c r="F12" t="inlineStr">
        <is>
          <t>Ingenieurkammer Rheinland-Pfalz</t>
        </is>
      </c>
      <c r="G12" t="inlineStr">
        <is>
          <t>implementation_anchor</t>
        </is>
      </c>
      <c r="H12" t="inlineStr">
        <is>
          <t>construction_planning_anchor</t>
        </is>
      </c>
      <c r="I12" t="n">
        <v>35</v>
      </c>
      <c r="J12" t="n">
        <v>0</v>
      </c>
      <c r="K12" t="n">
        <v>0.02040816</v>
      </c>
      <c r="L12" t="n">
        <v>0.1</v>
      </c>
      <c r="M12" t="n">
        <v>0.12040816</v>
      </c>
      <c r="N12" t="n">
        <v>1.5502551</v>
      </c>
      <c r="O12" t="n">
        <v>54.258929</v>
      </c>
      <c r="P12" t="n">
        <v>0.11111111</v>
      </c>
      <c r="Q12" t="n">
        <v>0.125</v>
      </c>
      <c r="R12" t="n">
        <v>0.23611111</v>
      </c>
      <c r="S12" t="n">
        <v>0.75998264</v>
      </c>
      <c r="T12" t="n">
        <v>1.085434</v>
      </c>
      <c r="U12" t="n">
        <v>37.99019</v>
      </c>
      <c r="V12" t="b">
        <v>0</v>
      </c>
      <c r="W12" t="n">
        <v>0</v>
      </c>
      <c r="X12" t="inlineStr">
        <is>
          <t>role_subrole_balanced_score = base_support_score * capped sqrt(avg_macro_multiplier * avg_subrole_multiplier); role/subrole quota constraints use inverse weights.</t>
        </is>
      </c>
    </row>
    <row r="13">
      <c r="A13" t="inlineStr">
        <is>
          <t>C0012</t>
        </is>
      </c>
      <c r="B13" t="inlineStr">
        <is>
          <t>x_0012</t>
        </is>
      </c>
      <c r="C13" t="inlineStr">
        <is>
          <t>BRICKMAKERS AG</t>
        </is>
      </c>
      <c r="D13" t="inlineStr">
        <is>
          <t>profit_anchor</t>
        </is>
      </c>
      <c r="E13" t="inlineStr">
        <is>
          <t>technology_digital_anchor</t>
        </is>
      </c>
      <c r="F13" t="inlineStr">
        <is>
          <t>Ingenieurkammer Rheinland-Pfalz</t>
        </is>
      </c>
      <c r="G13" t="inlineStr">
        <is>
          <t>implementation_anchor</t>
        </is>
      </c>
      <c r="H13" t="inlineStr">
        <is>
          <t>construction_planning_anchor</t>
        </is>
      </c>
      <c r="I13" t="n">
        <v>35</v>
      </c>
      <c r="J13" t="n">
        <v>0</v>
      </c>
      <c r="K13" t="n">
        <v>0.02040816</v>
      </c>
      <c r="L13" t="n">
        <v>0.1</v>
      </c>
      <c r="M13" t="n">
        <v>0.12040816</v>
      </c>
      <c r="N13" t="n">
        <v>1.5502551</v>
      </c>
      <c r="O13" t="n">
        <v>54.258929</v>
      </c>
      <c r="P13" t="n">
        <v>0.11111111</v>
      </c>
      <c r="Q13" t="n">
        <v>0.125</v>
      </c>
      <c r="R13" t="n">
        <v>0.23611111</v>
      </c>
      <c r="S13" t="n">
        <v>0.75998264</v>
      </c>
      <c r="T13" t="n">
        <v>1.085434</v>
      </c>
      <c r="U13" t="n">
        <v>37.99019</v>
      </c>
      <c r="V13" t="b">
        <v>0</v>
      </c>
      <c r="W13" t="n">
        <v>0</v>
      </c>
      <c r="X13" t="inlineStr">
        <is>
          <t>role_subrole_balanced_score = base_support_score * capped sqrt(avg_macro_multiplier * avg_subrole_multiplier); role/subrole quota constraints use inverse weights.</t>
        </is>
      </c>
    </row>
    <row r="14">
      <c r="A14" t="inlineStr">
        <is>
          <t>C0013</t>
        </is>
      </c>
      <c r="B14" t="inlineStr">
        <is>
          <t>x_0013</t>
        </is>
      </c>
      <c r="C14" t="inlineStr">
        <is>
          <t>Empolis Information Management GmbH</t>
        </is>
      </c>
      <c r="D14" t="inlineStr">
        <is>
          <t>profit_anchor</t>
        </is>
      </c>
      <c r="E14" t="inlineStr">
        <is>
          <t>technology_digital_anchor</t>
        </is>
      </c>
      <c r="F14" t="inlineStr">
        <is>
          <t>Ingenieurkammer Rheinland-Pfalz</t>
        </is>
      </c>
      <c r="G14" t="inlineStr">
        <is>
          <t>implementation_anchor</t>
        </is>
      </c>
      <c r="H14" t="inlineStr">
        <is>
          <t>construction_planning_anchor</t>
        </is>
      </c>
      <c r="I14" t="n">
        <v>35</v>
      </c>
      <c r="J14" t="n">
        <v>0</v>
      </c>
      <c r="K14" t="n">
        <v>0.02040816</v>
      </c>
      <c r="L14" t="n">
        <v>0.1</v>
      </c>
      <c r="M14" t="n">
        <v>0.12040816</v>
      </c>
      <c r="N14" t="n">
        <v>1.5502551</v>
      </c>
      <c r="O14" t="n">
        <v>54.258929</v>
      </c>
      <c r="P14" t="n">
        <v>0.11111111</v>
      </c>
      <c r="Q14" t="n">
        <v>0.125</v>
      </c>
      <c r="R14" t="n">
        <v>0.23611111</v>
      </c>
      <c r="S14" t="n">
        <v>0.75998264</v>
      </c>
      <c r="T14" t="n">
        <v>1.085434</v>
      </c>
      <c r="U14" t="n">
        <v>37.99019</v>
      </c>
      <c r="V14" t="b">
        <v>0</v>
      </c>
      <c r="W14" t="n">
        <v>0</v>
      </c>
      <c r="X14" t="inlineStr">
        <is>
          <t>role_subrole_balanced_score = base_support_score * capped sqrt(avg_macro_multiplier * avg_subrole_multiplier); role/subrole quota constraints use inverse weights.</t>
        </is>
      </c>
    </row>
    <row r="15">
      <c r="A15" t="inlineStr">
        <is>
          <t>C0014</t>
        </is>
      </c>
      <c r="B15" t="inlineStr">
        <is>
          <t>x_0014</t>
        </is>
      </c>
      <c r="C15" t="inlineStr">
        <is>
          <t>Ingenieurkammer Rheinland-Pfalz</t>
        </is>
      </c>
      <c r="D15" t="inlineStr">
        <is>
          <t>implementation_anchor</t>
        </is>
      </c>
      <c r="E15" t="inlineStr">
        <is>
          <t>construction_planning_anchor</t>
        </is>
      </c>
      <c r="F15" t="inlineStr">
        <is>
          <t>Ministerium für Wirtschaft, Verkehr, Landwirtschaft und Weinbau</t>
        </is>
      </c>
      <c r="G15" t="inlineStr">
        <is>
          <t>profit_anchor</t>
        </is>
      </c>
      <c r="H15" t="inlineStr">
        <is>
          <t>public_policy_anchor</t>
        </is>
      </c>
      <c r="I15" t="n">
        <v>35</v>
      </c>
      <c r="J15" t="n">
        <v>0</v>
      </c>
      <c r="K15" t="n">
        <v>0.1</v>
      </c>
      <c r="L15" t="n">
        <v>0.02040816</v>
      </c>
      <c r="M15" t="n">
        <v>0.12040816</v>
      </c>
      <c r="N15" t="n">
        <v>1.5502551</v>
      </c>
      <c r="O15" t="n">
        <v>54.258929</v>
      </c>
      <c r="P15" t="n">
        <v>0.125</v>
      </c>
      <c r="Q15" t="n">
        <v>0.16666667</v>
      </c>
      <c r="R15" t="n">
        <v>0.29166667</v>
      </c>
      <c r="S15" t="n">
        <v>0.93880208</v>
      </c>
      <c r="T15" t="n">
        <v>1.20639244</v>
      </c>
      <c r="U15" t="n">
        <v>42.223735</v>
      </c>
      <c r="V15" t="b">
        <v>0</v>
      </c>
      <c r="W15" t="n">
        <v>0</v>
      </c>
      <c r="X15" t="inlineStr">
        <is>
          <t>role_subrole_balanced_score = base_support_score * capped sqrt(avg_macro_multiplier * avg_subrole_multiplier); role/subrole quota constraints use inverse weights.</t>
        </is>
      </c>
    </row>
    <row r="16">
      <c r="A16" t="inlineStr">
        <is>
          <t>C0015</t>
        </is>
      </c>
      <c r="B16" t="inlineStr">
        <is>
          <t>x_0015</t>
        </is>
      </c>
      <c r="C16" t="inlineStr">
        <is>
          <t>Boehringer Ingelheim Pharma GmbH &amp; Co. KG</t>
        </is>
      </c>
      <c r="D16" t="inlineStr">
        <is>
          <t>profit_anchor</t>
        </is>
      </c>
      <c r="E16" t="inlineStr">
        <is>
          <t>health_social_anchor</t>
        </is>
      </c>
      <c r="F16" t="inlineStr">
        <is>
          <t>Landesärztekammer Rheinland-Pfalz</t>
        </is>
      </c>
      <c r="G16" t="inlineStr">
        <is>
          <t>implementation_anchor</t>
        </is>
      </c>
      <c r="H16" t="inlineStr">
        <is>
          <t>health_social_anchor</t>
        </is>
      </c>
      <c r="I16" t="n">
        <v>35</v>
      </c>
      <c r="J16" t="n">
        <v>0</v>
      </c>
      <c r="K16" t="n">
        <v>0.02040816</v>
      </c>
      <c r="L16" t="n">
        <v>0.1</v>
      </c>
      <c r="M16" t="n">
        <v>0.12040816</v>
      </c>
      <c r="N16" t="n">
        <v>1.5502551</v>
      </c>
      <c r="O16" t="n">
        <v>54.258929</v>
      </c>
      <c r="P16" t="n">
        <v>0.08333333</v>
      </c>
      <c r="Q16" t="n">
        <v>0.08333333</v>
      </c>
      <c r="R16" t="n">
        <v>0.16666667</v>
      </c>
      <c r="S16" t="n">
        <v>0.53645833</v>
      </c>
      <c r="T16" t="n">
        <v>0.91194697</v>
      </c>
      <c r="U16" t="n">
        <v>31.918144</v>
      </c>
      <c r="V16" t="b">
        <v>0</v>
      </c>
      <c r="W16" t="n">
        <v>0</v>
      </c>
      <c r="X16" t="inlineStr">
        <is>
          <t>role_subrole_balanced_score = base_support_score * capped sqrt(avg_macro_multiplier * avg_subrole_multiplier); role/subrole quota constraints use inverse weights.</t>
        </is>
      </c>
    </row>
    <row r="17">
      <c r="A17" t="inlineStr">
        <is>
          <t>C0016</t>
        </is>
      </c>
      <c r="B17" t="inlineStr">
        <is>
          <t>x_0016</t>
        </is>
      </c>
      <c r="C17" t="inlineStr">
        <is>
          <t>Bauern- und Winzerverband Rheinland-Pfalz Süd e.V.</t>
        </is>
      </c>
      <c r="D17" t="inlineStr">
        <is>
          <t>implementation_anchor</t>
        </is>
      </c>
      <c r="E17" t="inlineStr">
        <is>
          <t>agriculture_wine_anchor</t>
        </is>
      </c>
      <c r="F17" t="inlineStr">
        <is>
          <t>Mainzer Stadtwerke AG</t>
        </is>
      </c>
      <c r="G17" t="inlineStr">
        <is>
          <t>profit_anchor</t>
        </is>
      </c>
      <c r="H17" t="inlineStr">
        <is>
          <t>energy_infrastructure_anchor</t>
        </is>
      </c>
      <c r="I17" t="n">
        <v>35</v>
      </c>
      <c r="J17" t="n">
        <v>0</v>
      </c>
      <c r="K17" t="n">
        <v>0.1</v>
      </c>
      <c r="L17" t="n">
        <v>0.02040816</v>
      </c>
      <c r="M17" t="n">
        <v>0.12040816</v>
      </c>
      <c r="N17" t="n">
        <v>1.5502551</v>
      </c>
      <c r="O17" t="n">
        <v>54.258929</v>
      </c>
      <c r="P17" t="n">
        <v>1</v>
      </c>
      <c r="Q17" t="n">
        <v>0.11111111</v>
      </c>
      <c r="R17" t="n">
        <v>1.11111111</v>
      </c>
      <c r="S17" t="n">
        <v>3.57638889</v>
      </c>
      <c r="T17" t="n">
        <v>2.35463694</v>
      </c>
      <c r="U17" t="n">
        <v>82.41229300000001</v>
      </c>
      <c r="V17" t="b">
        <v>0</v>
      </c>
      <c r="W17" t="n">
        <v>0</v>
      </c>
      <c r="X17" t="inlineStr">
        <is>
          <t>role_subrole_balanced_score = base_support_score * capped sqrt(avg_macro_multiplier * avg_subrole_multiplier); role/subrole quota constraints use inverse weights.</t>
        </is>
      </c>
    </row>
    <row r="18">
      <c r="A18" t="inlineStr">
        <is>
          <t>C0017</t>
        </is>
      </c>
      <c r="B18" t="inlineStr">
        <is>
          <t>x_0017</t>
        </is>
      </c>
      <c r="C18" t="inlineStr">
        <is>
          <t>Entwicklungsagentur Rheinland-Pfalz e.V.</t>
        </is>
      </c>
      <c r="D18" t="inlineStr">
        <is>
          <t>implementation_anchor</t>
        </is>
      </c>
      <c r="E18" t="inlineStr">
        <is>
          <t>public_policy_anchor</t>
        </is>
      </c>
      <c r="F18" t="inlineStr">
        <is>
          <t>Mainzer Stadtwerke AG</t>
        </is>
      </c>
      <c r="G18" t="inlineStr">
        <is>
          <t>profit_anchor</t>
        </is>
      </c>
      <c r="H18" t="inlineStr">
        <is>
          <t>energy_infrastructure_anchor</t>
        </is>
      </c>
      <c r="I18" t="n">
        <v>35</v>
      </c>
      <c r="J18" t="n">
        <v>0</v>
      </c>
      <c r="K18" t="n">
        <v>0.1</v>
      </c>
      <c r="L18" t="n">
        <v>0.02040816</v>
      </c>
      <c r="M18" t="n">
        <v>0.12040816</v>
      </c>
      <c r="N18" t="n">
        <v>1.5502551</v>
      </c>
      <c r="O18" t="n">
        <v>54.258929</v>
      </c>
      <c r="P18" t="n">
        <v>0.16666667</v>
      </c>
      <c r="Q18" t="n">
        <v>0.11111111</v>
      </c>
      <c r="R18" t="n">
        <v>0.27777778</v>
      </c>
      <c r="S18" t="n">
        <v>0.89409722</v>
      </c>
      <c r="T18" t="n">
        <v>1.17731847</v>
      </c>
      <c r="U18" t="n">
        <v>41.206146</v>
      </c>
      <c r="V18" t="b">
        <v>0</v>
      </c>
      <c r="W18" t="n">
        <v>0</v>
      </c>
      <c r="X18" t="inlineStr">
        <is>
          <t>role_subrole_balanced_score = base_support_score * capped sqrt(avg_macro_multiplier * avg_subrole_multiplier); role/subrole quota constraints use inverse weights.</t>
        </is>
      </c>
    </row>
    <row r="19">
      <c r="A19" t="inlineStr">
        <is>
          <t>C0018</t>
        </is>
      </c>
      <c r="B19" t="inlineStr">
        <is>
          <t>x_0018</t>
        </is>
      </c>
      <c r="C19" t="inlineStr">
        <is>
          <t>Architektenkammer Rheinland-Pfalz</t>
        </is>
      </c>
      <c r="D19" t="inlineStr">
        <is>
          <t>implementation_anchor</t>
        </is>
      </c>
      <c r="E19" t="inlineStr">
        <is>
          <t>construction_planning_anchor</t>
        </is>
      </c>
      <c r="F19" t="inlineStr">
        <is>
          <t>vero – Verband der Bau- und Rohstoffindustrie</t>
        </is>
      </c>
      <c r="G19" t="inlineStr">
        <is>
          <t>profit_anchor</t>
        </is>
      </c>
      <c r="H19" t="inlineStr">
        <is>
          <t>construction_planning_anchor</t>
        </is>
      </c>
      <c r="I19" t="n">
        <v>35</v>
      </c>
      <c r="J19" t="n">
        <v>0</v>
      </c>
      <c r="K19" t="n">
        <v>0.1</v>
      </c>
      <c r="L19" t="n">
        <v>0.02040816</v>
      </c>
      <c r="M19" t="n">
        <v>0.12040816</v>
      </c>
      <c r="N19" t="n">
        <v>1.5502551</v>
      </c>
      <c r="O19" t="n">
        <v>54.258929</v>
      </c>
      <c r="P19" t="n">
        <v>0.125</v>
      </c>
      <c r="Q19" t="n">
        <v>0.125</v>
      </c>
      <c r="R19" t="n">
        <v>0.25</v>
      </c>
      <c r="S19" t="n">
        <v>0.8046875</v>
      </c>
      <c r="T19" t="n">
        <v>1.11690237</v>
      </c>
      <c r="U19" t="n">
        <v>39.091583</v>
      </c>
      <c r="V19" t="b">
        <v>0</v>
      </c>
      <c r="W19" t="n">
        <v>0</v>
      </c>
      <c r="X19" t="inlineStr">
        <is>
          <t>role_subrole_balanced_score = base_support_score * capped sqrt(avg_macro_multiplier * avg_subrole_multiplier); role/subrole quota constraints use inverse weights.</t>
        </is>
      </c>
    </row>
    <row r="20">
      <c r="A20" t="inlineStr">
        <is>
          <t>C0019</t>
        </is>
      </c>
      <c r="B20" t="inlineStr">
        <is>
          <t>x_0019</t>
        </is>
      </c>
      <c r="C20" t="inlineStr">
        <is>
          <t>Ingenieurkammer Rheinland-Pfalz</t>
        </is>
      </c>
      <c r="D20" t="inlineStr">
        <is>
          <t>implementation_anchor</t>
        </is>
      </c>
      <c r="E20" t="inlineStr">
        <is>
          <t>construction_planning_anchor</t>
        </is>
      </c>
      <c r="F20" t="inlineStr">
        <is>
          <t>vero – Verband der Bau- und Rohstoffindustrie</t>
        </is>
      </c>
      <c r="G20" t="inlineStr">
        <is>
          <t>profit_anchor</t>
        </is>
      </c>
      <c r="H20" t="inlineStr">
        <is>
          <t>construction_planning_anchor</t>
        </is>
      </c>
      <c r="I20" t="n">
        <v>35</v>
      </c>
      <c r="J20" t="n">
        <v>0</v>
      </c>
      <c r="K20" t="n">
        <v>0.1</v>
      </c>
      <c r="L20" t="n">
        <v>0.02040816</v>
      </c>
      <c r="M20" t="n">
        <v>0.12040816</v>
      </c>
      <c r="N20" t="n">
        <v>1.5502551</v>
      </c>
      <c r="O20" t="n">
        <v>54.258929</v>
      </c>
      <c r="P20" t="n">
        <v>0.125</v>
      </c>
      <c r="Q20" t="n">
        <v>0.125</v>
      </c>
      <c r="R20" t="n">
        <v>0.25</v>
      </c>
      <c r="S20" t="n">
        <v>0.8046875</v>
      </c>
      <c r="T20" t="n">
        <v>1.11690237</v>
      </c>
      <c r="U20" t="n">
        <v>39.091583</v>
      </c>
      <c r="V20" t="b">
        <v>0</v>
      </c>
      <c r="W20" t="n">
        <v>0</v>
      </c>
      <c r="X20" t="inlineStr">
        <is>
          <t>role_subrole_balanced_score = base_support_score * capped sqrt(avg_macro_multiplier * avg_subrole_multiplier); role/subrole quota constraints use inverse weights.</t>
        </is>
      </c>
    </row>
    <row r="21">
      <c r="A21" t="inlineStr">
        <is>
          <t>C0020</t>
        </is>
      </c>
      <c r="B21" t="inlineStr">
        <is>
          <t>x_0020</t>
        </is>
      </c>
      <c r="C21" t="inlineStr">
        <is>
          <t>Entwicklungsagentur Rheinland-Pfalz e.V.</t>
        </is>
      </c>
      <c r="D21" t="inlineStr">
        <is>
          <t>implementation_anchor</t>
        </is>
      </c>
      <c r="E21" t="inlineStr">
        <is>
          <t>public_policy_anchor</t>
        </is>
      </c>
      <c r="F21" t="inlineStr">
        <is>
          <t>Erster FC Kaiserslautern GmbH &amp; Co. KGaA</t>
        </is>
      </c>
      <c r="G21" t="inlineStr">
        <is>
          <t>profit_anchor</t>
        </is>
      </c>
      <c r="H21" t="inlineStr">
        <is>
          <t>sports_regional_identity_anchor</t>
        </is>
      </c>
      <c r="I21" t="n">
        <v>35</v>
      </c>
      <c r="J21" t="n">
        <v>0</v>
      </c>
      <c r="K21" t="n">
        <v>0.1</v>
      </c>
      <c r="L21" t="n">
        <v>0.02040816</v>
      </c>
      <c r="M21" t="n">
        <v>0.12040816</v>
      </c>
      <c r="N21" t="n">
        <v>1.5502551</v>
      </c>
      <c r="O21" t="n">
        <v>54.258929</v>
      </c>
      <c r="P21" t="n">
        <v>0.16666667</v>
      </c>
      <c r="Q21" t="n">
        <v>0.5</v>
      </c>
      <c r="R21" t="n">
        <v>0.66666667</v>
      </c>
      <c r="S21" t="n">
        <v>2.14583333</v>
      </c>
      <c r="T21" t="n">
        <v>1.82389393</v>
      </c>
      <c r="U21" t="n">
        <v>63.836288</v>
      </c>
      <c r="V21" t="b">
        <v>0</v>
      </c>
      <c r="W21" t="n">
        <v>0</v>
      </c>
      <c r="X21" t="inlineStr">
        <is>
          <t>role_subrole_balanced_score = base_support_score * capped sqrt(avg_macro_multiplier * avg_subrole_multiplier); role/subrole quota constraints use inverse weights.</t>
        </is>
      </c>
    </row>
    <row r="22">
      <c r="A22" t="inlineStr">
        <is>
          <t>C0021</t>
        </is>
      </c>
      <c r="B22" t="inlineStr">
        <is>
          <t>x_0021</t>
        </is>
      </c>
      <c r="C22" t="inlineStr">
        <is>
          <t>BRICKMAKERS AG</t>
        </is>
      </c>
      <c r="D22" t="inlineStr">
        <is>
          <t>profit_anchor</t>
        </is>
      </c>
      <c r="E22" t="inlineStr">
        <is>
          <t>technology_digital_anchor</t>
        </is>
      </c>
      <c r="F22" t="inlineStr">
        <is>
          <t>Handwerkskammern Rheinland-Pfalz</t>
        </is>
      </c>
      <c r="G22" t="inlineStr">
        <is>
          <t>implementation_anchor</t>
        </is>
      </c>
      <c r="H22" t="inlineStr">
        <is>
          <t>chamber_association_anchor</t>
        </is>
      </c>
      <c r="I22" t="n">
        <v>35</v>
      </c>
      <c r="J22" t="n">
        <v>0</v>
      </c>
      <c r="K22" t="n">
        <v>0.02040816</v>
      </c>
      <c r="L22" t="n">
        <v>0.1</v>
      </c>
      <c r="M22" t="n">
        <v>0.12040816</v>
      </c>
      <c r="N22" t="n">
        <v>1.5502551</v>
      </c>
      <c r="O22" t="n">
        <v>54.258929</v>
      </c>
      <c r="P22" t="n">
        <v>0.11111111</v>
      </c>
      <c r="Q22" t="n">
        <v>0.25</v>
      </c>
      <c r="R22" t="n">
        <v>0.36111111</v>
      </c>
      <c r="S22" t="n">
        <v>1.16232639</v>
      </c>
      <c r="T22" t="n">
        <v>1.34234959</v>
      </c>
      <c r="U22" t="n">
        <v>46.982236</v>
      </c>
      <c r="V22" t="b">
        <v>0</v>
      </c>
      <c r="W22" t="n">
        <v>0</v>
      </c>
      <c r="X22" t="inlineStr">
        <is>
          <t>role_subrole_balanced_score = base_support_score * capped sqrt(avg_macro_multiplier * avg_subrole_multiplier); role/subrole quota constraints use inverse weights.</t>
        </is>
      </c>
    </row>
    <row r="23">
      <c r="A23" t="inlineStr">
        <is>
          <t>C0022</t>
        </is>
      </c>
      <c r="B23" t="inlineStr">
        <is>
          <t>x_0022</t>
        </is>
      </c>
      <c r="C23" t="inlineStr">
        <is>
          <t>Deutsche Telekom AG</t>
        </is>
      </c>
      <c r="D23" t="inlineStr">
        <is>
          <t>profit_anchor</t>
        </is>
      </c>
      <c r="E23" t="inlineStr">
        <is>
          <t>technology_digital_anchor</t>
        </is>
      </c>
      <c r="F23" t="inlineStr">
        <is>
          <t>Handwerkskammern Rheinland-Pfalz</t>
        </is>
      </c>
      <c r="G23" t="inlineStr">
        <is>
          <t>implementation_anchor</t>
        </is>
      </c>
      <c r="H23" t="inlineStr">
        <is>
          <t>chamber_association_anchor</t>
        </is>
      </c>
      <c r="I23" t="n">
        <v>35</v>
      </c>
      <c r="J23" t="n">
        <v>0</v>
      </c>
      <c r="K23" t="n">
        <v>0.02040816</v>
      </c>
      <c r="L23" t="n">
        <v>0.1</v>
      </c>
      <c r="M23" t="n">
        <v>0.12040816</v>
      </c>
      <c r="N23" t="n">
        <v>1.5502551</v>
      </c>
      <c r="O23" t="n">
        <v>54.258929</v>
      </c>
      <c r="P23" t="n">
        <v>0.11111111</v>
      </c>
      <c r="Q23" t="n">
        <v>0.25</v>
      </c>
      <c r="R23" t="n">
        <v>0.36111111</v>
      </c>
      <c r="S23" t="n">
        <v>1.16232639</v>
      </c>
      <c r="T23" t="n">
        <v>1.34234959</v>
      </c>
      <c r="U23" t="n">
        <v>46.982236</v>
      </c>
      <c r="V23" t="b">
        <v>0</v>
      </c>
      <c r="W23" t="n">
        <v>0</v>
      </c>
      <c r="X23" t="inlineStr">
        <is>
          <t>role_subrole_balanced_score = base_support_score * capped sqrt(avg_macro_multiplier * avg_subrole_multiplier); role/subrole quota constraints use inverse weights.</t>
        </is>
      </c>
    </row>
    <row r="24">
      <c r="A24" t="inlineStr">
        <is>
          <t>C0023</t>
        </is>
      </c>
      <c r="B24" t="inlineStr">
        <is>
          <t>x_0023</t>
        </is>
      </c>
      <c r="C24" t="inlineStr">
        <is>
          <t>Empolis Information Management GmbH</t>
        </is>
      </c>
      <c r="D24" t="inlineStr">
        <is>
          <t>profit_anchor</t>
        </is>
      </c>
      <c r="E24" t="inlineStr">
        <is>
          <t>technology_digital_anchor</t>
        </is>
      </c>
      <c r="F24" t="inlineStr">
        <is>
          <t>Handwerkskammern Rheinland-Pfalz</t>
        </is>
      </c>
      <c r="G24" t="inlineStr">
        <is>
          <t>implementation_anchor</t>
        </is>
      </c>
      <c r="H24" t="inlineStr">
        <is>
          <t>chamber_association_anchor</t>
        </is>
      </c>
      <c r="I24" t="n">
        <v>35</v>
      </c>
      <c r="J24" t="n">
        <v>0</v>
      </c>
      <c r="K24" t="n">
        <v>0.02040816</v>
      </c>
      <c r="L24" t="n">
        <v>0.1</v>
      </c>
      <c r="M24" t="n">
        <v>0.12040816</v>
      </c>
      <c r="N24" t="n">
        <v>1.5502551</v>
      </c>
      <c r="O24" t="n">
        <v>54.258929</v>
      </c>
      <c r="P24" t="n">
        <v>0.11111111</v>
      </c>
      <c r="Q24" t="n">
        <v>0.25</v>
      </c>
      <c r="R24" t="n">
        <v>0.36111111</v>
      </c>
      <c r="S24" t="n">
        <v>1.16232639</v>
      </c>
      <c r="T24" t="n">
        <v>1.34234959</v>
      </c>
      <c r="U24" t="n">
        <v>46.982236</v>
      </c>
      <c r="V24" t="b">
        <v>0</v>
      </c>
      <c r="W24" t="n">
        <v>0</v>
      </c>
      <c r="X24" t="inlineStr">
        <is>
          <t>role_subrole_balanced_score = base_support_score * capped sqrt(avg_macro_multiplier * avg_subrole_multiplier); role/subrole quota constraints use inverse weights.</t>
        </is>
      </c>
    </row>
    <row r="25">
      <c r="A25" t="inlineStr">
        <is>
          <t>C0024</t>
        </is>
      </c>
      <c r="B25" t="inlineStr">
        <is>
          <t>x_0024</t>
        </is>
      </c>
      <c r="C25" t="inlineStr">
        <is>
          <t>Handwerkskammern Rheinland-Pfalz</t>
        </is>
      </c>
      <c r="D25" t="inlineStr">
        <is>
          <t>implementation_anchor</t>
        </is>
      </c>
      <c r="E25" t="inlineStr">
        <is>
          <t>chamber_association_anchor</t>
        </is>
      </c>
      <c r="F25" t="inlineStr">
        <is>
          <t>ITK Engineering GmbH</t>
        </is>
      </c>
      <c r="G25" t="inlineStr">
        <is>
          <t>profit_anchor</t>
        </is>
      </c>
      <c r="H25" t="inlineStr">
        <is>
          <t>technology_digital_anchor</t>
        </is>
      </c>
      <c r="I25" t="n">
        <v>35</v>
      </c>
      <c r="J25" t="n">
        <v>0</v>
      </c>
      <c r="K25" t="n">
        <v>0.1</v>
      </c>
      <c r="L25" t="n">
        <v>0.02040816</v>
      </c>
      <c r="M25" t="n">
        <v>0.12040816</v>
      </c>
      <c r="N25" t="n">
        <v>1.5502551</v>
      </c>
      <c r="O25" t="n">
        <v>54.258929</v>
      </c>
      <c r="P25" t="n">
        <v>0.25</v>
      </c>
      <c r="Q25" t="n">
        <v>0.11111111</v>
      </c>
      <c r="R25" t="n">
        <v>0.36111111</v>
      </c>
      <c r="S25" t="n">
        <v>1.16232639</v>
      </c>
      <c r="T25" t="n">
        <v>1.34234959</v>
      </c>
      <c r="U25" t="n">
        <v>46.982236</v>
      </c>
      <c r="V25" t="b">
        <v>0</v>
      </c>
      <c r="W25" t="n">
        <v>0</v>
      </c>
      <c r="X25" t="inlineStr">
        <is>
          <t>role_subrole_balanced_score = base_support_score * capped sqrt(avg_macro_multiplier * avg_subrole_multiplier); role/subrole quota constraints use inverse weights.</t>
        </is>
      </c>
    </row>
    <row r="26">
      <c r="A26" t="inlineStr">
        <is>
          <t>C0025</t>
        </is>
      </c>
      <c r="B26" t="inlineStr">
        <is>
          <t>x_0025</t>
        </is>
      </c>
      <c r="C26" t="inlineStr">
        <is>
          <t>Bundesagentur für Arbeit, Regionaldirektion Rheinland-Pfalz-Saarland</t>
        </is>
      </c>
      <c r="D26" t="inlineStr">
        <is>
          <t>implementation_anchor</t>
        </is>
      </c>
      <c r="E26" t="inlineStr">
        <is>
          <t>public_policy_anchor</t>
        </is>
      </c>
      <c r="F26" t="inlineStr">
        <is>
          <t>Leonardo PersonalKonzept GmbH</t>
        </is>
      </c>
      <c r="G26" t="inlineStr">
        <is>
          <t>profit_anchor</t>
        </is>
      </c>
      <c r="H26" t="inlineStr">
        <is>
          <t>professional_services_anchor</t>
        </is>
      </c>
      <c r="I26" t="n">
        <v>35</v>
      </c>
      <c r="J26" t="n">
        <v>0</v>
      </c>
      <c r="K26" t="n">
        <v>0.1</v>
      </c>
      <c r="L26" t="n">
        <v>0.02040816</v>
      </c>
      <c r="M26" t="n">
        <v>0.12040816</v>
      </c>
      <c r="N26" t="n">
        <v>1.5502551</v>
      </c>
      <c r="O26" t="n">
        <v>54.258929</v>
      </c>
      <c r="P26" t="n">
        <v>0.16666667</v>
      </c>
      <c r="Q26" t="n">
        <v>0.2</v>
      </c>
      <c r="R26" t="n">
        <v>0.36666667</v>
      </c>
      <c r="S26" t="n">
        <v>1.18020833</v>
      </c>
      <c r="T26" t="n">
        <v>1.35263594</v>
      </c>
      <c r="U26" t="n">
        <v>47.342258</v>
      </c>
      <c r="V26" t="b">
        <v>0</v>
      </c>
      <c r="W26" t="n">
        <v>0</v>
      </c>
      <c r="X26" t="inlineStr">
        <is>
          <t>role_subrole_balanced_score = base_support_score * capped sqrt(avg_macro_multiplier * avg_subrole_multiplier); role/subrole quota constraints use inverse weights.</t>
        </is>
      </c>
    </row>
    <row r="27">
      <c r="A27" t="inlineStr">
        <is>
          <t>C0026</t>
        </is>
      </c>
      <c r="B27" t="inlineStr">
        <is>
          <t>x_0026</t>
        </is>
      </c>
      <c r="C27" t="inlineStr">
        <is>
          <t>Caritasverband für die Diözese Speyer e.V.</t>
        </is>
      </c>
      <c r="D27" t="inlineStr">
        <is>
          <t>implementation_anchor</t>
        </is>
      </c>
      <c r="E27" t="inlineStr">
        <is>
          <t>health_social_anchor</t>
        </is>
      </c>
      <c r="F27" t="inlineStr">
        <is>
          <t>Leonardo PersonalKonzept GmbH</t>
        </is>
      </c>
      <c r="G27" t="inlineStr">
        <is>
          <t>profit_anchor</t>
        </is>
      </c>
      <c r="H27" t="inlineStr">
        <is>
          <t>professional_services_anchor</t>
        </is>
      </c>
      <c r="I27" t="n">
        <v>35</v>
      </c>
      <c r="J27" t="n">
        <v>0</v>
      </c>
      <c r="K27" t="n">
        <v>0.1</v>
      </c>
      <c r="L27" t="n">
        <v>0.02040816</v>
      </c>
      <c r="M27" t="n">
        <v>0.12040816</v>
      </c>
      <c r="N27" t="n">
        <v>1.5502551</v>
      </c>
      <c r="O27" t="n">
        <v>54.258929</v>
      </c>
      <c r="P27" t="n">
        <v>0.08333333</v>
      </c>
      <c r="Q27" t="n">
        <v>0.2</v>
      </c>
      <c r="R27" t="n">
        <v>0.28333333</v>
      </c>
      <c r="S27" t="n">
        <v>0.91197917</v>
      </c>
      <c r="T27" t="n">
        <v>1.18903337</v>
      </c>
      <c r="U27" t="n">
        <v>41.616168</v>
      </c>
      <c r="V27" t="b">
        <v>0</v>
      </c>
      <c r="W27" t="n">
        <v>0</v>
      </c>
      <c r="X27" t="inlineStr">
        <is>
          <t>role_subrole_balanced_score = base_support_score * capped sqrt(avg_macro_multiplier * avg_subrole_multiplier); role/subrole quota constraints use inverse weights.</t>
        </is>
      </c>
    </row>
    <row r="28">
      <c r="A28" t="inlineStr">
        <is>
          <t>C0027</t>
        </is>
      </c>
      <c r="B28" t="inlineStr">
        <is>
          <t>x_0027</t>
        </is>
      </c>
      <c r="C28" t="inlineStr">
        <is>
          <t>BASF SE</t>
        </is>
      </c>
      <c r="D28" t="inlineStr">
        <is>
          <t>profit_anchor</t>
        </is>
      </c>
      <c r="E28" t="inlineStr">
        <is>
          <t>industry_anchor</t>
        </is>
      </c>
      <c r="F28" t="inlineStr">
        <is>
          <t>Bundesagentur für Arbeit, Regionaldirektion Rheinland-Pfalz-Saarland</t>
        </is>
      </c>
      <c r="G28" t="inlineStr">
        <is>
          <t>implementation_anchor</t>
        </is>
      </c>
      <c r="H28" t="inlineStr">
        <is>
          <t>public_policy_anchor</t>
        </is>
      </c>
      <c r="I28" t="n">
        <v>34</v>
      </c>
      <c r="J28" t="n">
        <v>0</v>
      </c>
      <c r="K28" t="n">
        <v>0.02040816</v>
      </c>
      <c r="L28" t="n">
        <v>0.1</v>
      </c>
      <c r="M28" t="n">
        <v>0.12040816</v>
      </c>
      <c r="N28" t="n">
        <v>1.5502551</v>
      </c>
      <c r="O28" t="n">
        <v>52.708673</v>
      </c>
      <c r="P28" t="n">
        <v>0.09090909</v>
      </c>
      <c r="Q28" t="n">
        <v>0.16666667</v>
      </c>
      <c r="R28" t="n">
        <v>0.25757576</v>
      </c>
      <c r="S28" t="n">
        <v>0.82907197</v>
      </c>
      <c r="T28" t="n">
        <v>1.13369884</v>
      </c>
      <c r="U28" t="n">
        <v>38.54576</v>
      </c>
      <c r="V28" t="b">
        <v>0</v>
      </c>
      <c r="W28" t="n">
        <v>0</v>
      </c>
      <c r="X28" t="inlineStr">
        <is>
          <t>role_subrole_balanced_score = base_support_score * capped sqrt(avg_macro_multiplier * avg_subrole_multiplier); role/subrole quota constraints use inverse weights.</t>
        </is>
      </c>
    </row>
    <row r="29">
      <c r="A29" t="inlineStr">
        <is>
          <t>C0028</t>
        </is>
      </c>
      <c r="B29" t="inlineStr">
        <is>
          <t>x_0028</t>
        </is>
      </c>
      <c r="C29" t="inlineStr">
        <is>
          <t>BASF SE</t>
        </is>
      </c>
      <c r="D29" t="inlineStr">
        <is>
          <t>profit_anchor</t>
        </is>
      </c>
      <c r="E29" t="inlineStr">
        <is>
          <t>industry_anchor</t>
        </is>
      </c>
      <c r="F29" t="inlineStr">
        <is>
          <t>Handwerkskammern Rheinland-Pfalz</t>
        </is>
      </c>
      <c r="G29" t="inlineStr">
        <is>
          <t>implementation_anchor</t>
        </is>
      </c>
      <c r="H29" t="inlineStr">
        <is>
          <t>chamber_association_anchor</t>
        </is>
      </c>
      <c r="I29" t="n">
        <v>34</v>
      </c>
      <c r="J29" t="n">
        <v>0</v>
      </c>
      <c r="K29" t="n">
        <v>0.02040816</v>
      </c>
      <c r="L29" t="n">
        <v>0.1</v>
      </c>
      <c r="M29" t="n">
        <v>0.12040816</v>
      </c>
      <c r="N29" t="n">
        <v>1.5502551</v>
      </c>
      <c r="O29" t="n">
        <v>52.708673</v>
      </c>
      <c r="P29" t="n">
        <v>0.09090909</v>
      </c>
      <c r="Q29" t="n">
        <v>0.25</v>
      </c>
      <c r="R29" t="n">
        <v>0.34090909</v>
      </c>
      <c r="S29" t="n">
        <v>1.09730114</v>
      </c>
      <c r="T29" t="n">
        <v>1.30426097</v>
      </c>
      <c r="U29" t="n">
        <v>44.344873</v>
      </c>
      <c r="V29" t="b">
        <v>0</v>
      </c>
      <c r="W29" t="n">
        <v>0</v>
      </c>
      <c r="X29" t="inlineStr">
        <is>
          <t>role_subrole_balanced_score = base_support_score * capped sqrt(avg_macro_multiplier * avg_subrole_multiplier); role/subrole quota constraints use inverse weights.</t>
        </is>
      </c>
    </row>
    <row r="30">
      <c r="A30" t="inlineStr">
        <is>
          <t>C0029</t>
        </is>
      </c>
      <c r="B30" t="inlineStr">
        <is>
          <t>x_0029</t>
        </is>
      </c>
      <c r="C30" t="inlineStr">
        <is>
          <t>Boehringer Ingelheim Pharma GmbH &amp; Co. KG</t>
        </is>
      </c>
      <c r="D30" t="inlineStr">
        <is>
          <t>profit_anchor</t>
        </is>
      </c>
      <c r="E30" t="inlineStr">
        <is>
          <t>health_social_anchor</t>
        </is>
      </c>
      <c r="F30" t="inlineStr">
        <is>
          <t>Bundesagentur für Arbeit, Regionaldirektion Rheinland-Pfalz-Saarland</t>
        </is>
      </c>
      <c r="G30" t="inlineStr">
        <is>
          <t>implementation_anchor</t>
        </is>
      </c>
      <c r="H30" t="inlineStr">
        <is>
          <t>public_policy_anchor</t>
        </is>
      </c>
      <c r="I30" t="n">
        <v>34</v>
      </c>
      <c r="J30" t="n">
        <v>0</v>
      </c>
      <c r="K30" t="n">
        <v>0.02040816</v>
      </c>
      <c r="L30" t="n">
        <v>0.1</v>
      </c>
      <c r="M30" t="n">
        <v>0.12040816</v>
      </c>
      <c r="N30" t="n">
        <v>1.5502551</v>
      </c>
      <c r="O30" t="n">
        <v>52.708673</v>
      </c>
      <c r="P30" t="n">
        <v>0.08333333</v>
      </c>
      <c r="Q30" t="n">
        <v>0.16666667</v>
      </c>
      <c r="R30" t="n">
        <v>0.25</v>
      </c>
      <c r="S30" t="n">
        <v>0.8046875</v>
      </c>
      <c r="T30" t="n">
        <v>1.11690237</v>
      </c>
      <c r="U30" t="n">
        <v>37.974681</v>
      </c>
      <c r="V30" t="b">
        <v>0</v>
      </c>
      <c r="W30" t="n">
        <v>0</v>
      </c>
      <c r="X30" t="inlineStr">
        <is>
          <t>role_subrole_balanced_score = base_support_score * capped sqrt(avg_macro_multiplier * avg_subrole_multiplier); role/subrole quota constraints use inverse weights.</t>
        </is>
      </c>
    </row>
    <row r="31">
      <c r="A31" t="inlineStr">
        <is>
          <t>C0030</t>
        </is>
      </c>
      <c r="B31" t="inlineStr">
        <is>
          <t>x_0030</t>
        </is>
      </c>
      <c r="C31" t="inlineStr">
        <is>
          <t>Boehringer Ingelheim Pharma GmbH &amp; Co. KG</t>
        </is>
      </c>
      <c r="D31" t="inlineStr">
        <is>
          <t>profit_anchor</t>
        </is>
      </c>
      <c r="E31" t="inlineStr">
        <is>
          <t>health_social_anchor</t>
        </is>
      </c>
      <c r="F31" t="inlineStr">
        <is>
          <t>Handwerkskammern Rheinland-Pfalz</t>
        </is>
      </c>
      <c r="G31" t="inlineStr">
        <is>
          <t>implementation_anchor</t>
        </is>
      </c>
      <c r="H31" t="inlineStr">
        <is>
          <t>chamber_association_anchor</t>
        </is>
      </c>
      <c r="I31" t="n">
        <v>34</v>
      </c>
      <c r="J31" t="n">
        <v>0</v>
      </c>
      <c r="K31" t="n">
        <v>0.02040816</v>
      </c>
      <c r="L31" t="n">
        <v>0.1</v>
      </c>
      <c r="M31" t="n">
        <v>0.12040816</v>
      </c>
      <c r="N31" t="n">
        <v>1.5502551</v>
      </c>
      <c r="O31" t="n">
        <v>52.708673</v>
      </c>
      <c r="P31" t="n">
        <v>0.08333333</v>
      </c>
      <c r="Q31" t="n">
        <v>0.25</v>
      </c>
      <c r="R31" t="n">
        <v>0.33333333</v>
      </c>
      <c r="S31" t="n">
        <v>1.07291667</v>
      </c>
      <c r="T31" t="n">
        <v>1.28968777</v>
      </c>
      <c r="U31" t="n">
        <v>43.849384</v>
      </c>
      <c r="V31" t="b">
        <v>0</v>
      </c>
      <c r="W31" t="n">
        <v>0</v>
      </c>
      <c r="X31" t="inlineStr">
        <is>
          <t>role_subrole_balanced_score = base_support_score * capped sqrt(avg_macro_multiplier * avg_subrole_multiplier); role/subrole quota constraints use inverse weights.</t>
        </is>
      </c>
    </row>
    <row r="32">
      <c r="A32" t="inlineStr">
        <is>
          <t>C0031</t>
        </is>
      </c>
      <c r="B32" t="inlineStr">
        <is>
          <t>x_0031</t>
        </is>
      </c>
      <c r="C32" t="inlineStr">
        <is>
          <t>Bundesagentur für Arbeit, Regionaldirektion Rheinland-Pfalz-Saarland</t>
        </is>
      </c>
      <c r="D32" t="inlineStr">
        <is>
          <t>implementation_anchor</t>
        </is>
      </c>
      <c r="E32" t="inlineStr">
        <is>
          <t>public_policy_anchor</t>
        </is>
      </c>
      <c r="F32" t="inlineStr">
        <is>
          <t>Duale Hochschule Rheinland-Pfalz</t>
        </is>
      </c>
      <c r="G32" t="inlineStr">
        <is>
          <t>academic_support</t>
        </is>
      </c>
      <c r="H32" t="inlineStr">
        <is>
          <t>university_applied_sciences</t>
        </is>
      </c>
      <c r="I32" t="n">
        <v>34</v>
      </c>
      <c r="J32" t="n">
        <v>0</v>
      </c>
      <c r="K32" t="n">
        <v>0.1</v>
      </c>
      <c r="L32" t="n">
        <v>0.05555556</v>
      </c>
      <c r="M32" t="n">
        <v>0.15555556</v>
      </c>
      <c r="N32" t="n">
        <v>2.00277778</v>
      </c>
      <c r="O32" t="n">
        <v>68.094444</v>
      </c>
      <c r="P32" t="n">
        <v>0.16666667</v>
      </c>
      <c r="Q32" t="n">
        <v>0.09090909</v>
      </c>
      <c r="R32" t="n">
        <v>0.25757576</v>
      </c>
      <c r="S32" t="n">
        <v>0.82907197</v>
      </c>
      <c r="T32" t="n">
        <v>1.2885833</v>
      </c>
      <c r="U32" t="n">
        <v>43.811832</v>
      </c>
      <c r="V32" t="b">
        <v>1</v>
      </c>
      <c r="W32" t="n">
        <v>1</v>
      </c>
      <c r="X32" t="inlineStr">
        <is>
          <t>role_subrole_balanced_score = base_support_score * capped sqrt(avg_macro_multiplier * avg_subrole_multiplier); role/subrole quota constraints use inverse weights.</t>
        </is>
      </c>
    </row>
    <row r="33">
      <c r="A33" t="inlineStr">
        <is>
          <t>C0032</t>
        </is>
      </c>
      <c r="B33" t="inlineStr">
        <is>
          <t>x_0032</t>
        </is>
      </c>
      <c r="C33" t="inlineStr">
        <is>
          <t>Bundesagentur für Arbeit, Regionaldirektion Rheinland-Pfalz-Saarland</t>
        </is>
      </c>
      <c r="D33" t="inlineStr">
        <is>
          <t>implementation_anchor</t>
        </is>
      </c>
      <c r="E33" t="inlineStr">
        <is>
          <t>public_policy_anchor</t>
        </is>
      </c>
      <c r="F33" t="inlineStr">
        <is>
          <t>GLOBUS Markthallen Holding GmbH &amp; Co. KG</t>
        </is>
      </c>
      <c r="G33" t="inlineStr">
        <is>
          <t>profit_anchor</t>
        </is>
      </c>
      <c r="H33" t="inlineStr">
        <is>
          <t>food_beverage_consumer_anchor</t>
        </is>
      </c>
      <c r="I33" t="n">
        <v>34</v>
      </c>
      <c r="J33" t="n">
        <v>0</v>
      </c>
      <c r="K33" t="n">
        <v>0.1</v>
      </c>
      <c r="L33" t="n">
        <v>0.02040816</v>
      </c>
      <c r="M33" t="n">
        <v>0.12040816</v>
      </c>
      <c r="N33" t="n">
        <v>1.5502551</v>
      </c>
      <c r="O33" t="n">
        <v>52.708673</v>
      </c>
      <c r="P33" t="n">
        <v>0.16666667</v>
      </c>
      <c r="Q33" t="n">
        <v>0.2</v>
      </c>
      <c r="R33" t="n">
        <v>0.36666667</v>
      </c>
      <c r="S33" t="n">
        <v>1.18020833</v>
      </c>
      <c r="T33" t="n">
        <v>1.35263594</v>
      </c>
      <c r="U33" t="n">
        <v>45.989622</v>
      </c>
      <c r="V33" t="b">
        <v>0</v>
      </c>
      <c r="W33" t="n">
        <v>0</v>
      </c>
      <c r="X33" t="inlineStr">
        <is>
          <t>role_subrole_balanced_score = base_support_score * capped sqrt(avg_macro_multiplier * avg_subrole_multiplier); role/subrole quota constraints use inverse weights.</t>
        </is>
      </c>
    </row>
    <row r="34">
      <c r="A34" t="inlineStr">
        <is>
          <t>C0033</t>
        </is>
      </c>
      <c r="B34" t="inlineStr">
        <is>
          <t>x_0033</t>
        </is>
      </c>
      <c r="C34" t="inlineStr">
        <is>
          <t>Caritasverband für die Diözese Speyer e.V.</t>
        </is>
      </c>
      <c r="D34" t="inlineStr">
        <is>
          <t>implementation_anchor</t>
        </is>
      </c>
      <c r="E34" t="inlineStr">
        <is>
          <t>health_social_anchor</t>
        </is>
      </c>
      <c r="F34" t="inlineStr">
        <is>
          <t>Leonardo PersonalKonzept GmbH</t>
        </is>
      </c>
      <c r="G34" t="inlineStr">
        <is>
          <t>profit_anchor</t>
        </is>
      </c>
      <c r="H34" t="inlineStr">
        <is>
          <t>professional_services_anchor</t>
        </is>
      </c>
      <c r="I34" t="n">
        <v>34</v>
      </c>
      <c r="J34" t="n">
        <v>0</v>
      </c>
      <c r="K34" t="n">
        <v>0.1</v>
      </c>
      <c r="L34" t="n">
        <v>0.02040816</v>
      </c>
      <c r="M34" t="n">
        <v>0.12040816</v>
      </c>
      <c r="N34" t="n">
        <v>1.5502551</v>
      </c>
      <c r="O34" t="n">
        <v>52.708673</v>
      </c>
      <c r="P34" t="n">
        <v>0.08333333</v>
      </c>
      <c r="Q34" t="n">
        <v>0.2</v>
      </c>
      <c r="R34" t="n">
        <v>0.28333333</v>
      </c>
      <c r="S34" t="n">
        <v>0.91197917</v>
      </c>
      <c r="T34" t="n">
        <v>1.18903337</v>
      </c>
      <c r="U34" t="n">
        <v>40.427135</v>
      </c>
      <c r="V34" t="b">
        <v>0</v>
      </c>
      <c r="W34" t="n">
        <v>0</v>
      </c>
      <c r="X34" t="inlineStr">
        <is>
          <t>role_subrole_balanced_score = base_support_score * capped sqrt(avg_macro_multiplier * avg_subrole_multiplier); role/subrole quota constraints use inverse weights.</t>
        </is>
      </c>
    </row>
    <row r="35">
      <c r="A35" t="inlineStr">
        <is>
          <t>C0034</t>
        </is>
      </c>
      <c r="B35" t="inlineStr">
        <is>
          <t>x_0034</t>
        </is>
      </c>
      <c r="C35" t="inlineStr">
        <is>
          <t>Caritasverband für die Diözese Speyer e.V.</t>
        </is>
      </c>
      <c r="D35" t="inlineStr">
        <is>
          <t>implementation_anchor</t>
        </is>
      </c>
      <c r="E35" t="inlineStr">
        <is>
          <t>health_social_anchor</t>
        </is>
      </c>
      <c r="F35" t="inlineStr">
        <is>
          <t>Ministerium für Wirtschaft, Verkehr, Landwirtschaft und Weinbau</t>
        </is>
      </c>
      <c r="G35" t="inlineStr">
        <is>
          <t>profit_anchor</t>
        </is>
      </c>
      <c r="H35" t="inlineStr">
        <is>
          <t>public_policy_anchor</t>
        </is>
      </c>
      <c r="I35" t="n">
        <v>34</v>
      </c>
      <c r="J35" t="n">
        <v>0</v>
      </c>
      <c r="K35" t="n">
        <v>0.1</v>
      </c>
      <c r="L35" t="n">
        <v>0.02040816</v>
      </c>
      <c r="M35" t="n">
        <v>0.12040816</v>
      </c>
      <c r="N35" t="n">
        <v>1.5502551</v>
      </c>
      <c r="O35" t="n">
        <v>52.708673</v>
      </c>
      <c r="P35" t="n">
        <v>0.08333333</v>
      </c>
      <c r="Q35" t="n">
        <v>0.16666667</v>
      </c>
      <c r="R35" t="n">
        <v>0.25</v>
      </c>
      <c r="S35" t="n">
        <v>0.8046875</v>
      </c>
      <c r="T35" t="n">
        <v>1.11690237</v>
      </c>
      <c r="U35" t="n">
        <v>37.974681</v>
      </c>
      <c r="V35" t="b">
        <v>0</v>
      </c>
      <c r="W35" t="n">
        <v>0</v>
      </c>
      <c r="X35" t="inlineStr">
        <is>
          <t>role_subrole_balanced_score = base_support_score * capped sqrt(avg_macro_multiplier * avg_subrole_multiplier); role/subrole quota constraints use inverse weights.</t>
        </is>
      </c>
    </row>
    <row r="36">
      <c r="A36" t="inlineStr">
        <is>
          <t>C0035</t>
        </is>
      </c>
      <c r="B36" t="inlineStr">
        <is>
          <t>x_0035</t>
        </is>
      </c>
      <c r="C36" t="inlineStr">
        <is>
          <t>Duale Hochschule Rheinland-Pfalz</t>
        </is>
      </c>
      <c r="D36" t="inlineStr">
        <is>
          <t>academic_support</t>
        </is>
      </c>
      <c r="E36" t="inlineStr">
        <is>
          <t>university_applied_sciences</t>
        </is>
      </c>
      <c r="F36" t="inlineStr">
        <is>
          <t>Handwerkskammern Rheinland-Pfalz</t>
        </is>
      </c>
      <c r="G36" t="inlineStr">
        <is>
          <t>implementation_anchor</t>
        </is>
      </c>
      <c r="H36" t="inlineStr">
        <is>
          <t>chamber_association_anchor</t>
        </is>
      </c>
      <c r="I36" t="n">
        <v>34</v>
      </c>
      <c r="J36" t="n">
        <v>0</v>
      </c>
      <c r="K36" t="n">
        <v>0.05555556</v>
      </c>
      <c r="L36" t="n">
        <v>0.1</v>
      </c>
      <c r="M36" t="n">
        <v>0.15555556</v>
      </c>
      <c r="N36" t="n">
        <v>2.00277778</v>
      </c>
      <c r="O36" t="n">
        <v>68.094444</v>
      </c>
      <c r="P36" t="n">
        <v>0.09090909</v>
      </c>
      <c r="Q36" t="n">
        <v>0.25</v>
      </c>
      <c r="R36" t="n">
        <v>0.34090909</v>
      </c>
      <c r="S36" t="n">
        <v>1.09730114</v>
      </c>
      <c r="T36" t="n">
        <v>1.48244741</v>
      </c>
      <c r="U36" t="n">
        <v>50.403212</v>
      </c>
      <c r="V36" t="b">
        <v>1</v>
      </c>
      <c r="W36" t="n">
        <v>1</v>
      </c>
      <c r="X36" t="inlineStr">
        <is>
          <t>role_subrole_balanced_score = base_support_score * capped sqrt(avg_macro_multiplier * avg_subrole_multiplier); role/subrole quota constraints use inverse weights.</t>
        </is>
      </c>
    </row>
    <row r="37">
      <c r="A37" t="inlineStr">
        <is>
          <t>C0036</t>
        </is>
      </c>
      <c r="B37" t="inlineStr">
        <is>
          <t>x_0036</t>
        </is>
      </c>
      <c r="C37" t="inlineStr">
        <is>
          <t>GLOBUS Markthallen Holding GmbH &amp; Co. KG</t>
        </is>
      </c>
      <c r="D37" t="inlineStr">
        <is>
          <t>profit_anchor</t>
        </is>
      </c>
      <c r="E37" t="inlineStr">
        <is>
          <t>food_beverage_consumer_anchor</t>
        </is>
      </c>
      <c r="F37" t="inlineStr">
        <is>
          <t>Handwerkskammern Rheinland-Pfalz</t>
        </is>
      </c>
      <c r="G37" t="inlineStr">
        <is>
          <t>implementation_anchor</t>
        </is>
      </c>
      <c r="H37" t="inlineStr">
        <is>
          <t>chamber_association_anchor</t>
        </is>
      </c>
      <c r="I37" t="n">
        <v>34</v>
      </c>
      <c r="J37" t="n">
        <v>0</v>
      </c>
      <c r="K37" t="n">
        <v>0.02040816</v>
      </c>
      <c r="L37" t="n">
        <v>0.1</v>
      </c>
      <c r="M37" t="n">
        <v>0.12040816</v>
      </c>
      <c r="N37" t="n">
        <v>1.5502551</v>
      </c>
      <c r="O37" t="n">
        <v>52.708673</v>
      </c>
      <c r="P37" t="n">
        <v>0.2</v>
      </c>
      <c r="Q37" t="n">
        <v>0.25</v>
      </c>
      <c r="R37" t="n">
        <v>0.45</v>
      </c>
      <c r="S37" t="n">
        <v>1.4484375</v>
      </c>
      <c r="T37" t="n">
        <v>1.49848177</v>
      </c>
      <c r="U37" t="n">
        <v>50.94838</v>
      </c>
      <c r="V37" t="b">
        <v>0</v>
      </c>
      <c r="W37" t="n">
        <v>0</v>
      </c>
      <c r="X37" t="inlineStr">
        <is>
          <t>role_subrole_balanced_score = base_support_score * capped sqrt(avg_macro_multiplier * avg_subrole_multiplier); role/subrole quota constraints use inverse weights.</t>
        </is>
      </c>
    </row>
    <row r="38">
      <c r="A38" t="inlineStr">
        <is>
          <t>C0037</t>
        </is>
      </c>
      <c r="B38" t="inlineStr">
        <is>
          <t>x_0037</t>
        </is>
      </c>
      <c r="C38" t="inlineStr">
        <is>
          <t>Architektenkammer Rheinland-Pfalz</t>
        </is>
      </c>
      <c r="D38" t="inlineStr">
        <is>
          <t>implementation_anchor</t>
        </is>
      </c>
      <c r="E38" t="inlineStr">
        <is>
          <t>construction_planning_anchor</t>
        </is>
      </c>
      <c r="F38" t="inlineStr">
        <is>
          <t>Hochschule Mainz</t>
        </is>
      </c>
      <c r="G38" t="inlineStr">
        <is>
          <t>academic_support</t>
        </is>
      </c>
      <c r="H38" t="inlineStr">
        <is>
          <t>university_applied_sciences</t>
        </is>
      </c>
      <c r="I38" t="n">
        <v>34</v>
      </c>
      <c r="J38" t="n">
        <v>0</v>
      </c>
      <c r="K38" t="n">
        <v>0.1</v>
      </c>
      <c r="L38" t="n">
        <v>0.05555556</v>
      </c>
      <c r="M38" t="n">
        <v>0.15555556</v>
      </c>
      <c r="N38" t="n">
        <v>2.00277778</v>
      </c>
      <c r="O38" t="n">
        <v>68.094444</v>
      </c>
      <c r="P38" t="n">
        <v>0.125</v>
      </c>
      <c r="Q38" t="n">
        <v>0.09090909</v>
      </c>
      <c r="R38" t="n">
        <v>0.21590909</v>
      </c>
      <c r="S38" t="n">
        <v>0.69495739</v>
      </c>
      <c r="T38" t="n">
        <v>1.1797649</v>
      </c>
      <c r="U38" t="n">
        <v>40.112006</v>
      </c>
      <c r="V38" t="b">
        <v>1</v>
      </c>
      <c r="W38" t="n">
        <v>1</v>
      </c>
      <c r="X38" t="inlineStr">
        <is>
          <t>role_subrole_balanced_score = base_support_score * capped sqrt(avg_macro_multiplier * avg_subrole_multiplier); role/subrole quota constraints use inverse weights.</t>
        </is>
      </c>
    </row>
    <row r="39">
      <c r="A39" t="inlineStr">
        <is>
          <t>C0038</t>
        </is>
      </c>
      <c r="B39" t="inlineStr">
        <is>
          <t>x_0038</t>
        </is>
      </c>
      <c r="C39" t="inlineStr">
        <is>
          <t>Architektenkammer Rheinland-Pfalz</t>
        </is>
      </c>
      <c r="D39" t="inlineStr">
        <is>
          <t>implementation_anchor</t>
        </is>
      </c>
      <c r="E39" t="inlineStr">
        <is>
          <t>construction_planning_anchor</t>
        </is>
      </c>
      <c r="F39" t="inlineStr">
        <is>
          <t>Karl Gemünden GmbH &amp; Co. KG</t>
        </is>
      </c>
      <c r="G39" t="inlineStr">
        <is>
          <t>profit_anchor</t>
        </is>
      </c>
      <c r="H39" t="inlineStr">
        <is>
          <t>construction_planning_anchor</t>
        </is>
      </c>
      <c r="I39" t="n">
        <v>34</v>
      </c>
      <c r="J39" t="n">
        <v>0</v>
      </c>
      <c r="K39" t="n">
        <v>0.1</v>
      </c>
      <c r="L39" t="n">
        <v>0.02040816</v>
      </c>
      <c r="M39" t="n">
        <v>0.12040816</v>
      </c>
      <c r="N39" t="n">
        <v>1.5502551</v>
      </c>
      <c r="O39" t="n">
        <v>52.708673</v>
      </c>
      <c r="P39" t="n">
        <v>0.125</v>
      </c>
      <c r="Q39" t="n">
        <v>0.125</v>
      </c>
      <c r="R39" t="n">
        <v>0.25</v>
      </c>
      <c r="S39" t="n">
        <v>0.8046875</v>
      </c>
      <c r="T39" t="n">
        <v>1.11690237</v>
      </c>
      <c r="U39" t="n">
        <v>37.974681</v>
      </c>
      <c r="V39" t="b">
        <v>0</v>
      </c>
      <c r="W39" t="n">
        <v>0</v>
      </c>
      <c r="X39" t="inlineStr">
        <is>
          <t>role_subrole_balanced_score = base_support_score * capped sqrt(avg_macro_multiplier * avg_subrole_multiplier); role/subrole quota constraints use inverse weights.</t>
        </is>
      </c>
    </row>
    <row r="40">
      <c r="A40" t="inlineStr">
        <is>
          <t>C0039</t>
        </is>
      </c>
      <c r="B40" t="inlineStr">
        <is>
          <t>x_0039</t>
        </is>
      </c>
      <c r="C40" t="inlineStr">
        <is>
          <t>Entwicklungsagentur Rheinland-Pfalz e.V.</t>
        </is>
      </c>
      <c r="D40" t="inlineStr">
        <is>
          <t>implementation_anchor</t>
        </is>
      </c>
      <c r="E40" t="inlineStr">
        <is>
          <t>public_policy_anchor</t>
        </is>
      </c>
      <c r="F40" t="inlineStr">
        <is>
          <t>vero – Verband der Bau- und Rohstoffindustrie</t>
        </is>
      </c>
      <c r="G40" t="inlineStr">
        <is>
          <t>profit_anchor</t>
        </is>
      </c>
      <c r="H40" t="inlineStr">
        <is>
          <t>construction_planning_anchor</t>
        </is>
      </c>
      <c r="I40" t="n">
        <v>34</v>
      </c>
      <c r="J40" t="n">
        <v>0</v>
      </c>
      <c r="K40" t="n">
        <v>0.1</v>
      </c>
      <c r="L40" t="n">
        <v>0.02040816</v>
      </c>
      <c r="M40" t="n">
        <v>0.12040816</v>
      </c>
      <c r="N40" t="n">
        <v>1.5502551</v>
      </c>
      <c r="O40" t="n">
        <v>52.708673</v>
      </c>
      <c r="P40" t="n">
        <v>0.16666667</v>
      </c>
      <c r="Q40" t="n">
        <v>0.125</v>
      </c>
      <c r="R40" t="n">
        <v>0.29166667</v>
      </c>
      <c r="S40" t="n">
        <v>0.93880208</v>
      </c>
      <c r="T40" t="n">
        <v>1.20639244</v>
      </c>
      <c r="U40" t="n">
        <v>41.017343</v>
      </c>
      <c r="V40" t="b">
        <v>0</v>
      </c>
      <c r="W40" t="n">
        <v>0</v>
      </c>
      <c r="X40" t="inlineStr">
        <is>
          <t>role_subrole_balanced_score = base_support_score * capped sqrt(avg_macro_multiplier * avg_subrole_multiplier); role/subrole quota constraints use inverse weights.</t>
        </is>
      </c>
    </row>
    <row r="41">
      <c r="A41" t="inlineStr">
        <is>
          <t>C0040</t>
        </is>
      </c>
      <c r="B41" t="inlineStr">
        <is>
          <t>x_0040</t>
        </is>
      </c>
      <c r="C41" t="inlineStr">
        <is>
          <t>Hochschule Mainz</t>
        </is>
      </c>
      <c r="D41" t="inlineStr">
        <is>
          <t>academic_support</t>
        </is>
      </c>
      <c r="E41" t="inlineStr">
        <is>
          <t>university_applied_sciences</t>
        </is>
      </c>
      <c r="F41" t="inlineStr">
        <is>
          <t>Ingenieurkammer Rheinland-Pfalz</t>
        </is>
      </c>
      <c r="G41" t="inlineStr">
        <is>
          <t>implementation_anchor</t>
        </is>
      </c>
      <c r="H41" t="inlineStr">
        <is>
          <t>construction_planning_anchor</t>
        </is>
      </c>
      <c r="I41" t="n">
        <v>34</v>
      </c>
      <c r="J41" t="n">
        <v>0</v>
      </c>
      <c r="K41" t="n">
        <v>0.05555556</v>
      </c>
      <c r="L41" t="n">
        <v>0.1</v>
      </c>
      <c r="M41" t="n">
        <v>0.15555556</v>
      </c>
      <c r="N41" t="n">
        <v>2.00277778</v>
      </c>
      <c r="O41" t="n">
        <v>68.094444</v>
      </c>
      <c r="P41" t="n">
        <v>0.09090909</v>
      </c>
      <c r="Q41" t="n">
        <v>0.125</v>
      </c>
      <c r="R41" t="n">
        <v>0.21590909</v>
      </c>
      <c r="S41" t="n">
        <v>0.69495739</v>
      </c>
      <c r="T41" t="n">
        <v>1.1797649</v>
      </c>
      <c r="U41" t="n">
        <v>40.112006</v>
      </c>
      <c r="V41" t="b">
        <v>1</v>
      </c>
      <c r="W41" t="n">
        <v>1</v>
      </c>
      <c r="X41" t="inlineStr">
        <is>
          <t>role_subrole_balanced_score = base_support_score * capped sqrt(avg_macro_multiplier * avg_subrole_multiplier); role/subrole quota constraints use inverse weights.</t>
        </is>
      </c>
    </row>
    <row r="42">
      <c r="A42" t="inlineStr">
        <is>
          <t>C0041</t>
        </is>
      </c>
      <c r="B42" t="inlineStr">
        <is>
          <t>x_0041</t>
        </is>
      </c>
      <c r="C42" t="inlineStr">
        <is>
          <t>Ingenieurkammer Rheinland-Pfalz</t>
        </is>
      </c>
      <c r="D42" t="inlineStr">
        <is>
          <t>implementation_anchor</t>
        </is>
      </c>
      <c r="E42" t="inlineStr">
        <is>
          <t>construction_planning_anchor</t>
        </is>
      </c>
      <c r="F42" t="inlineStr">
        <is>
          <t>Karl Gemünden GmbH &amp; Co. KG</t>
        </is>
      </c>
      <c r="G42" t="inlineStr">
        <is>
          <t>profit_anchor</t>
        </is>
      </c>
      <c r="H42" t="inlineStr">
        <is>
          <t>construction_planning_anchor</t>
        </is>
      </c>
      <c r="I42" t="n">
        <v>34</v>
      </c>
      <c r="J42" t="n">
        <v>0</v>
      </c>
      <c r="K42" t="n">
        <v>0.1</v>
      </c>
      <c r="L42" t="n">
        <v>0.02040816</v>
      </c>
      <c r="M42" t="n">
        <v>0.12040816</v>
      </c>
      <c r="N42" t="n">
        <v>1.5502551</v>
      </c>
      <c r="O42" t="n">
        <v>52.708673</v>
      </c>
      <c r="P42" t="n">
        <v>0.125</v>
      </c>
      <c r="Q42" t="n">
        <v>0.125</v>
      </c>
      <c r="R42" t="n">
        <v>0.25</v>
      </c>
      <c r="S42" t="n">
        <v>0.8046875</v>
      </c>
      <c r="T42" t="n">
        <v>1.11690237</v>
      </c>
      <c r="U42" t="n">
        <v>37.974681</v>
      </c>
      <c r="V42" t="b">
        <v>0</v>
      </c>
      <c r="W42" t="n">
        <v>0</v>
      </c>
      <c r="X42" t="inlineStr">
        <is>
          <t>role_subrole_balanced_score = base_support_score * capped sqrt(avg_macro_multiplier * avg_subrole_multiplier); role/subrole quota constraints use inverse weights.</t>
        </is>
      </c>
    </row>
    <row r="43">
      <c r="A43" t="inlineStr">
        <is>
          <t>C0042</t>
        </is>
      </c>
      <c r="B43" t="inlineStr">
        <is>
          <t>x_0042</t>
        </is>
      </c>
      <c r="C43" t="inlineStr">
        <is>
          <t>Handwerkskammern Rheinland-Pfalz</t>
        </is>
      </c>
      <c r="D43" t="inlineStr">
        <is>
          <t>implementation_anchor</t>
        </is>
      </c>
      <c r="E43" t="inlineStr">
        <is>
          <t>chamber_association_anchor</t>
        </is>
      </c>
      <c r="F43" t="inlineStr">
        <is>
          <t>Landesbank Baden-Württemberg (LBBW)</t>
        </is>
      </c>
      <c r="G43" t="inlineStr">
        <is>
          <t>profit_anchor</t>
        </is>
      </c>
      <c r="H43" t="inlineStr">
        <is>
          <t>bank_finance_anchor</t>
        </is>
      </c>
      <c r="I43" t="n">
        <v>34</v>
      </c>
      <c r="J43" t="n">
        <v>0</v>
      </c>
      <c r="K43" t="n">
        <v>0.1</v>
      </c>
      <c r="L43" t="n">
        <v>0.02040816</v>
      </c>
      <c r="M43" t="n">
        <v>0.12040816</v>
      </c>
      <c r="N43" t="n">
        <v>1.5502551</v>
      </c>
      <c r="O43" t="n">
        <v>52.708673</v>
      </c>
      <c r="P43" t="n">
        <v>0.25</v>
      </c>
      <c r="Q43" t="n">
        <v>0.14285714</v>
      </c>
      <c r="R43" t="n">
        <v>0.39285714</v>
      </c>
      <c r="S43" t="n">
        <v>1.26450893</v>
      </c>
      <c r="T43" t="n">
        <v>1.40011122</v>
      </c>
      <c r="U43" t="n">
        <v>47.603781</v>
      </c>
      <c r="V43" t="b">
        <v>0</v>
      </c>
      <c r="W43" t="n">
        <v>0</v>
      </c>
      <c r="X43" t="inlineStr">
        <is>
          <t>role_subrole_balanced_score = base_support_score * capped sqrt(avg_macro_multiplier * avg_subrole_multiplier); role/subrole quota constraints use inverse weights.</t>
        </is>
      </c>
    </row>
    <row r="44">
      <c r="A44" t="inlineStr">
        <is>
          <t>C0043</t>
        </is>
      </c>
      <c r="B44" t="inlineStr">
        <is>
          <t>x_0043</t>
        </is>
      </c>
      <c r="C44" t="inlineStr">
        <is>
          <t>Handwerkskammern Rheinland-Pfalz</t>
        </is>
      </c>
      <c r="D44" t="inlineStr">
        <is>
          <t>implementation_anchor</t>
        </is>
      </c>
      <c r="E44" t="inlineStr">
        <is>
          <t>chamber_association_anchor</t>
        </is>
      </c>
      <c r="F44" t="inlineStr">
        <is>
          <t>Ministerium für Wirtschaft, Verkehr, Landwirtschaft und Weinbau</t>
        </is>
      </c>
      <c r="G44" t="inlineStr">
        <is>
          <t>profit_anchor</t>
        </is>
      </c>
      <c r="H44" t="inlineStr">
        <is>
          <t>public_policy_anchor</t>
        </is>
      </c>
      <c r="I44" t="n">
        <v>34</v>
      </c>
      <c r="J44" t="n">
        <v>0</v>
      </c>
      <c r="K44" t="n">
        <v>0.1</v>
      </c>
      <c r="L44" t="n">
        <v>0.02040816</v>
      </c>
      <c r="M44" t="n">
        <v>0.12040816</v>
      </c>
      <c r="N44" t="n">
        <v>1.5502551</v>
      </c>
      <c r="O44" t="n">
        <v>52.708673</v>
      </c>
      <c r="P44" t="n">
        <v>0.25</v>
      </c>
      <c r="Q44" t="n">
        <v>0.16666667</v>
      </c>
      <c r="R44" t="n">
        <v>0.41666667</v>
      </c>
      <c r="S44" t="n">
        <v>1.34114583</v>
      </c>
      <c r="T44" t="n">
        <v>1.44191476</v>
      </c>
      <c r="U44" t="n">
        <v>49.025102</v>
      </c>
      <c r="V44" t="b">
        <v>0</v>
      </c>
      <c r="W44" t="n">
        <v>0</v>
      </c>
      <c r="X44" t="inlineStr">
        <is>
          <t>role_subrole_balanced_score = base_support_score * capped sqrt(avg_macro_multiplier * avg_subrole_multiplier); role/subrole quota constraints use inverse weights.</t>
        </is>
      </c>
    </row>
    <row r="45">
      <c r="A45" t="inlineStr">
        <is>
          <t>C0044</t>
        </is>
      </c>
      <c r="B45" t="inlineStr">
        <is>
          <t>x_0044</t>
        </is>
      </c>
      <c r="C45" t="inlineStr">
        <is>
          <t>Handwerkskammern Rheinland-Pfalz</t>
        </is>
      </c>
      <c r="D45" t="inlineStr">
        <is>
          <t>implementation_anchor</t>
        </is>
      </c>
      <c r="E45" t="inlineStr">
        <is>
          <t>chamber_association_anchor</t>
        </is>
      </c>
      <c r="F45" t="inlineStr">
        <is>
          <t>Sparkassenverband Rheinland-Pfalz</t>
        </is>
      </c>
      <c r="G45" t="inlineStr">
        <is>
          <t>profit_anchor</t>
        </is>
      </c>
      <c r="H45" t="inlineStr">
        <is>
          <t>bank_finance_anchor</t>
        </is>
      </c>
      <c r="I45" t="n">
        <v>34</v>
      </c>
      <c r="J45" t="n">
        <v>0</v>
      </c>
      <c r="K45" t="n">
        <v>0.1</v>
      </c>
      <c r="L45" t="n">
        <v>0.02040816</v>
      </c>
      <c r="M45" t="n">
        <v>0.12040816</v>
      </c>
      <c r="N45" t="n">
        <v>1.5502551</v>
      </c>
      <c r="O45" t="n">
        <v>52.708673</v>
      </c>
      <c r="P45" t="n">
        <v>0.25</v>
      </c>
      <c r="Q45" t="n">
        <v>0.14285714</v>
      </c>
      <c r="R45" t="n">
        <v>0.39285714</v>
      </c>
      <c r="S45" t="n">
        <v>1.26450893</v>
      </c>
      <c r="T45" t="n">
        <v>1.40011122</v>
      </c>
      <c r="U45" t="n">
        <v>47.603781</v>
      </c>
      <c r="V45" t="b">
        <v>0</v>
      </c>
      <c r="W45" t="n">
        <v>0</v>
      </c>
      <c r="X45" t="inlineStr">
        <is>
          <t>role_subrole_balanced_score = base_support_score * capped sqrt(avg_macro_multiplier * avg_subrole_multiplier); role/subrole quota constraints use inverse weights.</t>
        </is>
      </c>
    </row>
    <row r="46">
      <c r="A46" t="inlineStr">
        <is>
          <t>C0045</t>
        </is>
      </c>
      <c r="B46" t="inlineStr">
        <is>
          <t>x_0045</t>
        </is>
      </c>
      <c r="C46" t="inlineStr">
        <is>
          <t>Boehringer Ingelheim Pharma GmbH &amp; Co. KG</t>
        </is>
      </c>
      <c r="D46" t="inlineStr">
        <is>
          <t>profit_anchor</t>
        </is>
      </c>
      <c r="E46" t="inlineStr">
        <is>
          <t>health_social_anchor</t>
        </is>
      </c>
      <c r="F46" t="inlineStr">
        <is>
          <t>Caritasverband für die Diözese Speyer e.V.</t>
        </is>
      </c>
      <c r="G46" t="inlineStr">
        <is>
          <t>implementation_anchor</t>
        </is>
      </c>
      <c r="H46" t="inlineStr">
        <is>
          <t>health_social_anchor</t>
        </is>
      </c>
      <c r="I46" t="n">
        <v>34</v>
      </c>
      <c r="J46" t="n">
        <v>0</v>
      </c>
      <c r="K46" t="n">
        <v>0.02040816</v>
      </c>
      <c r="L46" t="n">
        <v>0.1</v>
      </c>
      <c r="M46" t="n">
        <v>0.12040816</v>
      </c>
      <c r="N46" t="n">
        <v>1.5502551</v>
      </c>
      <c r="O46" t="n">
        <v>52.708673</v>
      </c>
      <c r="P46" t="n">
        <v>0.08333333</v>
      </c>
      <c r="Q46" t="n">
        <v>0.08333333</v>
      </c>
      <c r="R46" t="n">
        <v>0.16666667</v>
      </c>
      <c r="S46" t="n">
        <v>0.53645833</v>
      </c>
      <c r="T46" t="n">
        <v>0.91194697</v>
      </c>
      <c r="U46" t="n">
        <v>31.006197</v>
      </c>
      <c r="V46" t="b">
        <v>0</v>
      </c>
      <c r="W46" t="n">
        <v>0</v>
      </c>
      <c r="X46" t="inlineStr">
        <is>
          <t>role_subrole_balanced_score = base_support_score * capped sqrt(avg_macro_multiplier * avg_subrole_multiplier); role/subrole quota constraints use inverse weights.</t>
        </is>
      </c>
    </row>
    <row r="47">
      <c r="A47" t="inlineStr">
        <is>
          <t>C0046</t>
        </is>
      </c>
      <c r="B47" t="inlineStr">
        <is>
          <t>x_0046</t>
        </is>
      </c>
      <c r="C47" t="inlineStr">
        <is>
          <t>Boehringer Ingelheim Pharma GmbH &amp; Co. KG</t>
        </is>
      </c>
      <c r="D47" t="inlineStr">
        <is>
          <t>profit_anchor</t>
        </is>
      </c>
      <c r="E47" t="inlineStr">
        <is>
          <t>health_social_anchor</t>
        </is>
      </c>
      <c r="F47" t="inlineStr">
        <is>
          <t>LandesPsychotherapeutenKammer Rheinland-Pfalz</t>
        </is>
      </c>
      <c r="G47" t="inlineStr">
        <is>
          <t>implementation_anchor</t>
        </is>
      </c>
      <c r="H47" t="inlineStr">
        <is>
          <t>health_social_anchor</t>
        </is>
      </c>
      <c r="I47" t="n">
        <v>34</v>
      </c>
      <c r="J47" t="n">
        <v>0</v>
      </c>
      <c r="K47" t="n">
        <v>0.02040816</v>
      </c>
      <c r="L47" t="n">
        <v>0.1</v>
      </c>
      <c r="M47" t="n">
        <v>0.12040816</v>
      </c>
      <c r="N47" t="n">
        <v>1.5502551</v>
      </c>
      <c r="O47" t="n">
        <v>52.708673</v>
      </c>
      <c r="P47" t="n">
        <v>0.08333333</v>
      </c>
      <c r="Q47" t="n">
        <v>0.08333333</v>
      </c>
      <c r="R47" t="n">
        <v>0.16666667</v>
      </c>
      <c r="S47" t="n">
        <v>0.53645833</v>
      </c>
      <c r="T47" t="n">
        <v>0.91194697</v>
      </c>
      <c r="U47" t="n">
        <v>31.006197</v>
      </c>
      <c r="V47" t="b">
        <v>0</v>
      </c>
      <c r="W47" t="n">
        <v>0</v>
      </c>
      <c r="X47" t="inlineStr">
        <is>
          <t>role_subrole_balanced_score = base_support_score * capped sqrt(avg_macro_multiplier * avg_subrole_multiplier); role/subrole quota constraints use inverse weights.</t>
        </is>
      </c>
    </row>
    <row r="48">
      <c r="A48" t="inlineStr">
        <is>
          <t>C0047</t>
        </is>
      </c>
      <c r="B48" t="inlineStr">
        <is>
          <t>x_0047</t>
        </is>
      </c>
      <c r="C48" t="inlineStr">
        <is>
          <t>BASF SE</t>
        </is>
      </c>
      <c r="D48" t="inlineStr">
        <is>
          <t>profit_anchor</t>
        </is>
      </c>
      <c r="E48" t="inlineStr">
        <is>
          <t>industry_anchor</t>
        </is>
      </c>
      <c r="F48" t="inlineStr">
        <is>
          <t>Handwerkskammern Rheinland-Pfalz</t>
        </is>
      </c>
      <c r="G48" t="inlineStr">
        <is>
          <t>implementation_anchor</t>
        </is>
      </c>
      <c r="H48" t="inlineStr">
        <is>
          <t>chamber_association_anchor</t>
        </is>
      </c>
      <c r="I48" t="n">
        <v>34</v>
      </c>
      <c r="J48" t="n">
        <v>0</v>
      </c>
      <c r="K48" t="n">
        <v>0.02040816</v>
      </c>
      <c r="L48" t="n">
        <v>0.1</v>
      </c>
      <c r="M48" t="n">
        <v>0.12040816</v>
      </c>
      <c r="N48" t="n">
        <v>1.5502551</v>
      </c>
      <c r="O48" t="n">
        <v>52.708673</v>
      </c>
      <c r="P48" t="n">
        <v>0.09090909</v>
      </c>
      <c r="Q48" t="n">
        <v>0.25</v>
      </c>
      <c r="R48" t="n">
        <v>0.34090909</v>
      </c>
      <c r="S48" t="n">
        <v>1.09730114</v>
      </c>
      <c r="T48" t="n">
        <v>1.30426097</v>
      </c>
      <c r="U48" t="n">
        <v>44.344873</v>
      </c>
      <c r="V48" t="b">
        <v>0</v>
      </c>
      <c r="W48" t="n">
        <v>0</v>
      </c>
      <c r="X48" t="inlineStr">
        <is>
          <t>role_subrole_balanced_score = base_support_score * capped sqrt(avg_macro_multiplier * avg_subrole_multiplier); role/subrole quota constraints use inverse weights.</t>
        </is>
      </c>
    </row>
    <row r="49">
      <c r="A49" t="inlineStr">
        <is>
          <t>C0048</t>
        </is>
      </c>
      <c r="B49" t="inlineStr">
        <is>
          <t>x_0048</t>
        </is>
      </c>
      <c r="C49" t="inlineStr">
        <is>
          <t>BRICKMAKERS AG</t>
        </is>
      </c>
      <c r="D49" t="inlineStr">
        <is>
          <t>profit_anchor</t>
        </is>
      </c>
      <c r="E49" t="inlineStr">
        <is>
          <t>technology_digital_anchor</t>
        </is>
      </c>
      <c r="F49" t="inlineStr">
        <is>
          <t>Handwerkskammern Rheinland-Pfalz</t>
        </is>
      </c>
      <c r="G49" t="inlineStr">
        <is>
          <t>implementation_anchor</t>
        </is>
      </c>
      <c r="H49" t="inlineStr">
        <is>
          <t>chamber_association_anchor</t>
        </is>
      </c>
      <c r="I49" t="n">
        <v>34</v>
      </c>
      <c r="J49" t="n">
        <v>0</v>
      </c>
      <c r="K49" t="n">
        <v>0.02040816</v>
      </c>
      <c r="L49" t="n">
        <v>0.1</v>
      </c>
      <c r="M49" t="n">
        <v>0.12040816</v>
      </c>
      <c r="N49" t="n">
        <v>1.5502551</v>
      </c>
      <c r="O49" t="n">
        <v>52.708673</v>
      </c>
      <c r="P49" t="n">
        <v>0.11111111</v>
      </c>
      <c r="Q49" t="n">
        <v>0.25</v>
      </c>
      <c r="R49" t="n">
        <v>0.36111111</v>
      </c>
      <c r="S49" t="n">
        <v>1.16232639</v>
      </c>
      <c r="T49" t="n">
        <v>1.34234959</v>
      </c>
      <c r="U49" t="n">
        <v>45.639886</v>
      </c>
      <c r="V49" t="b">
        <v>0</v>
      </c>
      <c r="W49" t="n">
        <v>0</v>
      </c>
      <c r="X49" t="inlineStr">
        <is>
          <t>role_subrole_balanced_score = base_support_score * capped sqrt(avg_macro_multiplier * avg_subrole_multiplier); role/subrole quota constraints use inverse weights.</t>
        </is>
      </c>
    </row>
    <row r="50">
      <c r="A50" t="inlineStr">
        <is>
          <t>C0049</t>
        </is>
      </c>
      <c r="B50" t="inlineStr">
        <is>
          <t>x_0049</t>
        </is>
      </c>
      <c r="C50" t="inlineStr">
        <is>
          <t>Boehringer Ingelheim Pharma GmbH &amp; Co. KG</t>
        </is>
      </c>
      <c r="D50" t="inlineStr">
        <is>
          <t>profit_anchor</t>
        </is>
      </c>
      <c r="E50" t="inlineStr">
        <is>
          <t>health_social_anchor</t>
        </is>
      </c>
      <c r="F50" t="inlineStr">
        <is>
          <t>Handwerkskammern Rheinland-Pfalz</t>
        </is>
      </c>
      <c r="G50" t="inlineStr">
        <is>
          <t>implementation_anchor</t>
        </is>
      </c>
      <c r="H50" t="inlineStr">
        <is>
          <t>chamber_association_anchor</t>
        </is>
      </c>
      <c r="I50" t="n">
        <v>34</v>
      </c>
      <c r="J50" t="n">
        <v>0</v>
      </c>
      <c r="K50" t="n">
        <v>0.02040816</v>
      </c>
      <c r="L50" t="n">
        <v>0.1</v>
      </c>
      <c r="M50" t="n">
        <v>0.12040816</v>
      </c>
      <c r="N50" t="n">
        <v>1.5502551</v>
      </c>
      <c r="O50" t="n">
        <v>52.708673</v>
      </c>
      <c r="P50" t="n">
        <v>0.08333333</v>
      </c>
      <c r="Q50" t="n">
        <v>0.25</v>
      </c>
      <c r="R50" t="n">
        <v>0.33333333</v>
      </c>
      <c r="S50" t="n">
        <v>1.07291667</v>
      </c>
      <c r="T50" t="n">
        <v>1.28968777</v>
      </c>
      <c r="U50" t="n">
        <v>43.849384</v>
      </c>
      <c r="V50" t="b">
        <v>0</v>
      </c>
      <c r="W50" t="n">
        <v>0</v>
      </c>
      <c r="X50" t="inlineStr">
        <is>
          <t>role_subrole_balanced_score = base_support_score * capped sqrt(avg_macro_multiplier * avg_subrole_multiplier); role/subrole quota constraints use inverse weights.</t>
        </is>
      </c>
    </row>
    <row r="51">
      <c r="A51" t="inlineStr">
        <is>
          <t>C0050</t>
        </is>
      </c>
      <c r="B51" t="inlineStr">
        <is>
          <t>x_0050</t>
        </is>
      </c>
      <c r="C51" t="inlineStr">
        <is>
          <t>Handwerkskammern Rheinland-Pfalz</t>
        </is>
      </c>
      <c r="D51" t="inlineStr">
        <is>
          <t>implementation_anchor</t>
        </is>
      </c>
      <c r="E51" t="inlineStr">
        <is>
          <t>chamber_association_anchor</t>
        </is>
      </c>
      <c r="F51" t="inlineStr">
        <is>
          <t>ITK Engineering GmbH</t>
        </is>
      </c>
      <c r="G51" t="inlineStr">
        <is>
          <t>profit_anchor</t>
        </is>
      </c>
      <c r="H51" t="inlineStr">
        <is>
          <t>technology_digital_anchor</t>
        </is>
      </c>
      <c r="I51" t="n">
        <v>34</v>
      </c>
      <c r="J51" t="n">
        <v>0</v>
      </c>
      <c r="K51" t="n">
        <v>0.1</v>
      </c>
      <c r="L51" t="n">
        <v>0.02040816</v>
      </c>
      <c r="M51" t="n">
        <v>0.12040816</v>
      </c>
      <c r="N51" t="n">
        <v>1.5502551</v>
      </c>
      <c r="O51" t="n">
        <v>52.708673</v>
      </c>
      <c r="P51" t="n">
        <v>0.25</v>
      </c>
      <c r="Q51" t="n">
        <v>0.11111111</v>
      </c>
      <c r="R51" t="n">
        <v>0.36111111</v>
      </c>
      <c r="S51" t="n">
        <v>1.16232639</v>
      </c>
      <c r="T51" t="n">
        <v>1.34234959</v>
      </c>
      <c r="U51" t="n">
        <v>45.639886</v>
      </c>
      <c r="V51" t="b">
        <v>0</v>
      </c>
      <c r="W51" t="n">
        <v>0</v>
      </c>
      <c r="X51" t="inlineStr">
        <is>
          <t>role_subrole_balanced_score = base_support_score * capped sqrt(avg_macro_multiplier * avg_subrole_multiplier); role/subrole quota constraints use inverse weights.</t>
        </is>
      </c>
    </row>
    <row r="52">
      <c r="A52" t="inlineStr">
        <is>
          <t>C0051</t>
        </is>
      </c>
      <c r="B52" t="inlineStr">
        <is>
          <t>x_0051</t>
        </is>
      </c>
      <c r="C52" t="inlineStr">
        <is>
          <t>Handwerkskammern Rheinland-Pfalz</t>
        </is>
      </c>
      <c r="D52" t="inlineStr">
        <is>
          <t>implementation_anchor</t>
        </is>
      </c>
      <c r="E52" t="inlineStr">
        <is>
          <t>chamber_association_anchor</t>
        </is>
      </c>
      <c r="F52" t="inlineStr">
        <is>
          <t>SCHOTT AG</t>
        </is>
      </c>
      <c r="G52" t="inlineStr">
        <is>
          <t>profit_anchor</t>
        </is>
      </c>
      <c r="H52" t="inlineStr">
        <is>
          <t>industry_anchor</t>
        </is>
      </c>
      <c r="I52" t="n">
        <v>34</v>
      </c>
      <c r="J52" t="n">
        <v>0</v>
      </c>
      <c r="K52" t="n">
        <v>0.1</v>
      </c>
      <c r="L52" t="n">
        <v>0.02040816</v>
      </c>
      <c r="M52" t="n">
        <v>0.12040816</v>
      </c>
      <c r="N52" t="n">
        <v>1.5502551</v>
      </c>
      <c r="O52" t="n">
        <v>52.708673</v>
      </c>
      <c r="P52" t="n">
        <v>0.25</v>
      </c>
      <c r="Q52" t="n">
        <v>0.09090909</v>
      </c>
      <c r="R52" t="n">
        <v>0.34090909</v>
      </c>
      <c r="S52" t="n">
        <v>1.09730114</v>
      </c>
      <c r="T52" t="n">
        <v>1.30426097</v>
      </c>
      <c r="U52" t="n">
        <v>44.344873</v>
      </c>
      <c r="V52" t="b">
        <v>0</v>
      </c>
      <c r="W52" t="n">
        <v>0</v>
      </c>
      <c r="X52" t="inlineStr">
        <is>
          <t>role_subrole_balanced_score = base_support_score * capped sqrt(avg_macro_multiplier * avg_subrole_multiplier); role/subrole quota constraints use inverse weights.</t>
        </is>
      </c>
    </row>
    <row r="53">
      <c r="A53" t="inlineStr">
        <is>
          <t>C0052</t>
        </is>
      </c>
      <c r="B53" t="inlineStr">
        <is>
          <t>x_0052</t>
        </is>
      </c>
      <c r="C53" t="inlineStr">
        <is>
          <t>Architektenkammer Rheinland-Pfalz</t>
        </is>
      </c>
      <c r="D53" t="inlineStr">
        <is>
          <t>implementation_anchor</t>
        </is>
      </c>
      <c r="E53" t="inlineStr">
        <is>
          <t>construction_planning_anchor</t>
        </is>
      </c>
      <c r="F53" t="inlineStr">
        <is>
          <t>Mainzer Stadtwerke AG</t>
        </is>
      </c>
      <c r="G53" t="inlineStr">
        <is>
          <t>profit_anchor</t>
        </is>
      </c>
      <c r="H53" t="inlineStr">
        <is>
          <t>energy_infrastructure_anchor</t>
        </is>
      </c>
      <c r="I53" t="n">
        <v>34</v>
      </c>
      <c r="J53" t="n">
        <v>0</v>
      </c>
      <c r="K53" t="n">
        <v>0.1</v>
      </c>
      <c r="L53" t="n">
        <v>0.02040816</v>
      </c>
      <c r="M53" t="n">
        <v>0.12040816</v>
      </c>
      <c r="N53" t="n">
        <v>1.5502551</v>
      </c>
      <c r="O53" t="n">
        <v>52.708673</v>
      </c>
      <c r="P53" t="n">
        <v>0.125</v>
      </c>
      <c r="Q53" t="n">
        <v>0.11111111</v>
      </c>
      <c r="R53" t="n">
        <v>0.23611111</v>
      </c>
      <c r="S53" t="n">
        <v>0.75998264</v>
      </c>
      <c r="T53" t="n">
        <v>1.085434</v>
      </c>
      <c r="U53" t="n">
        <v>36.904756</v>
      </c>
      <c r="V53" t="b">
        <v>0</v>
      </c>
      <c r="W53" t="n">
        <v>0</v>
      </c>
      <c r="X53" t="inlineStr">
        <is>
          <t>role_subrole_balanced_score = base_support_score * capped sqrt(avg_macro_multiplier * avg_subrole_multiplier); role/subrole quota constraints use inverse weights.</t>
        </is>
      </c>
    </row>
    <row r="54">
      <c r="A54" t="inlineStr">
        <is>
          <t>C0053</t>
        </is>
      </c>
      <c r="B54" t="inlineStr">
        <is>
          <t>x_0053</t>
        </is>
      </c>
      <c r="C54" t="inlineStr">
        <is>
          <t>Bauern- und Winzerverband Rheinland-Pfalz Süd e.V.</t>
        </is>
      </c>
      <c r="D54" t="inlineStr">
        <is>
          <t>implementation_anchor</t>
        </is>
      </c>
      <c r="E54" t="inlineStr">
        <is>
          <t>agriculture_wine_anchor</t>
        </is>
      </c>
      <c r="F54" t="inlineStr">
        <is>
          <t>JUWI GmbH</t>
        </is>
      </c>
      <c r="G54" t="inlineStr">
        <is>
          <t>profit_anchor</t>
        </is>
      </c>
      <c r="H54" t="inlineStr">
        <is>
          <t>energy_infrastructure_anchor</t>
        </is>
      </c>
      <c r="I54" t="n">
        <v>34</v>
      </c>
      <c r="J54" t="n">
        <v>0</v>
      </c>
      <c r="K54" t="n">
        <v>0.1</v>
      </c>
      <c r="L54" t="n">
        <v>0.02040816</v>
      </c>
      <c r="M54" t="n">
        <v>0.12040816</v>
      </c>
      <c r="N54" t="n">
        <v>1.5502551</v>
      </c>
      <c r="O54" t="n">
        <v>52.708673</v>
      </c>
      <c r="P54" t="n">
        <v>1</v>
      </c>
      <c r="Q54" t="n">
        <v>0.11111111</v>
      </c>
      <c r="R54" t="n">
        <v>1.11111111</v>
      </c>
      <c r="S54" t="n">
        <v>3.57638889</v>
      </c>
      <c r="T54" t="n">
        <v>2.35463694</v>
      </c>
      <c r="U54" t="n">
        <v>80.05765599999999</v>
      </c>
      <c r="V54" t="b">
        <v>0</v>
      </c>
      <c r="W54" t="n">
        <v>0</v>
      </c>
      <c r="X54" t="inlineStr">
        <is>
          <t>role_subrole_balanced_score = base_support_score * capped sqrt(avg_macro_multiplier * avg_subrole_multiplier); role/subrole quota constraints use inverse weights.</t>
        </is>
      </c>
    </row>
    <row r="55">
      <c r="A55" t="inlineStr">
        <is>
          <t>C0054</t>
        </is>
      </c>
      <c r="B55" t="inlineStr">
        <is>
          <t>x_0054</t>
        </is>
      </c>
      <c r="C55" t="inlineStr">
        <is>
          <t>Bauern- und Winzerverband Rheinland-Pfalz Süd e.V.</t>
        </is>
      </c>
      <c r="D55" t="inlineStr">
        <is>
          <t>implementation_anchor</t>
        </is>
      </c>
      <c r="E55" t="inlineStr">
        <is>
          <t>agriculture_wine_anchor</t>
        </is>
      </c>
      <c r="F55" t="inlineStr">
        <is>
          <t>Pfalzwerke AG</t>
        </is>
      </c>
      <c r="G55" t="inlineStr">
        <is>
          <t>profit_anchor</t>
        </is>
      </c>
      <c r="H55" t="inlineStr">
        <is>
          <t>energy_infrastructure_anchor</t>
        </is>
      </c>
      <c r="I55" t="n">
        <v>34</v>
      </c>
      <c r="J55" t="n">
        <v>0</v>
      </c>
      <c r="K55" t="n">
        <v>0.1</v>
      </c>
      <c r="L55" t="n">
        <v>0.02040816</v>
      </c>
      <c r="M55" t="n">
        <v>0.12040816</v>
      </c>
      <c r="N55" t="n">
        <v>1.5502551</v>
      </c>
      <c r="O55" t="n">
        <v>52.708673</v>
      </c>
      <c r="P55" t="n">
        <v>1</v>
      </c>
      <c r="Q55" t="n">
        <v>0.11111111</v>
      </c>
      <c r="R55" t="n">
        <v>1.11111111</v>
      </c>
      <c r="S55" t="n">
        <v>3.57638889</v>
      </c>
      <c r="T55" t="n">
        <v>2.35463694</v>
      </c>
      <c r="U55" t="n">
        <v>80.05765599999999</v>
      </c>
      <c r="V55" t="b">
        <v>0</v>
      </c>
      <c r="W55" t="n">
        <v>0</v>
      </c>
      <c r="X55" t="inlineStr">
        <is>
          <t>role_subrole_balanced_score = base_support_score * capped sqrt(avg_macro_multiplier * avg_subrole_multiplier); role/subrole quota constraints use inverse weights.</t>
        </is>
      </c>
    </row>
    <row r="56">
      <c r="A56" t="inlineStr">
        <is>
          <t>C0055</t>
        </is>
      </c>
      <c r="B56" t="inlineStr">
        <is>
          <t>x_0055</t>
        </is>
      </c>
      <c r="C56" t="inlineStr">
        <is>
          <t>Bauern- und Winzerverband Rheinland-Pfalz Süd e.V.</t>
        </is>
      </c>
      <c r="D56" t="inlineStr">
        <is>
          <t>implementation_anchor</t>
        </is>
      </c>
      <c r="E56" t="inlineStr">
        <is>
          <t>agriculture_wine_anchor</t>
        </is>
      </c>
      <c r="F56" t="inlineStr">
        <is>
          <t>Transdev GmbH</t>
        </is>
      </c>
      <c r="G56" t="inlineStr">
        <is>
          <t>profit_anchor</t>
        </is>
      </c>
      <c r="H56" t="inlineStr">
        <is>
          <t>energy_infrastructure_anchor</t>
        </is>
      </c>
      <c r="I56" t="n">
        <v>34</v>
      </c>
      <c r="J56" t="n">
        <v>0</v>
      </c>
      <c r="K56" t="n">
        <v>0.1</v>
      </c>
      <c r="L56" t="n">
        <v>0.02040816</v>
      </c>
      <c r="M56" t="n">
        <v>0.12040816</v>
      </c>
      <c r="N56" t="n">
        <v>1.5502551</v>
      </c>
      <c r="O56" t="n">
        <v>52.708673</v>
      </c>
      <c r="P56" t="n">
        <v>1</v>
      </c>
      <c r="Q56" t="n">
        <v>0.11111111</v>
      </c>
      <c r="R56" t="n">
        <v>1.11111111</v>
      </c>
      <c r="S56" t="n">
        <v>3.57638889</v>
      </c>
      <c r="T56" t="n">
        <v>2.35463694</v>
      </c>
      <c r="U56" t="n">
        <v>80.05765599999999</v>
      </c>
      <c r="V56" t="b">
        <v>0</v>
      </c>
      <c r="W56" t="n">
        <v>0</v>
      </c>
      <c r="X56" t="inlineStr">
        <is>
          <t>role_subrole_balanced_score = base_support_score * capped sqrt(avg_macro_multiplier * avg_subrole_multiplier); role/subrole quota constraints use inverse weights.</t>
        </is>
      </c>
    </row>
    <row r="57">
      <c r="A57" t="inlineStr">
        <is>
          <t>C0056</t>
        </is>
      </c>
      <c r="B57" t="inlineStr">
        <is>
          <t>x_0056</t>
        </is>
      </c>
      <c r="C57" t="inlineStr">
        <is>
          <t>Bauern- und Winzerverband Rheinland-Pfalz Süd e.V.</t>
        </is>
      </c>
      <c r="D57" t="inlineStr">
        <is>
          <t>implementation_anchor</t>
        </is>
      </c>
      <c r="E57" t="inlineStr">
        <is>
          <t>agriculture_wine_anchor</t>
        </is>
      </c>
      <c r="F57" t="inlineStr">
        <is>
          <t>Westenergie AG</t>
        </is>
      </c>
      <c r="G57" t="inlineStr">
        <is>
          <t>profit_anchor</t>
        </is>
      </c>
      <c r="H57" t="inlineStr">
        <is>
          <t>energy_infrastructure_anchor</t>
        </is>
      </c>
      <c r="I57" t="n">
        <v>34</v>
      </c>
      <c r="J57" t="n">
        <v>0</v>
      </c>
      <c r="K57" t="n">
        <v>0.1</v>
      </c>
      <c r="L57" t="n">
        <v>0.02040816</v>
      </c>
      <c r="M57" t="n">
        <v>0.12040816</v>
      </c>
      <c r="N57" t="n">
        <v>1.5502551</v>
      </c>
      <c r="O57" t="n">
        <v>52.708673</v>
      </c>
      <c r="P57" t="n">
        <v>1</v>
      </c>
      <c r="Q57" t="n">
        <v>0.11111111</v>
      </c>
      <c r="R57" t="n">
        <v>1.11111111</v>
      </c>
      <c r="S57" t="n">
        <v>3.57638889</v>
      </c>
      <c r="T57" t="n">
        <v>2.35463694</v>
      </c>
      <c r="U57" t="n">
        <v>80.05765599999999</v>
      </c>
      <c r="V57" t="b">
        <v>0</v>
      </c>
      <c r="W57" t="n">
        <v>0</v>
      </c>
      <c r="X57" t="inlineStr">
        <is>
          <t>role_subrole_balanced_score = base_support_score * capped sqrt(avg_macro_multiplier * avg_subrole_multiplier); role/subrole quota constraints use inverse weights.</t>
        </is>
      </c>
    </row>
    <row r="58">
      <c r="A58" t="inlineStr">
        <is>
          <t>C0057</t>
        </is>
      </c>
      <c r="B58" t="inlineStr">
        <is>
          <t>x_0057</t>
        </is>
      </c>
      <c r="C58" t="inlineStr">
        <is>
          <t>Entwicklungsagentur Rheinland-Pfalz e.V.</t>
        </is>
      </c>
      <c r="D58" t="inlineStr">
        <is>
          <t>implementation_anchor</t>
        </is>
      </c>
      <c r="E58" t="inlineStr">
        <is>
          <t>public_policy_anchor</t>
        </is>
      </c>
      <c r="F58" t="inlineStr">
        <is>
          <t>JUWI GmbH</t>
        </is>
      </c>
      <c r="G58" t="inlineStr">
        <is>
          <t>profit_anchor</t>
        </is>
      </c>
      <c r="H58" t="inlineStr">
        <is>
          <t>energy_infrastructure_anchor</t>
        </is>
      </c>
      <c r="I58" t="n">
        <v>34</v>
      </c>
      <c r="J58" t="n">
        <v>0</v>
      </c>
      <c r="K58" t="n">
        <v>0.1</v>
      </c>
      <c r="L58" t="n">
        <v>0.02040816</v>
      </c>
      <c r="M58" t="n">
        <v>0.12040816</v>
      </c>
      <c r="N58" t="n">
        <v>1.5502551</v>
      </c>
      <c r="O58" t="n">
        <v>52.708673</v>
      </c>
      <c r="P58" t="n">
        <v>0.16666667</v>
      </c>
      <c r="Q58" t="n">
        <v>0.11111111</v>
      </c>
      <c r="R58" t="n">
        <v>0.27777778</v>
      </c>
      <c r="S58" t="n">
        <v>0.89409722</v>
      </c>
      <c r="T58" t="n">
        <v>1.17731847</v>
      </c>
      <c r="U58" t="n">
        <v>40.028828</v>
      </c>
      <c r="V58" t="b">
        <v>0</v>
      </c>
      <c r="W58" t="n">
        <v>0</v>
      </c>
      <c r="X58" t="inlineStr">
        <is>
          <t>role_subrole_balanced_score = base_support_score * capped sqrt(avg_macro_multiplier * avg_subrole_multiplier); role/subrole quota constraints use inverse weights.</t>
        </is>
      </c>
    </row>
    <row r="59">
      <c r="A59" t="inlineStr">
        <is>
          <t>C0058</t>
        </is>
      </c>
      <c r="B59" t="inlineStr">
        <is>
          <t>x_0058</t>
        </is>
      </c>
      <c r="C59" t="inlineStr">
        <is>
          <t>Entwicklungsagentur Rheinland-Pfalz e.V.</t>
        </is>
      </c>
      <c r="D59" t="inlineStr">
        <is>
          <t>implementation_anchor</t>
        </is>
      </c>
      <c r="E59" t="inlineStr">
        <is>
          <t>public_policy_anchor</t>
        </is>
      </c>
      <c r="F59" t="inlineStr">
        <is>
          <t>Pfalzwerke AG</t>
        </is>
      </c>
      <c r="G59" t="inlineStr">
        <is>
          <t>profit_anchor</t>
        </is>
      </c>
      <c r="H59" t="inlineStr">
        <is>
          <t>energy_infrastructure_anchor</t>
        </is>
      </c>
      <c r="I59" t="n">
        <v>34</v>
      </c>
      <c r="J59" t="n">
        <v>0</v>
      </c>
      <c r="K59" t="n">
        <v>0.1</v>
      </c>
      <c r="L59" t="n">
        <v>0.02040816</v>
      </c>
      <c r="M59" t="n">
        <v>0.12040816</v>
      </c>
      <c r="N59" t="n">
        <v>1.5502551</v>
      </c>
      <c r="O59" t="n">
        <v>52.708673</v>
      </c>
      <c r="P59" t="n">
        <v>0.16666667</v>
      </c>
      <c r="Q59" t="n">
        <v>0.11111111</v>
      </c>
      <c r="R59" t="n">
        <v>0.27777778</v>
      </c>
      <c r="S59" t="n">
        <v>0.89409722</v>
      </c>
      <c r="T59" t="n">
        <v>1.17731847</v>
      </c>
      <c r="U59" t="n">
        <v>40.028828</v>
      </c>
      <c r="V59" t="b">
        <v>0</v>
      </c>
      <c r="W59" t="n">
        <v>0</v>
      </c>
      <c r="X59" t="inlineStr">
        <is>
          <t>role_subrole_balanced_score = base_support_score * capped sqrt(avg_macro_multiplier * avg_subrole_multiplier); role/subrole quota constraints use inverse weights.</t>
        </is>
      </c>
    </row>
    <row r="60">
      <c r="A60" t="inlineStr">
        <is>
          <t>C0059</t>
        </is>
      </c>
      <c r="B60" t="inlineStr">
        <is>
          <t>x_0059</t>
        </is>
      </c>
      <c r="C60" t="inlineStr">
        <is>
          <t>Entwicklungsagentur Rheinland-Pfalz e.V.</t>
        </is>
      </c>
      <c r="D60" t="inlineStr">
        <is>
          <t>implementation_anchor</t>
        </is>
      </c>
      <c r="E60" t="inlineStr">
        <is>
          <t>public_policy_anchor</t>
        </is>
      </c>
      <c r="F60" t="inlineStr">
        <is>
          <t>Transdev GmbH</t>
        </is>
      </c>
      <c r="G60" t="inlineStr">
        <is>
          <t>profit_anchor</t>
        </is>
      </c>
      <c r="H60" t="inlineStr">
        <is>
          <t>energy_infrastructure_anchor</t>
        </is>
      </c>
      <c r="I60" t="n">
        <v>34</v>
      </c>
      <c r="J60" t="n">
        <v>0</v>
      </c>
      <c r="K60" t="n">
        <v>0.1</v>
      </c>
      <c r="L60" t="n">
        <v>0.02040816</v>
      </c>
      <c r="M60" t="n">
        <v>0.12040816</v>
      </c>
      <c r="N60" t="n">
        <v>1.5502551</v>
      </c>
      <c r="O60" t="n">
        <v>52.708673</v>
      </c>
      <c r="P60" t="n">
        <v>0.16666667</v>
      </c>
      <c r="Q60" t="n">
        <v>0.11111111</v>
      </c>
      <c r="R60" t="n">
        <v>0.27777778</v>
      </c>
      <c r="S60" t="n">
        <v>0.89409722</v>
      </c>
      <c r="T60" t="n">
        <v>1.17731847</v>
      </c>
      <c r="U60" t="n">
        <v>40.028828</v>
      </c>
      <c r="V60" t="b">
        <v>0</v>
      </c>
      <c r="W60" t="n">
        <v>0</v>
      </c>
      <c r="X60" t="inlineStr">
        <is>
          <t>role_subrole_balanced_score = base_support_score * capped sqrt(avg_macro_multiplier * avg_subrole_multiplier); role/subrole quota constraints use inverse weights.</t>
        </is>
      </c>
    </row>
    <row r="61">
      <c r="A61" t="inlineStr">
        <is>
          <t>C0060</t>
        </is>
      </c>
      <c r="B61" t="inlineStr">
        <is>
          <t>x_0060</t>
        </is>
      </c>
      <c r="C61" t="inlineStr">
        <is>
          <t>Entwicklungsagentur Rheinland-Pfalz e.V.</t>
        </is>
      </c>
      <c r="D61" t="inlineStr">
        <is>
          <t>implementation_anchor</t>
        </is>
      </c>
      <c r="E61" t="inlineStr">
        <is>
          <t>public_policy_anchor</t>
        </is>
      </c>
      <c r="F61" t="inlineStr">
        <is>
          <t>Westenergie AG</t>
        </is>
      </c>
      <c r="G61" t="inlineStr">
        <is>
          <t>profit_anchor</t>
        </is>
      </c>
      <c r="H61" t="inlineStr">
        <is>
          <t>energy_infrastructure_anchor</t>
        </is>
      </c>
      <c r="I61" t="n">
        <v>34</v>
      </c>
      <c r="J61" t="n">
        <v>0</v>
      </c>
      <c r="K61" t="n">
        <v>0.1</v>
      </c>
      <c r="L61" t="n">
        <v>0.02040816</v>
      </c>
      <c r="M61" t="n">
        <v>0.12040816</v>
      </c>
      <c r="N61" t="n">
        <v>1.5502551</v>
      </c>
      <c r="O61" t="n">
        <v>52.708673</v>
      </c>
      <c r="P61" t="n">
        <v>0.16666667</v>
      </c>
      <c r="Q61" t="n">
        <v>0.11111111</v>
      </c>
      <c r="R61" t="n">
        <v>0.27777778</v>
      </c>
      <c r="S61" t="n">
        <v>0.89409722</v>
      </c>
      <c r="T61" t="n">
        <v>1.17731847</v>
      </c>
      <c r="U61" t="n">
        <v>40.028828</v>
      </c>
      <c r="V61" t="b">
        <v>0</v>
      </c>
      <c r="W61" t="n">
        <v>0</v>
      </c>
      <c r="X61" t="inlineStr">
        <is>
          <t>role_subrole_balanced_score = base_support_score * capped sqrt(avg_macro_multiplier * avg_subrole_multiplier); role/subrole quota constraints use inverse weights.</t>
        </is>
      </c>
    </row>
    <row r="62">
      <c r="A62" t="inlineStr">
        <is>
          <t>C0061</t>
        </is>
      </c>
      <c r="B62" t="inlineStr">
        <is>
          <t>x_0061</t>
        </is>
      </c>
      <c r="C62" t="inlineStr">
        <is>
          <t>Ingenieurkammer Rheinland-Pfalz</t>
        </is>
      </c>
      <c r="D62" t="inlineStr">
        <is>
          <t>implementation_anchor</t>
        </is>
      </c>
      <c r="E62" t="inlineStr">
        <is>
          <t>construction_planning_anchor</t>
        </is>
      </c>
      <c r="F62" t="inlineStr">
        <is>
          <t>Mainzer Stadtwerke AG</t>
        </is>
      </c>
      <c r="G62" t="inlineStr">
        <is>
          <t>profit_anchor</t>
        </is>
      </c>
      <c r="H62" t="inlineStr">
        <is>
          <t>energy_infrastructure_anchor</t>
        </is>
      </c>
      <c r="I62" t="n">
        <v>34</v>
      </c>
      <c r="J62" t="n">
        <v>0</v>
      </c>
      <c r="K62" t="n">
        <v>0.1</v>
      </c>
      <c r="L62" t="n">
        <v>0.02040816</v>
      </c>
      <c r="M62" t="n">
        <v>0.12040816</v>
      </c>
      <c r="N62" t="n">
        <v>1.5502551</v>
      </c>
      <c r="O62" t="n">
        <v>52.708673</v>
      </c>
      <c r="P62" t="n">
        <v>0.125</v>
      </c>
      <c r="Q62" t="n">
        <v>0.11111111</v>
      </c>
      <c r="R62" t="n">
        <v>0.23611111</v>
      </c>
      <c r="S62" t="n">
        <v>0.75998264</v>
      </c>
      <c r="T62" t="n">
        <v>1.085434</v>
      </c>
      <c r="U62" t="n">
        <v>36.904756</v>
      </c>
      <c r="V62" t="b">
        <v>0</v>
      </c>
      <c r="W62" t="n">
        <v>0</v>
      </c>
      <c r="X62" t="inlineStr">
        <is>
          <t>role_subrole_balanced_score = base_support_score * capped sqrt(avg_macro_multiplier * avg_subrole_multiplier); role/subrole quota constraints use inverse weights.</t>
        </is>
      </c>
    </row>
    <row r="63">
      <c r="A63" t="inlineStr">
        <is>
          <t>C0062</t>
        </is>
      </c>
      <c r="B63" t="inlineStr">
        <is>
          <t>x_0062</t>
        </is>
      </c>
      <c r="C63" t="inlineStr">
        <is>
          <t>Architektenkammer Rheinland-Pfalz</t>
        </is>
      </c>
      <c r="D63" t="inlineStr">
        <is>
          <t>implementation_anchor</t>
        </is>
      </c>
      <c r="E63" t="inlineStr">
        <is>
          <t>construction_planning_anchor</t>
        </is>
      </c>
      <c r="F63" t="inlineStr">
        <is>
          <t>Karl Gemünden GmbH &amp; Co. KG</t>
        </is>
      </c>
      <c r="G63" t="inlineStr">
        <is>
          <t>profit_anchor</t>
        </is>
      </c>
      <c r="H63" t="inlineStr">
        <is>
          <t>construction_planning_anchor</t>
        </is>
      </c>
      <c r="I63" t="n">
        <v>34</v>
      </c>
      <c r="J63" t="n">
        <v>0</v>
      </c>
      <c r="K63" t="n">
        <v>0.1</v>
      </c>
      <c r="L63" t="n">
        <v>0.02040816</v>
      </c>
      <c r="M63" t="n">
        <v>0.12040816</v>
      </c>
      <c r="N63" t="n">
        <v>1.5502551</v>
      </c>
      <c r="O63" t="n">
        <v>52.708673</v>
      </c>
      <c r="P63" t="n">
        <v>0.125</v>
      </c>
      <c r="Q63" t="n">
        <v>0.125</v>
      </c>
      <c r="R63" t="n">
        <v>0.25</v>
      </c>
      <c r="S63" t="n">
        <v>0.8046875</v>
      </c>
      <c r="T63" t="n">
        <v>1.11690237</v>
      </c>
      <c r="U63" t="n">
        <v>37.974681</v>
      </c>
      <c r="V63" t="b">
        <v>0</v>
      </c>
      <c r="W63" t="n">
        <v>0</v>
      </c>
      <c r="X63" t="inlineStr">
        <is>
          <t>role_subrole_balanced_score = base_support_score * capped sqrt(avg_macro_multiplier * avg_subrole_multiplier); role/subrole quota constraints use inverse weights.</t>
        </is>
      </c>
    </row>
    <row r="64">
      <c r="A64" t="inlineStr">
        <is>
          <t>C0063</t>
        </is>
      </c>
      <c r="B64" t="inlineStr">
        <is>
          <t>x_0063</t>
        </is>
      </c>
      <c r="C64" t="inlineStr">
        <is>
          <t>Ingenieurkammer Rheinland-Pfalz</t>
        </is>
      </c>
      <c r="D64" t="inlineStr">
        <is>
          <t>implementation_anchor</t>
        </is>
      </c>
      <c r="E64" t="inlineStr">
        <is>
          <t>construction_planning_anchor</t>
        </is>
      </c>
      <c r="F64" t="inlineStr">
        <is>
          <t>Karl Gemünden GmbH &amp; Co. KG</t>
        </is>
      </c>
      <c r="G64" t="inlineStr">
        <is>
          <t>profit_anchor</t>
        </is>
      </c>
      <c r="H64" t="inlineStr">
        <is>
          <t>construction_planning_anchor</t>
        </is>
      </c>
      <c r="I64" t="n">
        <v>34</v>
      </c>
      <c r="J64" t="n">
        <v>0</v>
      </c>
      <c r="K64" t="n">
        <v>0.1</v>
      </c>
      <c r="L64" t="n">
        <v>0.02040816</v>
      </c>
      <c r="M64" t="n">
        <v>0.12040816</v>
      </c>
      <c r="N64" t="n">
        <v>1.5502551</v>
      </c>
      <c r="O64" t="n">
        <v>52.708673</v>
      </c>
      <c r="P64" t="n">
        <v>0.125</v>
      </c>
      <c r="Q64" t="n">
        <v>0.125</v>
      </c>
      <c r="R64" t="n">
        <v>0.25</v>
      </c>
      <c r="S64" t="n">
        <v>0.8046875</v>
      </c>
      <c r="T64" t="n">
        <v>1.11690237</v>
      </c>
      <c r="U64" t="n">
        <v>37.974681</v>
      </c>
      <c r="V64" t="b">
        <v>0</v>
      </c>
      <c r="W64" t="n">
        <v>0</v>
      </c>
      <c r="X64" t="inlineStr">
        <is>
          <t>role_subrole_balanced_score = base_support_score * capped sqrt(avg_macro_multiplier * avg_subrole_multiplier); role/subrole quota constraints use inverse weights.</t>
        </is>
      </c>
    </row>
    <row r="65">
      <c r="A65" t="inlineStr">
        <is>
          <t>C0064</t>
        </is>
      </c>
      <c r="B65" t="inlineStr">
        <is>
          <t>x_0064</t>
        </is>
      </c>
      <c r="C65" t="inlineStr">
        <is>
          <t>Entwicklungsagentur Rheinland-Pfalz e.V.</t>
        </is>
      </c>
      <c r="D65" t="inlineStr">
        <is>
          <t>implementation_anchor</t>
        </is>
      </c>
      <c r="E65" t="inlineStr">
        <is>
          <t>public_policy_anchor</t>
        </is>
      </c>
      <c r="F65" t="inlineStr">
        <is>
          <t>LOTTO Rheinland-Pfalz GmbH</t>
        </is>
      </c>
      <c r="G65" t="inlineStr">
        <is>
          <t>profit_anchor</t>
        </is>
      </c>
      <c r="H65" t="inlineStr">
        <is>
          <t>culture_foundation_anchor</t>
        </is>
      </c>
      <c r="I65" t="n">
        <v>34</v>
      </c>
      <c r="J65" t="n">
        <v>0</v>
      </c>
      <c r="K65" t="n">
        <v>0.1</v>
      </c>
      <c r="L65" t="n">
        <v>0.02040816</v>
      </c>
      <c r="M65" t="n">
        <v>0.12040816</v>
      </c>
      <c r="N65" t="n">
        <v>1.5502551</v>
      </c>
      <c r="O65" t="n">
        <v>52.708673</v>
      </c>
      <c r="P65" t="n">
        <v>0.16666667</v>
      </c>
      <c r="Q65" t="n">
        <v>0.33333333</v>
      </c>
      <c r="R65" t="n">
        <v>0.5</v>
      </c>
      <c r="S65" t="n">
        <v>1.609375</v>
      </c>
      <c r="T65" t="n">
        <v>1.57953848</v>
      </c>
      <c r="U65" t="n">
        <v>53.704308</v>
      </c>
      <c r="V65" t="b">
        <v>0</v>
      </c>
      <c r="W65" t="n">
        <v>0</v>
      </c>
      <c r="X65" t="inlineStr">
        <is>
          <t>role_subrole_balanced_score = base_support_score * capped sqrt(avg_macro_multiplier * avg_subrole_multiplier); role/subrole quota constraints use inverse weights.</t>
        </is>
      </c>
    </row>
    <row r="66">
      <c r="A66" t="inlineStr">
        <is>
          <t>C0065</t>
        </is>
      </c>
      <c r="B66" t="inlineStr">
        <is>
          <t>x_0065</t>
        </is>
      </c>
      <c r="C66" t="inlineStr">
        <is>
          <t>Aturas GmbH</t>
        </is>
      </c>
      <c r="D66" t="inlineStr">
        <is>
          <t>profit_anchor</t>
        </is>
      </c>
      <c r="E66" t="inlineStr">
        <is>
          <t>technology_digital_anchor</t>
        </is>
      </c>
      <c r="F66" t="inlineStr">
        <is>
          <t>Handwerkskammern Rheinland-Pfalz</t>
        </is>
      </c>
      <c r="G66" t="inlineStr">
        <is>
          <t>implementation_anchor</t>
        </is>
      </c>
      <c r="H66" t="inlineStr">
        <is>
          <t>chamber_association_anchor</t>
        </is>
      </c>
      <c r="I66" t="n">
        <v>34</v>
      </c>
      <c r="J66" t="n">
        <v>0</v>
      </c>
      <c r="K66" t="n">
        <v>0.02040816</v>
      </c>
      <c r="L66" t="n">
        <v>0.1</v>
      </c>
      <c r="M66" t="n">
        <v>0.12040816</v>
      </c>
      <c r="N66" t="n">
        <v>1.5502551</v>
      </c>
      <c r="O66" t="n">
        <v>52.708673</v>
      </c>
      <c r="P66" t="n">
        <v>0.11111111</v>
      </c>
      <c r="Q66" t="n">
        <v>0.25</v>
      </c>
      <c r="R66" t="n">
        <v>0.36111111</v>
      </c>
      <c r="S66" t="n">
        <v>1.16232639</v>
      </c>
      <c r="T66" t="n">
        <v>1.34234959</v>
      </c>
      <c r="U66" t="n">
        <v>45.639886</v>
      </c>
      <c r="V66" t="b">
        <v>0</v>
      </c>
      <c r="W66" t="n">
        <v>0</v>
      </c>
      <c r="X66" t="inlineStr">
        <is>
          <t>role_subrole_balanced_score = base_support_score * capped sqrt(avg_macro_multiplier * avg_subrole_multiplier); role/subrole quota constraints use inverse weights.</t>
        </is>
      </c>
    </row>
    <row r="67">
      <c r="A67" t="inlineStr">
        <is>
          <t>C0066</t>
        </is>
      </c>
      <c r="B67" t="inlineStr">
        <is>
          <t>x_0066</t>
        </is>
      </c>
      <c r="C67" t="inlineStr">
        <is>
          <t>Handwerkskammern Rheinland-Pfalz</t>
        </is>
      </c>
      <c r="D67" t="inlineStr">
        <is>
          <t>implementation_anchor</t>
        </is>
      </c>
      <c r="E67" t="inlineStr">
        <is>
          <t>chamber_association_anchor</t>
        </is>
      </c>
      <c r="F67" t="inlineStr">
        <is>
          <t>IQIB - Institut für qualifizierende Innovationsforschung und -beratung GmbH</t>
        </is>
      </c>
      <c r="G67" t="inlineStr">
        <is>
          <t>profit_anchor</t>
        </is>
      </c>
      <c r="H67" t="inlineStr">
        <is>
          <t>technology_digital_anchor</t>
        </is>
      </c>
      <c r="I67" t="n">
        <v>34</v>
      </c>
      <c r="J67" t="n">
        <v>0</v>
      </c>
      <c r="K67" t="n">
        <v>0.1</v>
      </c>
      <c r="L67" t="n">
        <v>0.02040816</v>
      </c>
      <c r="M67" t="n">
        <v>0.12040816</v>
      </c>
      <c r="N67" t="n">
        <v>1.5502551</v>
      </c>
      <c r="O67" t="n">
        <v>52.708673</v>
      </c>
      <c r="P67" t="n">
        <v>0.25</v>
      </c>
      <c r="Q67" t="n">
        <v>0.11111111</v>
      </c>
      <c r="R67" t="n">
        <v>0.36111111</v>
      </c>
      <c r="S67" t="n">
        <v>1.16232639</v>
      </c>
      <c r="T67" t="n">
        <v>1.34234959</v>
      </c>
      <c r="U67" t="n">
        <v>45.639886</v>
      </c>
      <c r="V67" t="b">
        <v>0</v>
      </c>
      <c r="W67" t="n">
        <v>0</v>
      </c>
      <c r="X67" t="inlineStr">
        <is>
          <t>role_subrole_balanced_score = base_support_score * capped sqrt(avg_macro_multiplier * avg_subrole_multiplier); role/subrole quota constraints use inverse weights.</t>
        </is>
      </c>
    </row>
    <row r="68">
      <c r="A68" t="inlineStr">
        <is>
          <t>C0067</t>
        </is>
      </c>
      <c r="B68" t="inlineStr">
        <is>
          <t>x_0067</t>
        </is>
      </c>
      <c r="C68" t="inlineStr">
        <is>
          <t>Handwerkskammern Rheinland-Pfalz</t>
        </is>
      </c>
      <c r="D68" t="inlineStr">
        <is>
          <t>implementation_anchor</t>
        </is>
      </c>
      <c r="E68" t="inlineStr">
        <is>
          <t>chamber_association_anchor</t>
        </is>
      </c>
      <c r="F68" t="inlineStr">
        <is>
          <t>Joseph Vögele AG</t>
        </is>
      </c>
      <c r="G68" t="inlineStr">
        <is>
          <t>profit_anchor</t>
        </is>
      </c>
      <c r="H68" t="inlineStr">
        <is>
          <t>construction_planning_anchor</t>
        </is>
      </c>
      <c r="I68" t="n">
        <v>34</v>
      </c>
      <c r="J68" t="n">
        <v>0</v>
      </c>
      <c r="K68" t="n">
        <v>0.1</v>
      </c>
      <c r="L68" t="n">
        <v>0.02040816</v>
      </c>
      <c r="M68" t="n">
        <v>0.12040816</v>
      </c>
      <c r="N68" t="n">
        <v>1.5502551</v>
      </c>
      <c r="O68" t="n">
        <v>52.708673</v>
      </c>
      <c r="P68" t="n">
        <v>0.25</v>
      </c>
      <c r="Q68" t="n">
        <v>0.125</v>
      </c>
      <c r="R68" t="n">
        <v>0.375</v>
      </c>
      <c r="S68" t="n">
        <v>1.20703125</v>
      </c>
      <c r="T68" t="n">
        <v>1.36792045</v>
      </c>
      <c r="U68" t="n">
        <v>46.509295</v>
      </c>
      <c r="V68" t="b">
        <v>0</v>
      </c>
      <c r="W68" t="n">
        <v>0</v>
      </c>
      <c r="X68" t="inlineStr">
        <is>
          <t>role_subrole_balanced_score = base_support_score * capped sqrt(avg_macro_multiplier * avg_subrole_multiplier); role/subrole quota constraints use inverse weights.</t>
        </is>
      </c>
    </row>
    <row r="69">
      <c r="A69" t="inlineStr">
        <is>
          <t>C0068</t>
        </is>
      </c>
      <c r="B69" t="inlineStr">
        <is>
          <t>x_0068</t>
        </is>
      </c>
      <c r="C69" t="inlineStr">
        <is>
          <t>Handwerkskammern Rheinland-Pfalz</t>
        </is>
      </c>
      <c r="D69" t="inlineStr">
        <is>
          <t>implementation_anchor</t>
        </is>
      </c>
      <c r="E69" t="inlineStr">
        <is>
          <t>chamber_association_anchor</t>
        </is>
      </c>
      <c r="F69" t="inlineStr">
        <is>
          <t>PFAFF Industriesysteme und Maschinen GmbH</t>
        </is>
      </c>
      <c r="G69" t="inlineStr">
        <is>
          <t>profit_anchor</t>
        </is>
      </c>
      <c r="H69" t="inlineStr">
        <is>
          <t>industry_anchor</t>
        </is>
      </c>
      <c r="I69" t="n">
        <v>34</v>
      </c>
      <c r="J69" t="n">
        <v>0</v>
      </c>
      <c r="K69" t="n">
        <v>0.1</v>
      </c>
      <c r="L69" t="n">
        <v>0.02040816</v>
      </c>
      <c r="M69" t="n">
        <v>0.12040816</v>
      </c>
      <c r="N69" t="n">
        <v>1.5502551</v>
      </c>
      <c r="O69" t="n">
        <v>52.708673</v>
      </c>
      <c r="P69" t="n">
        <v>0.25</v>
      </c>
      <c r="Q69" t="n">
        <v>0.09090909</v>
      </c>
      <c r="R69" t="n">
        <v>0.34090909</v>
      </c>
      <c r="S69" t="n">
        <v>1.09730114</v>
      </c>
      <c r="T69" t="n">
        <v>1.30426097</v>
      </c>
      <c r="U69" t="n">
        <v>44.344873</v>
      </c>
      <c r="V69" t="b">
        <v>0</v>
      </c>
      <c r="W69" t="n">
        <v>0</v>
      </c>
      <c r="X69" t="inlineStr">
        <is>
          <t>role_subrole_balanced_score = base_support_score * capped sqrt(avg_macro_multiplier * avg_subrole_multiplier); role/subrole quota constraints use inverse weights.</t>
        </is>
      </c>
    </row>
    <row r="70">
      <c r="A70" t="inlineStr">
        <is>
          <t>C0069</t>
        </is>
      </c>
      <c r="B70" t="inlineStr">
        <is>
          <t>x_0069</t>
        </is>
      </c>
      <c r="C70" t="inlineStr">
        <is>
          <t>Bundesagentur für Arbeit, Regionaldirektion Rheinland-Pfalz-Saarland</t>
        </is>
      </c>
      <c r="D70" t="inlineStr">
        <is>
          <t>implementation_anchor</t>
        </is>
      </c>
      <c r="E70" t="inlineStr">
        <is>
          <t>public_policy_anchor</t>
        </is>
      </c>
      <c r="F70" t="inlineStr">
        <is>
          <t>Katholische Hochschule Mainz</t>
        </is>
      </c>
      <c r="G70" t="inlineStr">
        <is>
          <t>academic_support</t>
        </is>
      </c>
      <c r="H70" t="inlineStr">
        <is>
          <t>university_applied_sciences</t>
        </is>
      </c>
      <c r="I70" t="n">
        <v>34</v>
      </c>
      <c r="J70" t="n">
        <v>0</v>
      </c>
      <c r="K70" t="n">
        <v>0.1</v>
      </c>
      <c r="L70" t="n">
        <v>0.05555556</v>
      </c>
      <c r="M70" t="n">
        <v>0.15555556</v>
      </c>
      <c r="N70" t="n">
        <v>2.00277778</v>
      </c>
      <c r="O70" t="n">
        <v>68.094444</v>
      </c>
      <c r="P70" t="n">
        <v>0.16666667</v>
      </c>
      <c r="Q70" t="n">
        <v>0.09090909</v>
      </c>
      <c r="R70" t="n">
        <v>0.25757576</v>
      </c>
      <c r="S70" t="n">
        <v>0.82907197</v>
      </c>
      <c r="T70" t="n">
        <v>1.2885833</v>
      </c>
      <c r="U70" t="n">
        <v>43.811832</v>
      </c>
      <c r="V70" t="b">
        <v>1</v>
      </c>
      <c r="W70" t="n">
        <v>1</v>
      </c>
      <c r="X70" t="inlineStr">
        <is>
          <t>role_subrole_balanced_score = base_support_score * capped sqrt(avg_macro_multiplier * avg_subrole_multiplier); role/subrole quota constraints use inverse weights.</t>
        </is>
      </c>
    </row>
    <row r="71">
      <c r="A71" t="inlineStr">
        <is>
          <t>C0070</t>
        </is>
      </c>
      <c r="B71" t="inlineStr">
        <is>
          <t>x_0070</t>
        </is>
      </c>
      <c r="C71" t="inlineStr">
        <is>
          <t>Bundesagentur für Arbeit, Regionaldirektion Rheinland-Pfalz-Saarland</t>
        </is>
      </c>
      <c r="D71" t="inlineStr">
        <is>
          <t>implementation_anchor</t>
        </is>
      </c>
      <c r="E71" t="inlineStr">
        <is>
          <t>public_policy_anchor</t>
        </is>
      </c>
      <c r="F71" t="inlineStr">
        <is>
          <t>Leonardo PersonalKonzept GmbH</t>
        </is>
      </c>
      <c r="G71" t="inlineStr">
        <is>
          <t>profit_anchor</t>
        </is>
      </c>
      <c r="H71" t="inlineStr">
        <is>
          <t>professional_services_anchor</t>
        </is>
      </c>
      <c r="I71" t="n">
        <v>34</v>
      </c>
      <c r="J71" t="n">
        <v>0</v>
      </c>
      <c r="K71" t="n">
        <v>0.1</v>
      </c>
      <c r="L71" t="n">
        <v>0.02040816</v>
      </c>
      <c r="M71" t="n">
        <v>0.12040816</v>
      </c>
      <c r="N71" t="n">
        <v>1.5502551</v>
      </c>
      <c r="O71" t="n">
        <v>52.708673</v>
      </c>
      <c r="P71" t="n">
        <v>0.16666667</v>
      </c>
      <c r="Q71" t="n">
        <v>0.2</v>
      </c>
      <c r="R71" t="n">
        <v>0.36666667</v>
      </c>
      <c r="S71" t="n">
        <v>1.18020833</v>
      </c>
      <c r="T71" t="n">
        <v>1.35263594</v>
      </c>
      <c r="U71" t="n">
        <v>45.989622</v>
      </c>
      <c r="V71" t="b">
        <v>0</v>
      </c>
      <c r="W71" t="n">
        <v>0</v>
      </c>
      <c r="X71" t="inlineStr">
        <is>
          <t>role_subrole_balanced_score = base_support_score * capped sqrt(avg_macro_multiplier * avg_subrole_multiplier); role/subrole quota constraints use inverse weights.</t>
        </is>
      </c>
    </row>
    <row r="72">
      <c r="A72" t="inlineStr">
        <is>
          <t>C0071</t>
        </is>
      </c>
      <c r="B72" t="inlineStr">
        <is>
          <t>x_0071</t>
        </is>
      </c>
      <c r="C72" t="inlineStr">
        <is>
          <t>Caritasverband für die Diözese Speyer e.V.</t>
        </is>
      </c>
      <c r="D72" t="inlineStr">
        <is>
          <t>implementation_anchor</t>
        </is>
      </c>
      <c r="E72" t="inlineStr">
        <is>
          <t>health_social_anchor</t>
        </is>
      </c>
      <c r="F72" t="inlineStr">
        <is>
          <t>Katholische Hochschule Mainz</t>
        </is>
      </c>
      <c r="G72" t="inlineStr">
        <is>
          <t>academic_support</t>
        </is>
      </c>
      <c r="H72" t="inlineStr">
        <is>
          <t>university_applied_sciences</t>
        </is>
      </c>
      <c r="I72" t="n">
        <v>34</v>
      </c>
      <c r="J72" t="n">
        <v>0</v>
      </c>
      <c r="K72" t="n">
        <v>0.1</v>
      </c>
      <c r="L72" t="n">
        <v>0.05555556</v>
      </c>
      <c r="M72" t="n">
        <v>0.15555556</v>
      </c>
      <c r="N72" t="n">
        <v>2.00277778</v>
      </c>
      <c r="O72" t="n">
        <v>68.094444</v>
      </c>
      <c r="P72" t="n">
        <v>0.08333333</v>
      </c>
      <c r="Q72" t="n">
        <v>0.09090909</v>
      </c>
      <c r="R72" t="n">
        <v>0.17424242</v>
      </c>
      <c r="S72" t="n">
        <v>0.5608428</v>
      </c>
      <c r="T72" t="n">
        <v>1.05983183</v>
      </c>
      <c r="U72" t="n">
        <v>36.034282</v>
      </c>
      <c r="V72" t="b">
        <v>1</v>
      </c>
      <c r="W72" t="n">
        <v>1</v>
      </c>
      <c r="X72" t="inlineStr">
        <is>
          <t>role_subrole_balanced_score = base_support_score * capped sqrt(avg_macro_multiplier * avg_subrole_multiplier); role/subrole quota constraints use inverse weights.</t>
        </is>
      </c>
    </row>
    <row r="73">
      <c r="A73" t="inlineStr">
        <is>
          <t>C0072</t>
        </is>
      </c>
      <c r="B73" t="inlineStr">
        <is>
          <t>x_0072</t>
        </is>
      </c>
      <c r="C73" t="inlineStr">
        <is>
          <t>Caritasverband für die Diözese Speyer e.V.</t>
        </is>
      </c>
      <c r="D73" t="inlineStr">
        <is>
          <t>implementation_anchor</t>
        </is>
      </c>
      <c r="E73" t="inlineStr">
        <is>
          <t>health_social_anchor</t>
        </is>
      </c>
      <c r="F73" t="inlineStr">
        <is>
          <t>Leonardo PersonalKonzept GmbH</t>
        </is>
      </c>
      <c r="G73" t="inlineStr">
        <is>
          <t>profit_anchor</t>
        </is>
      </c>
      <c r="H73" t="inlineStr">
        <is>
          <t>professional_services_anchor</t>
        </is>
      </c>
      <c r="I73" t="n">
        <v>34</v>
      </c>
      <c r="J73" t="n">
        <v>0</v>
      </c>
      <c r="K73" t="n">
        <v>0.1</v>
      </c>
      <c r="L73" t="n">
        <v>0.02040816</v>
      </c>
      <c r="M73" t="n">
        <v>0.12040816</v>
      </c>
      <c r="N73" t="n">
        <v>1.5502551</v>
      </c>
      <c r="O73" t="n">
        <v>52.708673</v>
      </c>
      <c r="P73" t="n">
        <v>0.08333333</v>
      </c>
      <c r="Q73" t="n">
        <v>0.2</v>
      </c>
      <c r="R73" t="n">
        <v>0.28333333</v>
      </c>
      <c r="S73" t="n">
        <v>0.91197917</v>
      </c>
      <c r="T73" t="n">
        <v>1.18903337</v>
      </c>
      <c r="U73" t="n">
        <v>40.427135</v>
      </c>
      <c r="V73" t="b">
        <v>0</v>
      </c>
      <c r="W73" t="n">
        <v>0</v>
      </c>
      <c r="X73" t="inlineStr">
        <is>
          <t>role_subrole_balanced_score = base_support_score * capped sqrt(avg_macro_multiplier * avg_subrole_multiplier); role/subrole quota constraints use inverse weights.</t>
        </is>
      </c>
    </row>
    <row r="74">
      <c r="A74" t="inlineStr">
        <is>
          <t>C0073</t>
        </is>
      </c>
      <c r="B74" t="inlineStr">
        <is>
          <t>x_0073</t>
        </is>
      </c>
      <c r="C74" t="inlineStr">
        <is>
          <t>Bundesagentur für Arbeit, Regionaldirektion Rheinland-Pfalz-Saarland</t>
        </is>
      </c>
      <c r="D74" t="inlineStr">
        <is>
          <t>implementation_anchor</t>
        </is>
      </c>
      <c r="E74" t="inlineStr">
        <is>
          <t>public_policy_anchor</t>
        </is>
      </c>
      <c r="F74" t="inlineStr">
        <is>
          <t>GLOBUS Markthallen Holding GmbH &amp; Co. KG</t>
        </is>
      </c>
      <c r="G74" t="inlineStr">
        <is>
          <t>profit_anchor</t>
        </is>
      </c>
      <c r="H74" t="inlineStr">
        <is>
          <t>food_beverage_consumer_anchor</t>
        </is>
      </c>
      <c r="I74" t="n">
        <v>34</v>
      </c>
      <c r="J74" t="n">
        <v>0</v>
      </c>
      <c r="K74" t="n">
        <v>0.1</v>
      </c>
      <c r="L74" t="n">
        <v>0.02040816</v>
      </c>
      <c r="M74" t="n">
        <v>0.12040816</v>
      </c>
      <c r="N74" t="n">
        <v>1.5502551</v>
      </c>
      <c r="O74" t="n">
        <v>52.708673</v>
      </c>
      <c r="P74" t="n">
        <v>0.16666667</v>
      </c>
      <c r="Q74" t="n">
        <v>0.2</v>
      </c>
      <c r="R74" t="n">
        <v>0.36666667</v>
      </c>
      <c r="S74" t="n">
        <v>1.18020833</v>
      </c>
      <c r="T74" t="n">
        <v>1.35263594</v>
      </c>
      <c r="U74" t="n">
        <v>45.989622</v>
      </c>
      <c r="V74" t="b">
        <v>0</v>
      </c>
      <c r="W74" t="n">
        <v>0</v>
      </c>
      <c r="X74" t="inlineStr">
        <is>
          <t>role_subrole_balanced_score = base_support_score * capped sqrt(avg_macro_multiplier * avg_subrole_multiplier); role/subrole quota constraints use inverse weights.</t>
        </is>
      </c>
    </row>
    <row r="75">
      <c r="A75" t="inlineStr">
        <is>
          <t>C0074</t>
        </is>
      </c>
      <c r="B75" t="inlineStr">
        <is>
          <t>x_0074</t>
        </is>
      </c>
      <c r="C75" t="inlineStr">
        <is>
          <t>Caritasverband für die Diözese Speyer e.V.</t>
        </is>
      </c>
      <c r="D75" t="inlineStr">
        <is>
          <t>implementation_anchor</t>
        </is>
      </c>
      <c r="E75" t="inlineStr">
        <is>
          <t>health_social_anchor</t>
        </is>
      </c>
      <c r="F75" t="inlineStr">
        <is>
          <t>GLOBUS Markthallen Holding GmbH &amp; Co. KG</t>
        </is>
      </c>
      <c r="G75" t="inlineStr">
        <is>
          <t>profit_anchor</t>
        </is>
      </c>
      <c r="H75" t="inlineStr">
        <is>
          <t>food_beverage_consumer_anchor</t>
        </is>
      </c>
      <c r="I75" t="n">
        <v>34</v>
      </c>
      <c r="J75" t="n">
        <v>0</v>
      </c>
      <c r="K75" t="n">
        <v>0.1</v>
      </c>
      <c r="L75" t="n">
        <v>0.02040816</v>
      </c>
      <c r="M75" t="n">
        <v>0.12040816</v>
      </c>
      <c r="N75" t="n">
        <v>1.5502551</v>
      </c>
      <c r="O75" t="n">
        <v>52.708673</v>
      </c>
      <c r="P75" t="n">
        <v>0.08333333</v>
      </c>
      <c r="Q75" t="n">
        <v>0.2</v>
      </c>
      <c r="R75" t="n">
        <v>0.28333333</v>
      </c>
      <c r="S75" t="n">
        <v>0.91197917</v>
      </c>
      <c r="T75" t="n">
        <v>1.18903337</v>
      </c>
      <c r="U75" t="n">
        <v>40.427135</v>
      </c>
      <c r="V75" t="b">
        <v>0</v>
      </c>
      <c r="W75" t="n">
        <v>0</v>
      </c>
      <c r="X75" t="inlineStr">
        <is>
          <t>role_subrole_balanced_score = base_support_score * capped sqrt(avg_macro_multiplier * avg_subrole_multiplier); role/subrole quota constraints use inverse weights.</t>
        </is>
      </c>
    </row>
    <row r="76">
      <c r="A76" t="inlineStr">
        <is>
          <t>C0075</t>
        </is>
      </c>
      <c r="B76" t="inlineStr">
        <is>
          <t>x_0075</t>
        </is>
      </c>
      <c r="C76" t="inlineStr">
        <is>
          <t>Bundesagentur für Arbeit, Regionaldirektion Rheinland-Pfalz-Saarland</t>
        </is>
      </c>
      <c r="D76" t="inlineStr">
        <is>
          <t>implementation_anchor</t>
        </is>
      </c>
      <c r="E76" t="inlineStr">
        <is>
          <t>public_policy_anchor</t>
        </is>
      </c>
      <c r="F76" t="inlineStr">
        <is>
          <t>Duale Hochschule Rheinland-Pfalz</t>
        </is>
      </c>
      <c r="G76" t="inlineStr">
        <is>
          <t>academic_support</t>
        </is>
      </c>
      <c r="H76" t="inlineStr">
        <is>
          <t>university_applied_sciences</t>
        </is>
      </c>
      <c r="I76" t="n">
        <v>34</v>
      </c>
      <c r="J76" t="n">
        <v>0</v>
      </c>
      <c r="K76" t="n">
        <v>0.1</v>
      </c>
      <c r="L76" t="n">
        <v>0.05555556</v>
      </c>
      <c r="M76" t="n">
        <v>0.15555556</v>
      </c>
      <c r="N76" t="n">
        <v>2.00277778</v>
      </c>
      <c r="O76" t="n">
        <v>68.094444</v>
      </c>
      <c r="P76" t="n">
        <v>0.16666667</v>
      </c>
      <c r="Q76" t="n">
        <v>0.09090909</v>
      </c>
      <c r="R76" t="n">
        <v>0.25757576</v>
      </c>
      <c r="S76" t="n">
        <v>0.82907197</v>
      </c>
      <c r="T76" t="n">
        <v>1.2885833</v>
      </c>
      <c r="U76" t="n">
        <v>43.811832</v>
      </c>
      <c r="V76" t="b">
        <v>1</v>
      </c>
      <c r="W76" t="n">
        <v>1</v>
      </c>
      <c r="X76" t="inlineStr">
        <is>
          <t>role_subrole_balanced_score = base_support_score * capped sqrt(avg_macro_multiplier * avg_subrole_multiplier); role/subrole quota constraints use inverse weights.</t>
        </is>
      </c>
    </row>
    <row r="77">
      <c r="A77" t="inlineStr">
        <is>
          <t>C0076</t>
        </is>
      </c>
      <c r="B77" t="inlineStr">
        <is>
          <t>x_0076</t>
        </is>
      </c>
      <c r="C77" t="inlineStr">
        <is>
          <t>Bundesagentur für Arbeit, Regionaldirektion Rheinland-Pfalz-Saarland</t>
        </is>
      </c>
      <c r="D77" t="inlineStr">
        <is>
          <t>implementation_anchor</t>
        </is>
      </c>
      <c r="E77" t="inlineStr">
        <is>
          <t>public_policy_anchor</t>
        </is>
      </c>
      <c r="F77" t="inlineStr">
        <is>
          <t>GLOBUS Markthallen Holding GmbH &amp; Co. KG</t>
        </is>
      </c>
      <c r="G77" t="inlineStr">
        <is>
          <t>profit_anchor</t>
        </is>
      </c>
      <c r="H77" t="inlineStr">
        <is>
          <t>food_beverage_consumer_anchor</t>
        </is>
      </c>
      <c r="I77" t="n">
        <v>34</v>
      </c>
      <c r="J77" t="n">
        <v>0</v>
      </c>
      <c r="K77" t="n">
        <v>0.1</v>
      </c>
      <c r="L77" t="n">
        <v>0.02040816</v>
      </c>
      <c r="M77" t="n">
        <v>0.12040816</v>
      </c>
      <c r="N77" t="n">
        <v>1.5502551</v>
      </c>
      <c r="O77" t="n">
        <v>52.708673</v>
      </c>
      <c r="P77" t="n">
        <v>0.16666667</v>
      </c>
      <c r="Q77" t="n">
        <v>0.2</v>
      </c>
      <c r="R77" t="n">
        <v>0.36666667</v>
      </c>
      <c r="S77" t="n">
        <v>1.18020833</v>
      </c>
      <c r="T77" t="n">
        <v>1.35263594</v>
      </c>
      <c r="U77" t="n">
        <v>45.989622</v>
      </c>
      <c r="V77" t="b">
        <v>0</v>
      </c>
      <c r="W77" t="n">
        <v>0</v>
      </c>
      <c r="X77" t="inlineStr">
        <is>
          <t>role_subrole_balanced_score = base_support_score * capped sqrt(avg_macro_multiplier * avg_subrole_multiplier); role/subrole quota constraints use inverse weights.</t>
        </is>
      </c>
    </row>
    <row r="78">
      <c r="A78" t="inlineStr">
        <is>
          <t>C0077</t>
        </is>
      </c>
      <c r="B78" t="inlineStr">
        <is>
          <t>x_0077</t>
        </is>
      </c>
      <c r="C78" t="inlineStr">
        <is>
          <t>Bundesagentur für Arbeit, Regionaldirektion Rheinland-Pfalz-Saarland</t>
        </is>
      </c>
      <c r="D78" t="inlineStr">
        <is>
          <t>implementation_anchor</t>
        </is>
      </c>
      <c r="E78" t="inlineStr">
        <is>
          <t>public_policy_anchor</t>
        </is>
      </c>
      <c r="F78" t="inlineStr">
        <is>
          <t>Leonardo PersonalKonzept GmbH</t>
        </is>
      </c>
      <c r="G78" t="inlineStr">
        <is>
          <t>profit_anchor</t>
        </is>
      </c>
      <c r="H78" t="inlineStr">
        <is>
          <t>professional_services_anchor</t>
        </is>
      </c>
      <c r="I78" t="n">
        <v>34</v>
      </c>
      <c r="J78" t="n">
        <v>0</v>
      </c>
      <c r="K78" t="n">
        <v>0.1</v>
      </c>
      <c r="L78" t="n">
        <v>0.02040816</v>
      </c>
      <c r="M78" t="n">
        <v>0.12040816</v>
      </c>
      <c r="N78" t="n">
        <v>1.5502551</v>
      </c>
      <c r="O78" t="n">
        <v>52.708673</v>
      </c>
      <c r="P78" t="n">
        <v>0.16666667</v>
      </c>
      <c r="Q78" t="n">
        <v>0.2</v>
      </c>
      <c r="R78" t="n">
        <v>0.36666667</v>
      </c>
      <c r="S78" t="n">
        <v>1.18020833</v>
      </c>
      <c r="T78" t="n">
        <v>1.35263594</v>
      </c>
      <c r="U78" t="n">
        <v>45.989622</v>
      </c>
      <c r="V78" t="b">
        <v>0</v>
      </c>
      <c r="W78" t="n">
        <v>0</v>
      </c>
      <c r="X78" t="inlineStr">
        <is>
          <t>role_subrole_balanced_score = base_support_score * capped sqrt(avg_macro_multiplier * avg_subrole_multiplier); role/subrole quota constraints use inverse weights.</t>
        </is>
      </c>
    </row>
    <row r="79">
      <c r="A79" t="inlineStr">
        <is>
          <t>C0078</t>
        </is>
      </c>
      <c r="B79" t="inlineStr">
        <is>
          <t>x_0078</t>
        </is>
      </c>
      <c r="C79" t="inlineStr">
        <is>
          <t>Duale Hochschule Rheinland-Pfalz</t>
        </is>
      </c>
      <c r="D79" t="inlineStr">
        <is>
          <t>academic_support</t>
        </is>
      </c>
      <c r="E79" t="inlineStr">
        <is>
          <t>university_applied_sciences</t>
        </is>
      </c>
      <c r="F79" t="inlineStr">
        <is>
          <t>Handwerkskammern Rheinland-Pfalz</t>
        </is>
      </c>
      <c r="G79" t="inlineStr">
        <is>
          <t>implementation_anchor</t>
        </is>
      </c>
      <c r="H79" t="inlineStr">
        <is>
          <t>chamber_association_anchor</t>
        </is>
      </c>
      <c r="I79" t="n">
        <v>34</v>
      </c>
      <c r="J79" t="n">
        <v>0</v>
      </c>
      <c r="K79" t="n">
        <v>0.05555556</v>
      </c>
      <c r="L79" t="n">
        <v>0.1</v>
      </c>
      <c r="M79" t="n">
        <v>0.15555556</v>
      </c>
      <c r="N79" t="n">
        <v>2.00277778</v>
      </c>
      <c r="O79" t="n">
        <v>68.094444</v>
      </c>
      <c r="P79" t="n">
        <v>0.09090909</v>
      </c>
      <c r="Q79" t="n">
        <v>0.25</v>
      </c>
      <c r="R79" t="n">
        <v>0.34090909</v>
      </c>
      <c r="S79" t="n">
        <v>1.09730114</v>
      </c>
      <c r="T79" t="n">
        <v>1.48244741</v>
      </c>
      <c r="U79" t="n">
        <v>50.403212</v>
      </c>
      <c r="V79" t="b">
        <v>1</v>
      </c>
      <c r="W79" t="n">
        <v>1</v>
      </c>
      <c r="X79" t="inlineStr">
        <is>
          <t>role_subrole_balanced_score = base_support_score * capped sqrt(avg_macro_multiplier * avg_subrole_multiplier); role/subrole quota constraints use inverse weights.</t>
        </is>
      </c>
    </row>
    <row r="80">
      <c r="A80" t="inlineStr">
        <is>
          <t>C0079</t>
        </is>
      </c>
      <c r="B80" t="inlineStr">
        <is>
          <t>x_0079</t>
        </is>
      </c>
      <c r="C80" t="inlineStr">
        <is>
          <t>GLOBUS Markthallen Holding GmbH &amp; Co. KG</t>
        </is>
      </c>
      <c r="D80" t="inlineStr">
        <is>
          <t>profit_anchor</t>
        </is>
      </c>
      <c r="E80" t="inlineStr">
        <is>
          <t>food_beverage_consumer_anchor</t>
        </is>
      </c>
      <c r="F80" t="inlineStr">
        <is>
          <t>Handwerkskammern Rheinland-Pfalz</t>
        </is>
      </c>
      <c r="G80" t="inlineStr">
        <is>
          <t>implementation_anchor</t>
        </is>
      </c>
      <c r="H80" t="inlineStr">
        <is>
          <t>chamber_association_anchor</t>
        </is>
      </c>
      <c r="I80" t="n">
        <v>34</v>
      </c>
      <c r="J80" t="n">
        <v>0</v>
      </c>
      <c r="K80" t="n">
        <v>0.02040816</v>
      </c>
      <c r="L80" t="n">
        <v>0.1</v>
      </c>
      <c r="M80" t="n">
        <v>0.12040816</v>
      </c>
      <c r="N80" t="n">
        <v>1.5502551</v>
      </c>
      <c r="O80" t="n">
        <v>52.708673</v>
      </c>
      <c r="P80" t="n">
        <v>0.2</v>
      </c>
      <c r="Q80" t="n">
        <v>0.25</v>
      </c>
      <c r="R80" t="n">
        <v>0.45</v>
      </c>
      <c r="S80" t="n">
        <v>1.4484375</v>
      </c>
      <c r="T80" t="n">
        <v>1.49848177</v>
      </c>
      <c r="U80" t="n">
        <v>50.94838</v>
      </c>
      <c r="V80" t="b">
        <v>0</v>
      </c>
      <c r="W80" t="n">
        <v>0</v>
      </c>
      <c r="X80" t="inlineStr">
        <is>
          <t>role_subrole_balanced_score = base_support_score * capped sqrt(avg_macro_multiplier * avg_subrole_multiplier); role/subrole quota constraints use inverse weights.</t>
        </is>
      </c>
    </row>
    <row r="81">
      <c r="A81" t="inlineStr">
        <is>
          <t>C0080</t>
        </is>
      </c>
      <c r="B81" t="inlineStr">
        <is>
          <t>x_0080</t>
        </is>
      </c>
      <c r="C81" t="inlineStr">
        <is>
          <t>Handwerkskammern Rheinland-Pfalz</t>
        </is>
      </c>
      <c r="D81" t="inlineStr">
        <is>
          <t>implementation_anchor</t>
        </is>
      </c>
      <c r="E81" t="inlineStr">
        <is>
          <t>chamber_association_anchor</t>
        </is>
      </c>
      <c r="F81" t="inlineStr">
        <is>
          <t>Leonardo PersonalKonzept GmbH</t>
        </is>
      </c>
      <c r="G81" t="inlineStr">
        <is>
          <t>profit_anchor</t>
        </is>
      </c>
      <c r="H81" t="inlineStr">
        <is>
          <t>professional_services_anchor</t>
        </is>
      </c>
      <c r="I81" t="n">
        <v>34</v>
      </c>
      <c r="J81" t="n">
        <v>0</v>
      </c>
      <c r="K81" t="n">
        <v>0.1</v>
      </c>
      <c r="L81" t="n">
        <v>0.02040816</v>
      </c>
      <c r="M81" t="n">
        <v>0.12040816</v>
      </c>
      <c r="N81" t="n">
        <v>1.5502551</v>
      </c>
      <c r="O81" t="n">
        <v>52.708673</v>
      </c>
      <c r="P81" t="n">
        <v>0.25</v>
      </c>
      <c r="Q81" t="n">
        <v>0.2</v>
      </c>
      <c r="R81" t="n">
        <v>0.45</v>
      </c>
      <c r="S81" t="n">
        <v>1.4484375</v>
      </c>
      <c r="T81" t="n">
        <v>1.49848177</v>
      </c>
      <c r="U81" t="n">
        <v>50.94838</v>
      </c>
      <c r="V81" t="b">
        <v>0</v>
      </c>
      <c r="W81" t="n">
        <v>0</v>
      </c>
      <c r="X81" t="inlineStr">
        <is>
          <t>role_subrole_balanced_score = base_support_score * capped sqrt(avg_macro_multiplier * avg_subrole_multiplier); role/subrole quota constraints use inverse weights.</t>
        </is>
      </c>
    </row>
    <row r="82">
      <c r="A82" t="inlineStr">
        <is>
          <t>C0081</t>
        </is>
      </c>
      <c r="B82" t="inlineStr">
        <is>
          <t>x_0081</t>
        </is>
      </c>
      <c r="C82" t="inlineStr">
        <is>
          <t>BASF SE</t>
        </is>
      </c>
      <c r="D82" t="inlineStr">
        <is>
          <t>profit_anchor</t>
        </is>
      </c>
      <c r="E82" t="inlineStr">
        <is>
          <t>industry_anchor</t>
        </is>
      </c>
      <c r="F82" t="inlineStr">
        <is>
          <t>Caritasverband für die Diözese Speyer e.V.</t>
        </is>
      </c>
      <c r="G82" t="inlineStr">
        <is>
          <t>implementation_anchor</t>
        </is>
      </c>
      <c r="H82" t="inlineStr">
        <is>
          <t>health_social_anchor</t>
        </is>
      </c>
      <c r="I82" t="n">
        <v>33</v>
      </c>
      <c r="J82" t="n">
        <v>0</v>
      </c>
      <c r="K82" t="n">
        <v>0.02040816</v>
      </c>
      <c r="L82" t="n">
        <v>0.1</v>
      </c>
      <c r="M82" t="n">
        <v>0.12040816</v>
      </c>
      <c r="N82" t="n">
        <v>1.5502551</v>
      </c>
      <c r="O82" t="n">
        <v>51.158418</v>
      </c>
      <c r="P82" t="n">
        <v>0.09090909</v>
      </c>
      <c r="Q82" t="n">
        <v>0.08333333</v>
      </c>
      <c r="R82" t="n">
        <v>0.17424242</v>
      </c>
      <c r="S82" t="n">
        <v>0.5608428</v>
      </c>
      <c r="T82" t="n">
        <v>0.9324427199999999</v>
      </c>
      <c r="U82" t="n">
        <v>30.77061</v>
      </c>
      <c r="V82" t="b">
        <v>0</v>
      </c>
      <c r="W82" t="n">
        <v>0</v>
      </c>
      <c r="X82" t="inlineStr">
        <is>
          <t>role_subrole_balanced_score = base_support_score * capped sqrt(avg_macro_multiplier * avg_subrole_multiplier); role/subrole quota constraints use inverse weights.</t>
        </is>
      </c>
    </row>
    <row r="83">
      <c r="A83" t="inlineStr">
        <is>
          <t>C0082</t>
        </is>
      </c>
      <c r="B83" t="inlineStr">
        <is>
          <t>x_0082</t>
        </is>
      </c>
      <c r="C83" t="inlineStr">
        <is>
          <t>Boehringer Ingelheim Pharma GmbH &amp; Co. KG</t>
        </is>
      </c>
      <c r="D83" t="inlineStr">
        <is>
          <t>profit_anchor</t>
        </is>
      </c>
      <c r="E83" t="inlineStr">
        <is>
          <t>health_social_anchor</t>
        </is>
      </c>
      <c r="F83" t="inlineStr">
        <is>
          <t>Caritasverband für die Diözese Speyer e.V.</t>
        </is>
      </c>
      <c r="G83" t="inlineStr">
        <is>
          <t>implementation_anchor</t>
        </is>
      </c>
      <c r="H83" t="inlineStr">
        <is>
          <t>health_social_anchor</t>
        </is>
      </c>
      <c r="I83" t="n">
        <v>33</v>
      </c>
      <c r="J83" t="n">
        <v>0</v>
      </c>
      <c r="K83" t="n">
        <v>0.02040816</v>
      </c>
      <c r="L83" t="n">
        <v>0.1</v>
      </c>
      <c r="M83" t="n">
        <v>0.12040816</v>
      </c>
      <c r="N83" t="n">
        <v>1.5502551</v>
      </c>
      <c r="O83" t="n">
        <v>51.158418</v>
      </c>
      <c r="P83" t="n">
        <v>0.08333333</v>
      </c>
      <c r="Q83" t="n">
        <v>0.08333333</v>
      </c>
      <c r="R83" t="n">
        <v>0.16666667</v>
      </c>
      <c r="S83" t="n">
        <v>0.53645833</v>
      </c>
      <c r="T83" t="n">
        <v>0.91194697</v>
      </c>
      <c r="U83" t="n">
        <v>30.09425</v>
      </c>
      <c r="V83" t="b">
        <v>0</v>
      </c>
      <c r="W83" t="n">
        <v>0</v>
      </c>
      <c r="X83" t="inlineStr">
        <is>
          <t>role_subrole_balanced_score = base_support_score * capped sqrt(avg_macro_multiplier * avg_subrole_multiplier); role/subrole quota constraints use inverse weights.</t>
        </is>
      </c>
    </row>
    <row r="84">
      <c r="A84" t="inlineStr">
        <is>
          <t>C0083</t>
        </is>
      </c>
      <c r="B84" t="inlineStr">
        <is>
          <t>x_0083</t>
        </is>
      </c>
      <c r="C84" t="inlineStr">
        <is>
          <t>Bundesagentur für Arbeit, Regionaldirektion Rheinland-Pfalz-Saarland</t>
        </is>
      </c>
      <c r="D84" t="inlineStr">
        <is>
          <t>implementation_anchor</t>
        </is>
      </c>
      <c r="E84" t="inlineStr">
        <is>
          <t>public_policy_anchor</t>
        </is>
      </c>
      <c r="F84" t="inlineStr">
        <is>
          <t>Hochschule Kaiserslautern</t>
        </is>
      </c>
      <c r="G84" t="inlineStr">
        <is>
          <t>academic_support</t>
        </is>
      </c>
      <c r="H84" t="inlineStr">
        <is>
          <t>university_applied_sciences</t>
        </is>
      </c>
      <c r="I84" t="n">
        <v>33</v>
      </c>
      <c r="J84" t="n">
        <v>0</v>
      </c>
      <c r="K84" t="n">
        <v>0.1</v>
      </c>
      <c r="L84" t="n">
        <v>0.05555556</v>
      </c>
      <c r="M84" t="n">
        <v>0.15555556</v>
      </c>
      <c r="N84" t="n">
        <v>2.00277778</v>
      </c>
      <c r="O84" t="n">
        <v>66.091667</v>
      </c>
      <c r="P84" t="n">
        <v>0.16666667</v>
      </c>
      <c r="Q84" t="n">
        <v>0.09090909</v>
      </c>
      <c r="R84" t="n">
        <v>0.25757576</v>
      </c>
      <c r="S84" t="n">
        <v>0.82907197</v>
      </c>
      <c r="T84" t="n">
        <v>1.2885833</v>
      </c>
      <c r="U84" t="n">
        <v>42.523249</v>
      </c>
      <c r="V84" t="b">
        <v>1</v>
      </c>
      <c r="W84" t="n">
        <v>1</v>
      </c>
      <c r="X84" t="inlineStr">
        <is>
          <t>role_subrole_balanced_score = base_support_score * capped sqrt(avg_macro_multiplier * avg_subrole_multiplier); role/subrole quota constraints use inverse weights.</t>
        </is>
      </c>
    </row>
    <row r="85">
      <c r="A85" t="inlineStr">
        <is>
          <t>C0084</t>
        </is>
      </c>
      <c r="B85" t="inlineStr">
        <is>
          <t>x_0084</t>
        </is>
      </c>
      <c r="C85" t="inlineStr">
        <is>
          <t>Bundesagentur für Arbeit, Regionaldirektion Rheinland-Pfalz-Saarland</t>
        </is>
      </c>
      <c r="D85" t="inlineStr">
        <is>
          <t>implementation_anchor</t>
        </is>
      </c>
      <c r="E85" t="inlineStr">
        <is>
          <t>public_policy_anchor</t>
        </is>
      </c>
      <c r="F85" t="inlineStr">
        <is>
          <t>Hochschule Koblenz</t>
        </is>
      </c>
      <c r="G85" t="inlineStr">
        <is>
          <t>academic_support</t>
        </is>
      </c>
      <c r="H85" t="inlineStr">
        <is>
          <t>university_applied_sciences</t>
        </is>
      </c>
      <c r="I85" t="n">
        <v>33</v>
      </c>
      <c r="J85" t="n">
        <v>0</v>
      </c>
      <c r="K85" t="n">
        <v>0.1</v>
      </c>
      <c r="L85" t="n">
        <v>0.05555556</v>
      </c>
      <c r="M85" t="n">
        <v>0.15555556</v>
      </c>
      <c r="N85" t="n">
        <v>2.00277778</v>
      </c>
      <c r="O85" t="n">
        <v>66.091667</v>
      </c>
      <c r="P85" t="n">
        <v>0.16666667</v>
      </c>
      <c r="Q85" t="n">
        <v>0.09090909</v>
      </c>
      <c r="R85" t="n">
        <v>0.25757576</v>
      </c>
      <c r="S85" t="n">
        <v>0.82907197</v>
      </c>
      <c r="T85" t="n">
        <v>1.2885833</v>
      </c>
      <c r="U85" t="n">
        <v>42.523249</v>
      </c>
      <c r="V85" t="b">
        <v>1</v>
      </c>
      <c r="W85" t="n">
        <v>1</v>
      </c>
      <c r="X85" t="inlineStr">
        <is>
          <t>role_subrole_balanced_score = base_support_score * capped sqrt(avg_macro_multiplier * avg_subrole_multiplier); role/subrole quota constraints use inverse weights.</t>
        </is>
      </c>
    </row>
    <row r="86">
      <c r="A86" t="inlineStr">
        <is>
          <t>C0085</t>
        </is>
      </c>
      <c r="B86" t="inlineStr">
        <is>
          <t>x_0085</t>
        </is>
      </c>
      <c r="C86" t="inlineStr">
        <is>
          <t>Bundesagentur für Arbeit, Regionaldirektion Rheinland-Pfalz-Saarland</t>
        </is>
      </c>
      <c r="D86" t="inlineStr">
        <is>
          <t>implementation_anchor</t>
        </is>
      </c>
      <c r="E86" t="inlineStr">
        <is>
          <t>public_policy_anchor</t>
        </is>
      </c>
      <c r="F86" t="inlineStr">
        <is>
          <t>Hochschule Mainz</t>
        </is>
      </c>
      <c r="G86" t="inlineStr">
        <is>
          <t>academic_support</t>
        </is>
      </c>
      <c r="H86" t="inlineStr">
        <is>
          <t>university_applied_sciences</t>
        </is>
      </c>
      <c r="I86" t="n">
        <v>33</v>
      </c>
      <c r="J86" t="n">
        <v>0</v>
      </c>
      <c r="K86" t="n">
        <v>0.1</v>
      </c>
      <c r="L86" t="n">
        <v>0.05555556</v>
      </c>
      <c r="M86" t="n">
        <v>0.15555556</v>
      </c>
      <c r="N86" t="n">
        <v>2.00277778</v>
      </c>
      <c r="O86" t="n">
        <v>66.091667</v>
      </c>
      <c r="P86" t="n">
        <v>0.16666667</v>
      </c>
      <c r="Q86" t="n">
        <v>0.09090909</v>
      </c>
      <c r="R86" t="n">
        <v>0.25757576</v>
      </c>
      <c r="S86" t="n">
        <v>0.82907197</v>
      </c>
      <c r="T86" t="n">
        <v>1.2885833</v>
      </c>
      <c r="U86" t="n">
        <v>42.523249</v>
      </c>
      <c r="V86" t="b">
        <v>1</v>
      </c>
      <c r="W86" t="n">
        <v>1</v>
      </c>
      <c r="X86" t="inlineStr">
        <is>
          <t>role_subrole_balanced_score = base_support_score * capped sqrt(avg_macro_multiplier * avg_subrole_multiplier); role/subrole quota constraints use inverse weights.</t>
        </is>
      </c>
    </row>
    <row r="87">
      <c r="A87" t="inlineStr">
        <is>
          <t>C0086</t>
        </is>
      </c>
      <c r="B87" t="inlineStr">
        <is>
          <t>x_0086</t>
        </is>
      </c>
      <c r="C87" t="inlineStr">
        <is>
          <t>Bundesagentur für Arbeit, Regionaldirektion Rheinland-Pfalz-Saarland</t>
        </is>
      </c>
      <c r="D87" t="inlineStr">
        <is>
          <t>implementation_anchor</t>
        </is>
      </c>
      <c r="E87" t="inlineStr">
        <is>
          <t>public_policy_anchor</t>
        </is>
      </c>
      <c r="F87" t="inlineStr">
        <is>
          <t>Hochschule Trier</t>
        </is>
      </c>
      <c r="G87" t="inlineStr">
        <is>
          <t>academic_support</t>
        </is>
      </c>
      <c r="H87" t="inlineStr">
        <is>
          <t>university_applied_sciences</t>
        </is>
      </c>
      <c r="I87" t="n">
        <v>33</v>
      </c>
      <c r="J87" t="n">
        <v>0</v>
      </c>
      <c r="K87" t="n">
        <v>0.1</v>
      </c>
      <c r="L87" t="n">
        <v>0.05555556</v>
      </c>
      <c r="M87" t="n">
        <v>0.15555556</v>
      </c>
      <c r="N87" t="n">
        <v>2.00277778</v>
      </c>
      <c r="O87" t="n">
        <v>66.091667</v>
      </c>
      <c r="P87" t="n">
        <v>0.16666667</v>
      </c>
      <c r="Q87" t="n">
        <v>0.09090909</v>
      </c>
      <c r="R87" t="n">
        <v>0.25757576</v>
      </c>
      <c r="S87" t="n">
        <v>0.82907197</v>
      </c>
      <c r="T87" t="n">
        <v>1.2885833</v>
      </c>
      <c r="U87" t="n">
        <v>42.523249</v>
      </c>
      <c r="V87" t="b">
        <v>1</v>
      </c>
      <c r="W87" t="n">
        <v>1</v>
      </c>
      <c r="X87" t="inlineStr">
        <is>
          <t>role_subrole_balanced_score = base_support_score * capped sqrt(avg_macro_multiplier * avg_subrole_multiplier); role/subrole quota constraints use inverse weights.</t>
        </is>
      </c>
    </row>
    <row r="88">
      <c r="A88" t="inlineStr">
        <is>
          <t>C0087</t>
        </is>
      </c>
      <c r="B88" t="inlineStr">
        <is>
          <t>x_0087</t>
        </is>
      </c>
      <c r="C88" t="inlineStr">
        <is>
          <t>Bundesagentur für Arbeit, Regionaldirektion Rheinland-Pfalz-Saarland</t>
        </is>
      </c>
      <c r="D88" t="inlineStr">
        <is>
          <t>implementation_anchor</t>
        </is>
      </c>
      <c r="E88" t="inlineStr">
        <is>
          <t>public_policy_anchor</t>
        </is>
      </c>
      <c r="F88" t="inlineStr">
        <is>
          <t>Hochschule Worms</t>
        </is>
      </c>
      <c r="G88" t="inlineStr">
        <is>
          <t>academic_support</t>
        </is>
      </c>
      <c r="H88" t="inlineStr">
        <is>
          <t>university_applied_sciences</t>
        </is>
      </c>
      <c r="I88" t="n">
        <v>33</v>
      </c>
      <c r="J88" t="n">
        <v>0</v>
      </c>
      <c r="K88" t="n">
        <v>0.1</v>
      </c>
      <c r="L88" t="n">
        <v>0.05555556</v>
      </c>
      <c r="M88" t="n">
        <v>0.15555556</v>
      </c>
      <c r="N88" t="n">
        <v>2.00277778</v>
      </c>
      <c r="O88" t="n">
        <v>66.091667</v>
      </c>
      <c r="P88" t="n">
        <v>0.16666667</v>
      </c>
      <c r="Q88" t="n">
        <v>0.09090909</v>
      </c>
      <c r="R88" t="n">
        <v>0.25757576</v>
      </c>
      <c r="S88" t="n">
        <v>0.82907197</v>
      </c>
      <c r="T88" t="n">
        <v>1.2885833</v>
      </c>
      <c r="U88" t="n">
        <v>42.523249</v>
      </c>
      <c r="V88" t="b">
        <v>1</v>
      </c>
      <c r="W88" t="n">
        <v>1</v>
      </c>
      <c r="X88" t="inlineStr">
        <is>
          <t>role_subrole_balanced_score = base_support_score * capped sqrt(avg_macro_multiplier * avg_subrole_multiplier); role/subrole quota constraints use inverse weights.</t>
        </is>
      </c>
    </row>
    <row r="89">
      <c r="A89" t="inlineStr">
        <is>
          <t>C0088</t>
        </is>
      </c>
      <c r="B89" t="inlineStr">
        <is>
          <t>x_0088</t>
        </is>
      </c>
      <c r="C89" t="inlineStr">
        <is>
          <t>Bundesagentur für Arbeit, Regionaldirektion Rheinland-Pfalz-Saarland</t>
        </is>
      </c>
      <c r="D89" t="inlineStr">
        <is>
          <t>implementation_anchor</t>
        </is>
      </c>
      <c r="E89" t="inlineStr">
        <is>
          <t>public_policy_anchor</t>
        </is>
      </c>
      <c r="F89" t="inlineStr">
        <is>
          <t>Hochschule für Wirtschaft und Gesellschaft Ludwigshafen</t>
        </is>
      </c>
      <c r="G89" t="inlineStr">
        <is>
          <t>academic_support</t>
        </is>
      </c>
      <c r="H89" t="inlineStr">
        <is>
          <t>university_applied_sciences</t>
        </is>
      </c>
      <c r="I89" t="n">
        <v>33</v>
      </c>
      <c r="J89" t="n">
        <v>0</v>
      </c>
      <c r="K89" t="n">
        <v>0.1</v>
      </c>
      <c r="L89" t="n">
        <v>0.05555556</v>
      </c>
      <c r="M89" t="n">
        <v>0.15555556</v>
      </c>
      <c r="N89" t="n">
        <v>2.00277778</v>
      </c>
      <c r="O89" t="n">
        <v>66.091667</v>
      </c>
      <c r="P89" t="n">
        <v>0.16666667</v>
      </c>
      <c r="Q89" t="n">
        <v>0.09090909</v>
      </c>
      <c r="R89" t="n">
        <v>0.25757576</v>
      </c>
      <c r="S89" t="n">
        <v>0.82907197</v>
      </c>
      <c r="T89" t="n">
        <v>1.2885833</v>
      </c>
      <c r="U89" t="n">
        <v>42.523249</v>
      </c>
      <c r="V89" t="b">
        <v>1</v>
      </c>
      <c r="W89" t="n">
        <v>1</v>
      </c>
      <c r="X89" t="inlineStr">
        <is>
          <t>role_subrole_balanced_score = base_support_score * capped sqrt(avg_macro_multiplier * avg_subrole_multiplier); role/subrole quota constraints use inverse weights.</t>
        </is>
      </c>
    </row>
    <row r="90">
      <c r="A90" t="inlineStr">
        <is>
          <t>C0089</t>
        </is>
      </c>
      <c r="B90" t="inlineStr">
        <is>
          <t>x_0089</t>
        </is>
      </c>
      <c r="C90" t="inlineStr">
        <is>
          <t>Bundesagentur für Arbeit, Regionaldirektion Rheinland-Pfalz-Saarland</t>
        </is>
      </c>
      <c r="D90" t="inlineStr">
        <is>
          <t>implementation_anchor</t>
        </is>
      </c>
      <c r="E90" t="inlineStr">
        <is>
          <t>public_policy_anchor</t>
        </is>
      </c>
      <c r="F90" t="inlineStr">
        <is>
          <t>Katholische Hochschule Mainz</t>
        </is>
      </c>
      <c r="G90" t="inlineStr">
        <is>
          <t>academic_support</t>
        </is>
      </c>
      <c r="H90" t="inlineStr">
        <is>
          <t>university_applied_sciences</t>
        </is>
      </c>
      <c r="I90" t="n">
        <v>33</v>
      </c>
      <c r="J90" t="n">
        <v>0</v>
      </c>
      <c r="K90" t="n">
        <v>0.1</v>
      </c>
      <c r="L90" t="n">
        <v>0.05555556</v>
      </c>
      <c r="M90" t="n">
        <v>0.15555556</v>
      </c>
      <c r="N90" t="n">
        <v>2.00277778</v>
      </c>
      <c r="O90" t="n">
        <v>66.091667</v>
      </c>
      <c r="P90" t="n">
        <v>0.16666667</v>
      </c>
      <c r="Q90" t="n">
        <v>0.09090909</v>
      </c>
      <c r="R90" t="n">
        <v>0.25757576</v>
      </c>
      <c r="S90" t="n">
        <v>0.82907197</v>
      </c>
      <c r="T90" t="n">
        <v>1.2885833</v>
      </c>
      <c r="U90" t="n">
        <v>42.523249</v>
      </c>
      <c r="V90" t="b">
        <v>1</v>
      </c>
      <c r="W90" t="n">
        <v>1</v>
      </c>
      <c r="X90" t="inlineStr">
        <is>
          <t>role_subrole_balanced_score = base_support_score * capped sqrt(avg_macro_multiplier * avg_subrole_multiplier); role/subrole quota constraints use inverse weights.</t>
        </is>
      </c>
    </row>
    <row r="91">
      <c r="A91" t="inlineStr">
        <is>
          <t>C0090</t>
        </is>
      </c>
      <c r="B91" t="inlineStr">
        <is>
          <t>x_0090</t>
        </is>
      </c>
      <c r="C91" t="inlineStr">
        <is>
          <t>Bundesagentur für Arbeit, Regionaldirektion Rheinland-Pfalz-Saarland</t>
        </is>
      </c>
      <c r="D91" t="inlineStr">
        <is>
          <t>implementation_anchor</t>
        </is>
      </c>
      <c r="E91" t="inlineStr">
        <is>
          <t>public_policy_anchor</t>
        </is>
      </c>
      <c r="F91" t="inlineStr">
        <is>
          <t>Technische Hochschule Bingen</t>
        </is>
      </c>
      <c r="G91" t="inlineStr">
        <is>
          <t>academic_support</t>
        </is>
      </c>
      <c r="H91" t="inlineStr">
        <is>
          <t>university_applied_sciences</t>
        </is>
      </c>
      <c r="I91" t="n">
        <v>33</v>
      </c>
      <c r="J91" t="n">
        <v>0</v>
      </c>
      <c r="K91" t="n">
        <v>0.1</v>
      </c>
      <c r="L91" t="n">
        <v>0.05555556</v>
      </c>
      <c r="M91" t="n">
        <v>0.15555556</v>
      </c>
      <c r="N91" t="n">
        <v>2.00277778</v>
      </c>
      <c r="O91" t="n">
        <v>66.091667</v>
      </c>
      <c r="P91" t="n">
        <v>0.16666667</v>
      </c>
      <c r="Q91" t="n">
        <v>0.09090909</v>
      </c>
      <c r="R91" t="n">
        <v>0.25757576</v>
      </c>
      <c r="S91" t="n">
        <v>0.82907197</v>
      </c>
      <c r="T91" t="n">
        <v>1.2885833</v>
      </c>
      <c r="U91" t="n">
        <v>42.523249</v>
      </c>
      <c r="V91" t="b">
        <v>1</v>
      </c>
      <c r="W91" t="n">
        <v>1</v>
      </c>
      <c r="X91" t="inlineStr">
        <is>
          <t>role_subrole_balanced_score = base_support_score * capped sqrt(avg_macro_multiplier * avg_subrole_multiplier); role/subrole quota constraints use inverse weights.</t>
        </is>
      </c>
    </row>
    <row r="92">
      <c r="A92" t="inlineStr">
        <is>
          <t>C0091</t>
        </is>
      </c>
      <c r="B92" t="inlineStr">
        <is>
          <t>x_0091</t>
        </is>
      </c>
      <c r="C92" t="inlineStr">
        <is>
          <t>Bundesagentur für Arbeit, Regionaldirektion Rheinland-Pfalz-Saarland</t>
        </is>
      </c>
      <c r="D92" t="inlineStr">
        <is>
          <t>implementation_anchor</t>
        </is>
      </c>
      <c r="E92" t="inlineStr">
        <is>
          <t>public_policy_anchor</t>
        </is>
      </c>
      <c r="F92" t="inlineStr">
        <is>
          <t>WHU – Otto Beisheim School of Management</t>
        </is>
      </c>
      <c r="G92" t="inlineStr">
        <is>
          <t>academic_support</t>
        </is>
      </c>
      <c r="H92" t="inlineStr">
        <is>
          <t>university_research</t>
        </is>
      </c>
      <c r="I92" t="n">
        <v>33</v>
      </c>
      <c r="J92" t="n">
        <v>0</v>
      </c>
      <c r="K92" t="n">
        <v>0.1</v>
      </c>
      <c r="L92" t="n">
        <v>0.05555556</v>
      </c>
      <c r="M92" t="n">
        <v>0.15555556</v>
      </c>
      <c r="N92" t="n">
        <v>2.00277778</v>
      </c>
      <c r="O92" t="n">
        <v>66.091667</v>
      </c>
      <c r="P92" t="n">
        <v>0.16666667</v>
      </c>
      <c r="Q92" t="n">
        <v>0.14285714</v>
      </c>
      <c r="R92" t="n">
        <v>0.30952381</v>
      </c>
      <c r="S92" t="n">
        <v>0.99627976</v>
      </c>
      <c r="T92" t="n">
        <v>1.41256043</v>
      </c>
      <c r="U92" t="n">
        <v>46.614494</v>
      </c>
      <c r="V92" t="b">
        <v>1</v>
      </c>
      <c r="W92" t="n">
        <v>1</v>
      </c>
      <c r="X92" t="inlineStr">
        <is>
          <t>role_subrole_balanced_score = base_support_score * capped sqrt(avg_macro_multiplier * avg_subrole_multiplier); role/subrole quota constraints use inverse weights.</t>
        </is>
      </c>
    </row>
    <row r="93">
      <c r="A93" t="inlineStr">
        <is>
          <t>C0092</t>
        </is>
      </c>
      <c r="B93" t="inlineStr">
        <is>
          <t>x_0092</t>
        </is>
      </c>
      <c r="C93" t="inlineStr">
        <is>
          <t>Caritasverband für die Diözese Speyer e.V.</t>
        </is>
      </c>
      <c r="D93" t="inlineStr">
        <is>
          <t>implementation_anchor</t>
        </is>
      </c>
      <c r="E93" t="inlineStr">
        <is>
          <t>health_social_anchor</t>
        </is>
      </c>
      <c r="F93" t="inlineStr">
        <is>
          <t>Duale Hochschule Rheinland-Pfalz</t>
        </is>
      </c>
      <c r="G93" t="inlineStr">
        <is>
          <t>academic_support</t>
        </is>
      </c>
      <c r="H93" t="inlineStr">
        <is>
          <t>university_applied_sciences</t>
        </is>
      </c>
      <c r="I93" t="n">
        <v>33</v>
      </c>
      <c r="J93" t="n">
        <v>0</v>
      </c>
      <c r="K93" t="n">
        <v>0.1</v>
      </c>
      <c r="L93" t="n">
        <v>0.05555556</v>
      </c>
      <c r="M93" t="n">
        <v>0.15555556</v>
      </c>
      <c r="N93" t="n">
        <v>2.00277778</v>
      </c>
      <c r="O93" t="n">
        <v>66.091667</v>
      </c>
      <c r="P93" t="n">
        <v>0.08333333</v>
      </c>
      <c r="Q93" t="n">
        <v>0.09090909</v>
      </c>
      <c r="R93" t="n">
        <v>0.17424242</v>
      </c>
      <c r="S93" t="n">
        <v>0.5608428</v>
      </c>
      <c r="T93" t="n">
        <v>1.05983183</v>
      </c>
      <c r="U93" t="n">
        <v>34.97445</v>
      </c>
      <c r="V93" t="b">
        <v>1</v>
      </c>
      <c r="W93" t="n">
        <v>1</v>
      </c>
      <c r="X93" t="inlineStr">
        <is>
          <t>role_subrole_balanced_score = base_support_score * capped sqrt(avg_macro_multiplier * avg_subrole_multiplier); role/subrole quota constraints use inverse weights.</t>
        </is>
      </c>
    </row>
    <row r="94">
      <c r="A94" t="inlineStr">
        <is>
          <t>C0093</t>
        </is>
      </c>
      <c r="B94" t="inlineStr">
        <is>
          <t>x_0093</t>
        </is>
      </c>
      <c r="C94" t="inlineStr">
        <is>
          <t>Caritasverband für die Diözese Speyer e.V.</t>
        </is>
      </c>
      <c r="D94" t="inlineStr">
        <is>
          <t>implementation_anchor</t>
        </is>
      </c>
      <c r="E94" t="inlineStr">
        <is>
          <t>health_social_anchor</t>
        </is>
      </c>
      <c r="F94" t="inlineStr">
        <is>
          <t>GLOBUS Markthallen Holding GmbH &amp; Co. KG</t>
        </is>
      </c>
      <c r="G94" t="inlineStr">
        <is>
          <t>profit_anchor</t>
        </is>
      </c>
      <c r="H94" t="inlineStr">
        <is>
          <t>food_beverage_consumer_anchor</t>
        </is>
      </c>
      <c r="I94" t="n">
        <v>33</v>
      </c>
      <c r="J94" t="n">
        <v>0</v>
      </c>
      <c r="K94" t="n">
        <v>0.1</v>
      </c>
      <c r="L94" t="n">
        <v>0.02040816</v>
      </c>
      <c r="M94" t="n">
        <v>0.12040816</v>
      </c>
      <c r="N94" t="n">
        <v>1.5502551</v>
      </c>
      <c r="O94" t="n">
        <v>51.158418</v>
      </c>
      <c r="P94" t="n">
        <v>0.08333333</v>
      </c>
      <c r="Q94" t="n">
        <v>0.2</v>
      </c>
      <c r="R94" t="n">
        <v>0.28333333</v>
      </c>
      <c r="S94" t="n">
        <v>0.91197917</v>
      </c>
      <c r="T94" t="n">
        <v>1.18903337</v>
      </c>
      <c r="U94" t="n">
        <v>39.238101</v>
      </c>
      <c r="V94" t="b">
        <v>0</v>
      </c>
      <c r="W94" t="n">
        <v>0</v>
      </c>
      <c r="X94" t="inlineStr">
        <is>
          <t>role_subrole_balanced_score = base_support_score * capped sqrt(avg_macro_multiplier * avg_subrole_multiplier); role/subrole quota constraints use inverse weights.</t>
        </is>
      </c>
    </row>
    <row r="95">
      <c r="A95" t="inlineStr">
        <is>
          <t>C0094</t>
        </is>
      </c>
      <c r="B95" t="inlineStr">
        <is>
          <t>x_0094</t>
        </is>
      </c>
      <c r="C95" t="inlineStr">
        <is>
          <t>Handwerkskammern Rheinland-Pfalz</t>
        </is>
      </c>
      <c r="D95" t="inlineStr">
        <is>
          <t>implementation_anchor</t>
        </is>
      </c>
      <c r="E95" t="inlineStr">
        <is>
          <t>chamber_association_anchor</t>
        </is>
      </c>
      <c r="F95" t="inlineStr">
        <is>
          <t>Hochschule Kaiserslautern</t>
        </is>
      </c>
      <c r="G95" t="inlineStr">
        <is>
          <t>academic_support</t>
        </is>
      </c>
      <c r="H95" t="inlineStr">
        <is>
          <t>university_applied_sciences</t>
        </is>
      </c>
      <c r="I95" t="n">
        <v>33</v>
      </c>
      <c r="J95" t="n">
        <v>0</v>
      </c>
      <c r="K95" t="n">
        <v>0.1</v>
      </c>
      <c r="L95" t="n">
        <v>0.05555556</v>
      </c>
      <c r="M95" t="n">
        <v>0.15555556</v>
      </c>
      <c r="N95" t="n">
        <v>2.00277778</v>
      </c>
      <c r="O95" t="n">
        <v>66.091667</v>
      </c>
      <c r="P95" t="n">
        <v>0.25</v>
      </c>
      <c r="Q95" t="n">
        <v>0.09090909</v>
      </c>
      <c r="R95" t="n">
        <v>0.34090909</v>
      </c>
      <c r="S95" t="n">
        <v>1.09730114</v>
      </c>
      <c r="T95" t="n">
        <v>1.48244741</v>
      </c>
      <c r="U95" t="n">
        <v>48.920765</v>
      </c>
      <c r="V95" t="b">
        <v>1</v>
      </c>
      <c r="W95" t="n">
        <v>1</v>
      </c>
      <c r="X95" t="inlineStr">
        <is>
          <t>role_subrole_balanced_score = base_support_score * capped sqrt(avg_macro_multiplier * avg_subrole_multiplier); role/subrole quota constraints use inverse weights.</t>
        </is>
      </c>
    </row>
    <row r="96">
      <c r="A96" t="inlineStr">
        <is>
          <t>C0095</t>
        </is>
      </c>
      <c r="B96" t="inlineStr">
        <is>
          <t>x_0095</t>
        </is>
      </c>
      <c r="C96" t="inlineStr">
        <is>
          <t>Handwerkskammern Rheinland-Pfalz</t>
        </is>
      </c>
      <c r="D96" t="inlineStr">
        <is>
          <t>implementation_anchor</t>
        </is>
      </c>
      <c r="E96" t="inlineStr">
        <is>
          <t>chamber_association_anchor</t>
        </is>
      </c>
      <c r="F96" t="inlineStr">
        <is>
          <t>Hochschule Koblenz</t>
        </is>
      </c>
      <c r="G96" t="inlineStr">
        <is>
          <t>academic_support</t>
        </is>
      </c>
      <c r="H96" t="inlineStr">
        <is>
          <t>university_applied_sciences</t>
        </is>
      </c>
      <c r="I96" t="n">
        <v>33</v>
      </c>
      <c r="J96" t="n">
        <v>0</v>
      </c>
      <c r="K96" t="n">
        <v>0.1</v>
      </c>
      <c r="L96" t="n">
        <v>0.05555556</v>
      </c>
      <c r="M96" t="n">
        <v>0.15555556</v>
      </c>
      <c r="N96" t="n">
        <v>2.00277778</v>
      </c>
      <c r="O96" t="n">
        <v>66.091667</v>
      </c>
      <c r="P96" t="n">
        <v>0.25</v>
      </c>
      <c r="Q96" t="n">
        <v>0.09090909</v>
      </c>
      <c r="R96" t="n">
        <v>0.34090909</v>
      </c>
      <c r="S96" t="n">
        <v>1.09730114</v>
      </c>
      <c r="T96" t="n">
        <v>1.48244741</v>
      </c>
      <c r="U96" t="n">
        <v>48.920765</v>
      </c>
      <c r="V96" t="b">
        <v>1</v>
      </c>
      <c r="W96" t="n">
        <v>1</v>
      </c>
      <c r="X96" t="inlineStr">
        <is>
          <t>role_subrole_balanced_score = base_support_score * capped sqrt(avg_macro_multiplier * avg_subrole_multiplier); role/subrole quota constraints use inverse weights.</t>
        </is>
      </c>
    </row>
    <row r="97">
      <c r="A97" t="inlineStr">
        <is>
          <t>C0096</t>
        </is>
      </c>
      <c r="B97" t="inlineStr">
        <is>
          <t>x_0096</t>
        </is>
      </c>
      <c r="C97" t="inlineStr">
        <is>
          <t>Handwerkskammern Rheinland-Pfalz</t>
        </is>
      </c>
      <c r="D97" t="inlineStr">
        <is>
          <t>implementation_anchor</t>
        </is>
      </c>
      <c r="E97" t="inlineStr">
        <is>
          <t>chamber_association_anchor</t>
        </is>
      </c>
      <c r="F97" t="inlineStr">
        <is>
          <t>Hochschule Mainz</t>
        </is>
      </c>
      <c r="G97" t="inlineStr">
        <is>
          <t>academic_support</t>
        </is>
      </c>
      <c r="H97" t="inlineStr">
        <is>
          <t>university_applied_sciences</t>
        </is>
      </c>
      <c r="I97" t="n">
        <v>33</v>
      </c>
      <c r="J97" t="n">
        <v>0</v>
      </c>
      <c r="K97" t="n">
        <v>0.1</v>
      </c>
      <c r="L97" t="n">
        <v>0.05555556</v>
      </c>
      <c r="M97" t="n">
        <v>0.15555556</v>
      </c>
      <c r="N97" t="n">
        <v>2.00277778</v>
      </c>
      <c r="O97" t="n">
        <v>66.091667</v>
      </c>
      <c r="P97" t="n">
        <v>0.25</v>
      </c>
      <c r="Q97" t="n">
        <v>0.09090909</v>
      </c>
      <c r="R97" t="n">
        <v>0.34090909</v>
      </c>
      <c r="S97" t="n">
        <v>1.09730114</v>
      </c>
      <c r="T97" t="n">
        <v>1.48244741</v>
      </c>
      <c r="U97" t="n">
        <v>48.920765</v>
      </c>
      <c r="V97" t="b">
        <v>1</v>
      </c>
      <c r="W97" t="n">
        <v>1</v>
      </c>
      <c r="X97" t="inlineStr">
        <is>
          <t>role_subrole_balanced_score = base_support_score * capped sqrt(avg_macro_multiplier * avg_subrole_multiplier); role/subrole quota constraints use inverse weights.</t>
        </is>
      </c>
    </row>
    <row r="98">
      <c r="A98" t="inlineStr">
        <is>
          <t>C0097</t>
        </is>
      </c>
      <c r="B98" t="inlineStr">
        <is>
          <t>x_0097</t>
        </is>
      </c>
      <c r="C98" t="inlineStr">
        <is>
          <t>Caritasverband für die Diözese Speyer e.V.</t>
        </is>
      </c>
      <c r="D98" t="inlineStr">
        <is>
          <t>implementation_anchor</t>
        </is>
      </c>
      <c r="E98" t="inlineStr">
        <is>
          <t>health_social_anchor</t>
        </is>
      </c>
      <c r="F98" t="inlineStr">
        <is>
          <t>Deutsche Universität für Verwaltungswissenschaften Speyer</t>
        </is>
      </c>
      <c r="G98" t="inlineStr">
        <is>
          <t>academic_support</t>
        </is>
      </c>
      <c r="H98" t="inlineStr">
        <is>
          <t>university_research</t>
        </is>
      </c>
      <c r="I98" t="n">
        <v>33</v>
      </c>
      <c r="J98" t="n">
        <v>0</v>
      </c>
      <c r="K98" t="n">
        <v>0.1</v>
      </c>
      <c r="L98" t="n">
        <v>0.05555556</v>
      </c>
      <c r="M98" t="n">
        <v>0.15555556</v>
      </c>
      <c r="N98" t="n">
        <v>2.00277778</v>
      </c>
      <c r="O98" t="n">
        <v>66.091667</v>
      </c>
      <c r="P98" t="n">
        <v>0.08333333</v>
      </c>
      <c r="Q98" t="n">
        <v>0.14285714</v>
      </c>
      <c r="R98" t="n">
        <v>0.22619048</v>
      </c>
      <c r="S98" t="n">
        <v>0.7280506</v>
      </c>
      <c r="T98" t="n">
        <v>1.20752787</v>
      </c>
      <c r="U98" t="n">
        <v>39.84842</v>
      </c>
      <c r="V98" t="b">
        <v>1</v>
      </c>
      <c r="W98" t="n">
        <v>1</v>
      </c>
      <c r="X98" t="inlineStr">
        <is>
          <t>role_subrole_balanced_score = base_support_score * capped sqrt(avg_macro_multiplier * avg_subrole_multiplier); role/subrole quota constraints use inverse weights.</t>
        </is>
      </c>
    </row>
    <row r="99">
      <c r="A99" t="inlineStr">
        <is>
          <t>C0098</t>
        </is>
      </c>
      <c r="B99" t="inlineStr">
        <is>
          <t>x_0098</t>
        </is>
      </c>
      <c r="C99" t="inlineStr">
        <is>
          <t>Caritasverband für die Diözese Speyer e.V.</t>
        </is>
      </c>
      <c r="D99" t="inlineStr">
        <is>
          <t>implementation_anchor</t>
        </is>
      </c>
      <c r="E99" t="inlineStr">
        <is>
          <t>health_social_anchor</t>
        </is>
      </c>
      <c r="F99" t="inlineStr">
        <is>
          <t>Erster FC Kaiserslautern GmbH &amp; Co. KGaA</t>
        </is>
      </c>
      <c r="G99" t="inlineStr">
        <is>
          <t>profit_anchor</t>
        </is>
      </c>
      <c r="H99" t="inlineStr">
        <is>
          <t>sports_regional_identity_anchor</t>
        </is>
      </c>
      <c r="I99" t="n">
        <v>33</v>
      </c>
      <c r="J99" t="n">
        <v>0</v>
      </c>
      <c r="K99" t="n">
        <v>0.1</v>
      </c>
      <c r="L99" t="n">
        <v>0.02040816</v>
      </c>
      <c r="M99" t="n">
        <v>0.12040816</v>
      </c>
      <c r="N99" t="n">
        <v>1.5502551</v>
      </c>
      <c r="O99" t="n">
        <v>51.158418</v>
      </c>
      <c r="P99" t="n">
        <v>0.08333333</v>
      </c>
      <c r="Q99" t="n">
        <v>0.5</v>
      </c>
      <c r="R99" t="n">
        <v>0.58333333</v>
      </c>
      <c r="S99" t="n">
        <v>1.87760417</v>
      </c>
      <c r="T99" t="n">
        <v>1.70609655</v>
      </c>
      <c r="U99" t="n">
        <v>56.301186</v>
      </c>
      <c r="V99" t="b">
        <v>0</v>
      </c>
      <c r="W99" t="n">
        <v>0</v>
      </c>
      <c r="X99" t="inlineStr">
        <is>
          <t>role_subrole_balanced_score = base_support_score * capped sqrt(avg_macro_multiplier * avg_subrole_multiplier); role/subrole quota constraints use inverse weights.</t>
        </is>
      </c>
    </row>
    <row r="100">
      <c r="A100" t="inlineStr">
        <is>
          <t>C0099</t>
        </is>
      </c>
      <c r="B100" t="inlineStr">
        <is>
          <t>x_0099</t>
        </is>
      </c>
      <c r="C100" t="inlineStr">
        <is>
          <t>Architektenkammer Rheinland-Pfalz</t>
        </is>
      </c>
      <c r="D100" t="inlineStr">
        <is>
          <t>implementation_anchor</t>
        </is>
      </c>
      <c r="E100" t="inlineStr">
        <is>
          <t>construction_planning_anchor</t>
        </is>
      </c>
      <c r="F100" t="inlineStr">
        <is>
          <t>Deutsche Universität für Verwaltungswissenschaften Speyer</t>
        </is>
      </c>
      <c r="G100" t="inlineStr">
        <is>
          <t>academic_support</t>
        </is>
      </c>
      <c r="H100" t="inlineStr">
        <is>
          <t>university_research</t>
        </is>
      </c>
      <c r="I100" t="n">
        <v>33</v>
      </c>
      <c r="J100" t="n">
        <v>0</v>
      </c>
      <c r="K100" t="n">
        <v>0.1</v>
      </c>
      <c r="L100" t="n">
        <v>0.05555556</v>
      </c>
      <c r="M100" t="n">
        <v>0.15555556</v>
      </c>
      <c r="N100" t="n">
        <v>2.00277778</v>
      </c>
      <c r="O100" t="n">
        <v>66.091667</v>
      </c>
      <c r="P100" t="n">
        <v>0.125</v>
      </c>
      <c r="Q100" t="n">
        <v>0.14285714</v>
      </c>
      <c r="R100" t="n">
        <v>0.26785714</v>
      </c>
      <c r="S100" t="n">
        <v>0.86216518</v>
      </c>
      <c r="T100" t="n">
        <v>1.31404918</v>
      </c>
      <c r="U100" t="n">
        <v>43.363623</v>
      </c>
      <c r="V100" t="b">
        <v>1</v>
      </c>
      <c r="W100" t="n">
        <v>1</v>
      </c>
      <c r="X100" t="inlineStr">
        <is>
          <t>role_subrole_balanced_score = base_support_score * capped sqrt(avg_macro_multiplier * avg_subrole_multiplier); role/subrole quota constraints use inverse weights.</t>
        </is>
      </c>
    </row>
    <row r="101">
      <c r="A101" t="inlineStr">
        <is>
          <t>C0100</t>
        </is>
      </c>
      <c r="B101" t="inlineStr">
        <is>
          <t>x_0100</t>
        </is>
      </c>
      <c r="C101" t="inlineStr">
        <is>
          <t>Architektenkammer Rheinland-Pfalz</t>
        </is>
      </c>
      <c r="D101" t="inlineStr">
        <is>
          <t>implementation_anchor</t>
        </is>
      </c>
      <c r="E101" t="inlineStr">
        <is>
          <t>construction_planning_anchor</t>
        </is>
      </c>
      <c r="F101" t="inlineStr">
        <is>
          <t>Technische Hochschule Bingen</t>
        </is>
      </c>
      <c r="G101" t="inlineStr">
        <is>
          <t>academic_support</t>
        </is>
      </c>
      <c r="H101" t="inlineStr">
        <is>
          <t>university_applied_sciences</t>
        </is>
      </c>
      <c r="I101" t="n">
        <v>33</v>
      </c>
      <c r="J101" t="n">
        <v>0</v>
      </c>
      <c r="K101" t="n">
        <v>0.1</v>
      </c>
      <c r="L101" t="n">
        <v>0.05555556</v>
      </c>
      <c r="M101" t="n">
        <v>0.15555556</v>
      </c>
      <c r="N101" t="n">
        <v>2.00277778</v>
      </c>
      <c r="O101" t="n">
        <v>66.091667</v>
      </c>
      <c r="P101" t="n">
        <v>0.125</v>
      </c>
      <c r="Q101" t="n">
        <v>0.09090909</v>
      </c>
      <c r="R101" t="n">
        <v>0.21590909</v>
      </c>
      <c r="S101" t="n">
        <v>0.69495739</v>
      </c>
      <c r="T101" t="n">
        <v>1.1797649</v>
      </c>
      <c r="U101" t="n">
        <v>38.932242</v>
      </c>
      <c r="V101" t="b">
        <v>1</v>
      </c>
      <c r="W101" t="n">
        <v>1</v>
      </c>
      <c r="X101" t="inlineStr">
        <is>
          <t>role_subrole_balanced_score = base_support_score * capped sqrt(avg_macro_multiplier * avg_subrole_multiplier); role/subrole quota constraints use inverse weights.</t>
        </is>
      </c>
    </row>
    <row r="102">
      <c r="A102" t="inlineStr">
        <is>
          <t>C0101</t>
        </is>
      </c>
      <c r="B102" t="inlineStr">
        <is>
          <t>x_0101</t>
        </is>
      </c>
      <c r="C102" t="inlineStr">
        <is>
          <t>Aturas GmbH</t>
        </is>
      </c>
      <c r="D102" t="inlineStr">
        <is>
          <t>profit_anchor</t>
        </is>
      </c>
      <c r="E102" t="inlineStr">
        <is>
          <t>technology_digital_anchor</t>
        </is>
      </c>
      <c r="F102" t="inlineStr">
        <is>
          <t>Entwicklungsagentur Rheinland-Pfalz e.V.</t>
        </is>
      </c>
      <c r="G102" t="inlineStr">
        <is>
          <t>implementation_anchor</t>
        </is>
      </c>
      <c r="H102" t="inlineStr">
        <is>
          <t>public_policy_anchor</t>
        </is>
      </c>
      <c r="I102" t="n">
        <v>33</v>
      </c>
      <c r="J102" t="n">
        <v>0</v>
      </c>
      <c r="K102" t="n">
        <v>0.02040816</v>
      </c>
      <c r="L102" t="n">
        <v>0.1</v>
      </c>
      <c r="M102" t="n">
        <v>0.12040816</v>
      </c>
      <c r="N102" t="n">
        <v>1.5502551</v>
      </c>
      <c r="O102" t="n">
        <v>51.158418</v>
      </c>
      <c r="P102" t="n">
        <v>0.11111111</v>
      </c>
      <c r="Q102" t="n">
        <v>0.16666667</v>
      </c>
      <c r="R102" t="n">
        <v>0.27777778</v>
      </c>
      <c r="S102" t="n">
        <v>0.89409722</v>
      </c>
      <c r="T102" t="n">
        <v>1.17731847</v>
      </c>
      <c r="U102" t="n">
        <v>38.85151</v>
      </c>
      <c r="V102" t="b">
        <v>0</v>
      </c>
      <c r="W102" t="n">
        <v>0</v>
      </c>
      <c r="X102" t="inlineStr">
        <is>
          <t>role_subrole_balanced_score = base_support_score * capped sqrt(avg_macro_multiplier * avg_subrole_multiplier); role/subrole quota constraints use inverse weights.</t>
        </is>
      </c>
    </row>
    <row r="103">
      <c r="A103" t="inlineStr">
        <is>
          <t>C0102</t>
        </is>
      </c>
      <c r="B103" t="inlineStr">
        <is>
          <t>x_0102</t>
        </is>
      </c>
      <c r="C103" t="inlineStr">
        <is>
          <t>BRICKMAKERS AG</t>
        </is>
      </c>
      <c r="D103" t="inlineStr">
        <is>
          <t>profit_anchor</t>
        </is>
      </c>
      <c r="E103" t="inlineStr">
        <is>
          <t>technology_digital_anchor</t>
        </is>
      </c>
      <c r="F103" t="inlineStr">
        <is>
          <t>Entwicklungsagentur Rheinland-Pfalz e.V.</t>
        </is>
      </c>
      <c r="G103" t="inlineStr">
        <is>
          <t>implementation_anchor</t>
        </is>
      </c>
      <c r="H103" t="inlineStr">
        <is>
          <t>public_policy_anchor</t>
        </is>
      </c>
      <c r="I103" t="n">
        <v>33</v>
      </c>
      <c r="J103" t="n">
        <v>0</v>
      </c>
      <c r="K103" t="n">
        <v>0.02040816</v>
      </c>
      <c r="L103" t="n">
        <v>0.1</v>
      </c>
      <c r="M103" t="n">
        <v>0.12040816</v>
      </c>
      <c r="N103" t="n">
        <v>1.5502551</v>
      </c>
      <c r="O103" t="n">
        <v>51.158418</v>
      </c>
      <c r="P103" t="n">
        <v>0.11111111</v>
      </c>
      <c r="Q103" t="n">
        <v>0.16666667</v>
      </c>
      <c r="R103" t="n">
        <v>0.27777778</v>
      </c>
      <c r="S103" t="n">
        <v>0.89409722</v>
      </c>
      <c r="T103" t="n">
        <v>1.17731847</v>
      </c>
      <c r="U103" t="n">
        <v>38.85151</v>
      </c>
      <c r="V103" t="b">
        <v>0</v>
      </c>
      <c r="W103" t="n">
        <v>0</v>
      </c>
      <c r="X103" t="inlineStr">
        <is>
          <t>role_subrole_balanced_score = base_support_score * capped sqrt(avg_macro_multiplier * avg_subrole_multiplier); role/subrole quota constraints use inverse weights.</t>
        </is>
      </c>
    </row>
    <row r="104">
      <c r="A104" t="inlineStr">
        <is>
          <t>C0103</t>
        </is>
      </c>
      <c r="B104" t="inlineStr">
        <is>
          <t>x_0103</t>
        </is>
      </c>
      <c r="C104" t="inlineStr">
        <is>
          <t>Deutsche Universität für Verwaltungswissenschaften Speyer</t>
        </is>
      </c>
      <c r="D104" t="inlineStr">
        <is>
          <t>academic_support</t>
        </is>
      </c>
      <c r="E104" t="inlineStr">
        <is>
          <t>university_research</t>
        </is>
      </c>
      <c r="F104" t="inlineStr">
        <is>
          <t>Ingenieurkammer Rheinland-Pfalz</t>
        </is>
      </c>
      <c r="G104" t="inlineStr">
        <is>
          <t>implementation_anchor</t>
        </is>
      </c>
      <c r="H104" t="inlineStr">
        <is>
          <t>construction_planning_anchor</t>
        </is>
      </c>
      <c r="I104" t="n">
        <v>33</v>
      </c>
      <c r="J104" t="n">
        <v>0</v>
      </c>
      <c r="K104" t="n">
        <v>0.05555556</v>
      </c>
      <c r="L104" t="n">
        <v>0.1</v>
      </c>
      <c r="M104" t="n">
        <v>0.15555556</v>
      </c>
      <c r="N104" t="n">
        <v>2.00277778</v>
      </c>
      <c r="O104" t="n">
        <v>66.091667</v>
      </c>
      <c r="P104" t="n">
        <v>0.14285714</v>
      </c>
      <c r="Q104" t="n">
        <v>0.125</v>
      </c>
      <c r="R104" t="n">
        <v>0.26785714</v>
      </c>
      <c r="S104" t="n">
        <v>0.86216518</v>
      </c>
      <c r="T104" t="n">
        <v>1.31404918</v>
      </c>
      <c r="U104" t="n">
        <v>43.363623</v>
      </c>
      <c r="V104" t="b">
        <v>1</v>
      </c>
      <c r="W104" t="n">
        <v>1</v>
      </c>
      <c r="X104" t="inlineStr">
        <is>
          <t>role_subrole_balanced_score = base_support_score * capped sqrt(avg_macro_multiplier * avg_subrole_multiplier); role/subrole quota constraints use inverse weights.</t>
        </is>
      </c>
    </row>
    <row r="105">
      <c r="A105" t="inlineStr">
        <is>
          <t>C0104</t>
        </is>
      </c>
      <c r="B105" t="inlineStr">
        <is>
          <t>x_0104</t>
        </is>
      </c>
      <c r="C105" t="inlineStr">
        <is>
          <t>Empolis Information Management GmbH</t>
        </is>
      </c>
      <c r="D105" t="inlineStr">
        <is>
          <t>profit_anchor</t>
        </is>
      </c>
      <c r="E105" t="inlineStr">
        <is>
          <t>technology_digital_anchor</t>
        </is>
      </c>
      <c r="F105" t="inlineStr">
        <is>
          <t>Entwicklungsagentur Rheinland-Pfalz e.V.</t>
        </is>
      </c>
      <c r="G105" t="inlineStr">
        <is>
          <t>implementation_anchor</t>
        </is>
      </c>
      <c r="H105" t="inlineStr">
        <is>
          <t>public_policy_anchor</t>
        </is>
      </c>
      <c r="I105" t="n">
        <v>33</v>
      </c>
      <c r="J105" t="n">
        <v>0</v>
      </c>
      <c r="K105" t="n">
        <v>0.02040816</v>
      </c>
      <c r="L105" t="n">
        <v>0.1</v>
      </c>
      <c r="M105" t="n">
        <v>0.12040816</v>
      </c>
      <c r="N105" t="n">
        <v>1.5502551</v>
      </c>
      <c r="O105" t="n">
        <v>51.158418</v>
      </c>
      <c r="P105" t="n">
        <v>0.11111111</v>
      </c>
      <c r="Q105" t="n">
        <v>0.16666667</v>
      </c>
      <c r="R105" t="n">
        <v>0.27777778</v>
      </c>
      <c r="S105" t="n">
        <v>0.89409722</v>
      </c>
      <c r="T105" t="n">
        <v>1.17731847</v>
      </c>
      <c r="U105" t="n">
        <v>38.85151</v>
      </c>
      <c r="V105" t="b">
        <v>0</v>
      </c>
      <c r="W105" t="n">
        <v>0</v>
      </c>
      <c r="X105" t="inlineStr">
        <is>
          <t>role_subrole_balanced_score = base_support_score * capped sqrt(avg_macro_multiplier * avg_subrole_multiplier); role/subrole quota constraints use inverse weights.</t>
        </is>
      </c>
    </row>
    <row r="106">
      <c r="A106" t="inlineStr">
        <is>
          <t>C0105</t>
        </is>
      </c>
      <c r="B106" t="inlineStr">
        <is>
          <t>x_0105</t>
        </is>
      </c>
      <c r="C106" t="inlineStr">
        <is>
          <t>Entwicklungsagentur Rheinland-Pfalz e.V.</t>
        </is>
      </c>
      <c r="D106" t="inlineStr">
        <is>
          <t>implementation_anchor</t>
        </is>
      </c>
      <c r="E106" t="inlineStr">
        <is>
          <t>public_policy_anchor</t>
        </is>
      </c>
      <c r="F106" t="inlineStr">
        <is>
          <t>Ministerium für Wirtschaft, Verkehr, Landwirtschaft und Weinbau</t>
        </is>
      </c>
      <c r="G106" t="inlineStr">
        <is>
          <t>profit_anchor</t>
        </is>
      </c>
      <c r="H106" t="inlineStr">
        <is>
          <t>public_policy_anchor</t>
        </is>
      </c>
      <c r="I106" t="n">
        <v>33</v>
      </c>
      <c r="J106" t="n">
        <v>0</v>
      </c>
      <c r="K106" t="n">
        <v>0.1</v>
      </c>
      <c r="L106" t="n">
        <v>0.02040816</v>
      </c>
      <c r="M106" t="n">
        <v>0.12040816</v>
      </c>
      <c r="N106" t="n">
        <v>1.5502551</v>
      </c>
      <c r="O106" t="n">
        <v>51.158418</v>
      </c>
      <c r="P106" t="n">
        <v>0.16666667</v>
      </c>
      <c r="Q106" t="n">
        <v>0.16666667</v>
      </c>
      <c r="R106" t="n">
        <v>0.33333333</v>
      </c>
      <c r="S106" t="n">
        <v>1.07291667</v>
      </c>
      <c r="T106" t="n">
        <v>1.28968777</v>
      </c>
      <c r="U106" t="n">
        <v>42.559696</v>
      </c>
      <c r="V106" t="b">
        <v>0</v>
      </c>
      <c r="W106" t="n">
        <v>0</v>
      </c>
      <c r="X106" t="inlineStr">
        <is>
          <t>role_subrole_balanced_score = base_support_score * capped sqrt(avg_macro_multiplier * avg_subrole_multiplier); role/subrole quota constraints use inverse weights.</t>
        </is>
      </c>
    </row>
    <row r="107">
      <c r="A107" t="inlineStr">
        <is>
          <t>C0106</t>
        </is>
      </c>
      <c r="B107" t="inlineStr">
        <is>
          <t>x_0106</t>
        </is>
      </c>
      <c r="C107" t="inlineStr">
        <is>
          <t>Ingenieurkammer Rheinland-Pfalz</t>
        </is>
      </c>
      <c r="D107" t="inlineStr">
        <is>
          <t>implementation_anchor</t>
        </is>
      </c>
      <c r="E107" t="inlineStr">
        <is>
          <t>construction_planning_anchor</t>
        </is>
      </c>
      <c r="F107" t="inlineStr">
        <is>
          <t>Technische Hochschule Bingen</t>
        </is>
      </c>
      <c r="G107" t="inlineStr">
        <is>
          <t>academic_support</t>
        </is>
      </c>
      <c r="H107" t="inlineStr">
        <is>
          <t>university_applied_sciences</t>
        </is>
      </c>
      <c r="I107" t="n">
        <v>33</v>
      </c>
      <c r="J107" t="n">
        <v>0</v>
      </c>
      <c r="K107" t="n">
        <v>0.1</v>
      </c>
      <c r="L107" t="n">
        <v>0.05555556</v>
      </c>
      <c r="M107" t="n">
        <v>0.15555556</v>
      </c>
      <c r="N107" t="n">
        <v>2.00277778</v>
      </c>
      <c r="O107" t="n">
        <v>66.091667</v>
      </c>
      <c r="P107" t="n">
        <v>0.125</v>
      </c>
      <c r="Q107" t="n">
        <v>0.09090909</v>
      </c>
      <c r="R107" t="n">
        <v>0.21590909</v>
      </c>
      <c r="S107" t="n">
        <v>0.69495739</v>
      </c>
      <c r="T107" t="n">
        <v>1.1797649</v>
      </c>
      <c r="U107" t="n">
        <v>38.932242</v>
      </c>
      <c r="V107" t="b">
        <v>1</v>
      </c>
      <c r="W107" t="n">
        <v>1</v>
      </c>
      <c r="X107" t="inlineStr">
        <is>
          <t>role_subrole_balanced_score = base_support_score * capped sqrt(avg_macro_multiplier * avg_subrole_multiplier); role/subrole quota constraints use inverse weights.</t>
        </is>
      </c>
    </row>
    <row r="108">
      <c r="A108" t="inlineStr">
        <is>
          <t>C0107</t>
        </is>
      </c>
      <c r="B108" t="inlineStr">
        <is>
          <t>x_0107</t>
        </is>
      </c>
      <c r="C108" t="inlineStr">
        <is>
          <t>Debeka Versicherungsgruppe</t>
        </is>
      </c>
      <c r="D108" t="inlineStr">
        <is>
          <t>profit_anchor</t>
        </is>
      </c>
      <c r="E108" t="inlineStr">
        <is>
          <t>bank_finance_anchor</t>
        </is>
      </c>
      <c r="F108" t="inlineStr">
        <is>
          <t>Handwerkskammern Rheinland-Pfalz</t>
        </is>
      </c>
      <c r="G108" t="inlineStr">
        <is>
          <t>implementation_anchor</t>
        </is>
      </c>
      <c r="H108" t="inlineStr">
        <is>
          <t>chamber_association_anchor</t>
        </is>
      </c>
      <c r="I108" t="n">
        <v>33</v>
      </c>
      <c r="J108" t="n">
        <v>0</v>
      </c>
      <c r="K108" t="n">
        <v>0.02040816</v>
      </c>
      <c r="L108" t="n">
        <v>0.1</v>
      </c>
      <c r="M108" t="n">
        <v>0.12040816</v>
      </c>
      <c r="N108" t="n">
        <v>1.5502551</v>
      </c>
      <c r="O108" t="n">
        <v>51.158418</v>
      </c>
      <c r="P108" t="n">
        <v>0.14285714</v>
      </c>
      <c r="Q108" t="n">
        <v>0.25</v>
      </c>
      <c r="R108" t="n">
        <v>0.39285714</v>
      </c>
      <c r="S108" t="n">
        <v>1.26450893</v>
      </c>
      <c r="T108" t="n">
        <v>1.40011122</v>
      </c>
      <c r="U108" t="n">
        <v>46.20367</v>
      </c>
      <c r="V108" t="b">
        <v>0</v>
      </c>
      <c r="W108" t="n">
        <v>0</v>
      </c>
      <c r="X108" t="inlineStr">
        <is>
          <t>role_subrole_balanced_score = base_support_score * capped sqrt(avg_macro_multiplier * avg_subrole_multiplier); role/subrole quota constraints use inverse weights.</t>
        </is>
      </c>
    </row>
    <row r="109">
      <c r="A109" t="inlineStr">
        <is>
          <t>C0108</t>
        </is>
      </c>
      <c r="B109" t="inlineStr">
        <is>
          <t>x_0108</t>
        </is>
      </c>
      <c r="C109" t="inlineStr">
        <is>
          <t>Ernst &amp; Young GmbH</t>
        </is>
      </c>
      <c r="D109" t="inlineStr">
        <is>
          <t>profit_anchor</t>
        </is>
      </c>
      <c r="E109" t="inlineStr">
        <is>
          <t>professional_services_anchor</t>
        </is>
      </c>
      <c r="F109" t="inlineStr">
        <is>
          <t>Handwerkskammern Rheinland-Pfalz</t>
        </is>
      </c>
      <c r="G109" t="inlineStr">
        <is>
          <t>implementation_anchor</t>
        </is>
      </c>
      <c r="H109" t="inlineStr">
        <is>
          <t>chamber_association_anchor</t>
        </is>
      </c>
      <c r="I109" t="n">
        <v>33</v>
      </c>
      <c r="J109" t="n">
        <v>0</v>
      </c>
      <c r="K109" t="n">
        <v>0.02040816</v>
      </c>
      <c r="L109" t="n">
        <v>0.1</v>
      </c>
      <c r="M109" t="n">
        <v>0.12040816</v>
      </c>
      <c r="N109" t="n">
        <v>1.5502551</v>
      </c>
      <c r="O109" t="n">
        <v>51.158418</v>
      </c>
      <c r="P109" t="n">
        <v>0.2</v>
      </c>
      <c r="Q109" t="n">
        <v>0.25</v>
      </c>
      <c r="R109" t="n">
        <v>0.45</v>
      </c>
      <c r="S109" t="n">
        <v>1.4484375</v>
      </c>
      <c r="T109" t="n">
        <v>1.49848177</v>
      </c>
      <c r="U109" t="n">
        <v>49.449899</v>
      </c>
      <c r="V109" t="b">
        <v>0</v>
      </c>
      <c r="W109" t="n">
        <v>0</v>
      </c>
      <c r="X109" t="inlineStr">
        <is>
          <t>role_subrole_balanced_score = base_support_score * capped sqrt(avg_macro_multiplier * avg_subrole_multiplier); role/subrole quota constraints use inverse weights.</t>
        </is>
      </c>
    </row>
    <row r="110">
      <c r="A110" t="inlineStr">
        <is>
          <t>C0109</t>
        </is>
      </c>
      <c r="B110" t="inlineStr">
        <is>
          <t>x_0109</t>
        </is>
      </c>
      <c r="C110" t="inlineStr">
        <is>
          <t>Handwerkskammern Rheinland-Pfalz</t>
        </is>
      </c>
      <c r="D110" t="inlineStr">
        <is>
          <t>implementation_anchor</t>
        </is>
      </c>
      <c r="E110" t="inlineStr">
        <is>
          <t>chamber_association_anchor</t>
        </is>
      </c>
      <c r="F110" t="inlineStr">
        <is>
          <t>KPMG AG Wirtschaftsprüfungsgesellschaft</t>
        </is>
      </c>
      <c r="G110" t="inlineStr">
        <is>
          <t>profit_anchor</t>
        </is>
      </c>
      <c r="H110" t="inlineStr">
        <is>
          <t>professional_services_anchor</t>
        </is>
      </c>
      <c r="I110" t="n">
        <v>33</v>
      </c>
      <c r="J110" t="n">
        <v>0</v>
      </c>
      <c r="K110" t="n">
        <v>0.1</v>
      </c>
      <c r="L110" t="n">
        <v>0.02040816</v>
      </c>
      <c r="M110" t="n">
        <v>0.12040816</v>
      </c>
      <c r="N110" t="n">
        <v>1.5502551</v>
      </c>
      <c r="O110" t="n">
        <v>51.158418</v>
      </c>
      <c r="P110" t="n">
        <v>0.25</v>
      </c>
      <c r="Q110" t="n">
        <v>0.2</v>
      </c>
      <c r="R110" t="n">
        <v>0.45</v>
      </c>
      <c r="S110" t="n">
        <v>1.4484375</v>
      </c>
      <c r="T110" t="n">
        <v>1.49848177</v>
      </c>
      <c r="U110" t="n">
        <v>49.449899</v>
      </c>
      <c r="V110" t="b">
        <v>0</v>
      </c>
      <c r="W110" t="n">
        <v>0</v>
      </c>
      <c r="X110" t="inlineStr">
        <is>
          <t>role_subrole_balanced_score = base_support_score * capped sqrt(avg_macro_multiplier * avg_subrole_multiplier); role/subrole quota constraints use inverse weights.</t>
        </is>
      </c>
    </row>
    <row r="111">
      <c r="A111" t="inlineStr">
        <is>
          <t>C0110</t>
        </is>
      </c>
      <c r="B111" t="inlineStr">
        <is>
          <t>x_0110</t>
        </is>
      </c>
      <c r="C111" t="inlineStr">
        <is>
          <t>Handwerkskammern Rheinland-Pfalz</t>
        </is>
      </c>
      <c r="D111" t="inlineStr">
        <is>
          <t>implementation_anchor</t>
        </is>
      </c>
      <c r="E111" t="inlineStr">
        <is>
          <t>chamber_association_anchor</t>
        </is>
      </c>
      <c r="F111" t="inlineStr">
        <is>
          <t>Provinzial Versicherung AG</t>
        </is>
      </c>
      <c r="G111" t="inlineStr">
        <is>
          <t>profit_anchor</t>
        </is>
      </c>
      <c r="H111" t="inlineStr">
        <is>
          <t>bank_finance_anchor</t>
        </is>
      </c>
      <c r="I111" t="n">
        <v>33</v>
      </c>
      <c r="J111" t="n">
        <v>0</v>
      </c>
      <c r="K111" t="n">
        <v>0.1</v>
      </c>
      <c r="L111" t="n">
        <v>0.02040816</v>
      </c>
      <c r="M111" t="n">
        <v>0.12040816</v>
      </c>
      <c r="N111" t="n">
        <v>1.5502551</v>
      </c>
      <c r="O111" t="n">
        <v>51.158418</v>
      </c>
      <c r="P111" t="n">
        <v>0.25</v>
      </c>
      <c r="Q111" t="n">
        <v>0.14285714</v>
      </c>
      <c r="R111" t="n">
        <v>0.39285714</v>
      </c>
      <c r="S111" t="n">
        <v>1.26450893</v>
      </c>
      <c r="T111" t="n">
        <v>1.40011122</v>
      </c>
      <c r="U111" t="n">
        <v>46.20367</v>
      </c>
      <c r="V111" t="b">
        <v>0</v>
      </c>
      <c r="W111" t="n">
        <v>0</v>
      </c>
      <c r="X111" t="inlineStr">
        <is>
          <t>role_subrole_balanced_score = base_support_score * capped sqrt(avg_macro_multiplier * avg_subrole_multiplier); role/subrole quota constraints use inverse weights.</t>
        </is>
      </c>
    </row>
    <row r="112">
      <c r="A112" t="inlineStr">
        <is>
          <t>C0111</t>
        </is>
      </c>
      <c r="B112" t="inlineStr">
        <is>
          <t>x_0111</t>
        </is>
      </c>
      <c r="C112" t="inlineStr">
        <is>
          <t>Handwerkskammern Rheinland-Pfalz</t>
        </is>
      </c>
      <c r="D112" t="inlineStr">
        <is>
          <t>implementation_anchor</t>
        </is>
      </c>
      <c r="E112" t="inlineStr">
        <is>
          <t>chamber_association_anchor</t>
        </is>
      </c>
      <c r="F112" t="inlineStr">
        <is>
          <t>Vereinigte VR Bank Kur- und Rheinpfalz eG</t>
        </is>
      </c>
      <c r="G112" t="inlineStr">
        <is>
          <t>profit_anchor</t>
        </is>
      </c>
      <c r="H112" t="inlineStr">
        <is>
          <t>bank_finance_anchor</t>
        </is>
      </c>
      <c r="I112" t="n">
        <v>33</v>
      </c>
      <c r="J112" t="n">
        <v>0</v>
      </c>
      <c r="K112" t="n">
        <v>0.1</v>
      </c>
      <c r="L112" t="n">
        <v>0.02040816</v>
      </c>
      <c r="M112" t="n">
        <v>0.12040816</v>
      </c>
      <c r="N112" t="n">
        <v>1.5502551</v>
      </c>
      <c r="O112" t="n">
        <v>51.158418</v>
      </c>
      <c r="P112" t="n">
        <v>0.25</v>
      </c>
      <c r="Q112" t="n">
        <v>0.14285714</v>
      </c>
      <c r="R112" t="n">
        <v>0.39285714</v>
      </c>
      <c r="S112" t="n">
        <v>1.26450893</v>
      </c>
      <c r="T112" t="n">
        <v>1.40011122</v>
      </c>
      <c r="U112" t="n">
        <v>46.20367</v>
      </c>
      <c r="V112" t="b">
        <v>0</v>
      </c>
      <c r="W112" t="n">
        <v>0</v>
      </c>
      <c r="X112" t="inlineStr">
        <is>
          <t>role_subrole_balanced_score = base_support_score * capped sqrt(avg_macro_multiplier * avg_subrole_multiplier); role/subrole quota constraints use inverse weights.</t>
        </is>
      </c>
    </row>
    <row r="113">
      <c r="A113" t="inlineStr">
        <is>
          <t>C0112</t>
        </is>
      </c>
      <c r="B113" t="inlineStr">
        <is>
          <t>x_0112</t>
        </is>
      </c>
      <c r="C113" t="inlineStr">
        <is>
          <t>Handwerkskammern Rheinland-Pfalz</t>
        </is>
      </c>
      <c r="D113" t="inlineStr">
        <is>
          <t>implementation_anchor</t>
        </is>
      </c>
      <c r="E113" t="inlineStr">
        <is>
          <t>chamber_association_anchor</t>
        </is>
      </c>
      <c r="F113" t="inlineStr">
        <is>
          <t>Johannes Gutenberg-Universität Mainz</t>
        </is>
      </c>
      <c r="G113" t="inlineStr">
        <is>
          <t>academic_support</t>
        </is>
      </c>
      <c r="H113" t="inlineStr">
        <is>
          <t>university_research</t>
        </is>
      </c>
      <c r="I113" t="n">
        <v>33</v>
      </c>
      <c r="J113" t="n">
        <v>0</v>
      </c>
      <c r="K113" t="n">
        <v>0.1</v>
      </c>
      <c r="L113" t="n">
        <v>0.05555556</v>
      </c>
      <c r="M113" t="n">
        <v>0.15555556</v>
      </c>
      <c r="N113" t="n">
        <v>2.00277778</v>
      </c>
      <c r="O113" t="n">
        <v>66.091667</v>
      </c>
      <c r="P113" t="n">
        <v>0.25</v>
      </c>
      <c r="Q113" t="n">
        <v>0.14285714</v>
      </c>
      <c r="R113" t="n">
        <v>0.39285714</v>
      </c>
      <c r="S113" t="n">
        <v>1.26450893</v>
      </c>
      <c r="T113" t="n">
        <v>1.59139259</v>
      </c>
      <c r="U113" t="n">
        <v>52.515956</v>
      </c>
      <c r="V113" t="b">
        <v>1</v>
      </c>
      <c r="W113" t="n">
        <v>1</v>
      </c>
      <c r="X113" t="inlineStr">
        <is>
          <t>role_subrole_balanced_score = base_support_score * capped sqrt(avg_macro_multiplier * avg_subrole_multiplier); role/subrole quota constraints use inverse weights.</t>
        </is>
      </c>
    </row>
    <row r="114">
      <c r="A114" t="inlineStr">
        <is>
          <t>C0113</t>
        </is>
      </c>
      <c r="B114" t="inlineStr">
        <is>
          <t>x_0113</t>
        </is>
      </c>
      <c r="C114" t="inlineStr">
        <is>
          <t>Handwerkskammern Rheinland-Pfalz</t>
        </is>
      </c>
      <c r="D114" t="inlineStr">
        <is>
          <t>implementation_anchor</t>
        </is>
      </c>
      <c r="E114" t="inlineStr">
        <is>
          <t>chamber_association_anchor</t>
        </is>
      </c>
      <c r="F114" t="inlineStr">
        <is>
          <t>Rheinland-Pfälzische Technische Universität Kaiserslautern-Landau (RPTU)</t>
        </is>
      </c>
      <c r="G114" t="inlineStr">
        <is>
          <t>academic_support</t>
        </is>
      </c>
      <c r="H114" t="inlineStr">
        <is>
          <t>university_research</t>
        </is>
      </c>
      <c r="I114" t="n">
        <v>33</v>
      </c>
      <c r="J114" t="n">
        <v>0</v>
      </c>
      <c r="K114" t="n">
        <v>0.1</v>
      </c>
      <c r="L114" t="n">
        <v>0.05555556</v>
      </c>
      <c r="M114" t="n">
        <v>0.15555556</v>
      </c>
      <c r="N114" t="n">
        <v>2.00277778</v>
      </c>
      <c r="O114" t="n">
        <v>66.091667</v>
      </c>
      <c r="P114" t="n">
        <v>0.25</v>
      </c>
      <c r="Q114" t="n">
        <v>0.14285714</v>
      </c>
      <c r="R114" t="n">
        <v>0.39285714</v>
      </c>
      <c r="S114" t="n">
        <v>1.26450893</v>
      </c>
      <c r="T114" t="n">
        <v>1.59139259</v>
      </c>
      <c r="U114" t="n">
        <v>52.515956</v>
      </c>
      <c r="V114" t="b">
        <v>1</v>
      </c>
      <c r="W114" t="n">
        <v>1</v>
      </c>
      <c r="X114" t="inlineStr">
        <is>
          <t>role_subrole_balanced_score = base_support_score * capped sqrt(avg_macro_multiplier * avg_subrole_multiplier); role/subrole quota constraints use inverse weights.</t>
        </is>
      </c>
    </row>
    <row r="115">
      <c r="A115" t="inlineStr">
        <is>
          <t>C0114</t>
        </is>
      </c>
      <c r="B115" t="inlineStr">
        <is>
          <t>x_0114</t>
        </is>
      </c>
      <c r="C115" t="inlineStr">
        <is>
          <t>Handwerkskammern Rheinland-Pfalz</t>
        </is>
      </c>
      <c r="D115" t="inlineStr">
        <is>
          <t>implementation_anchor</t>
        </is>
      </c>
      <c r="E115" t="inlineStr">
        <is>
          <t>chamber_association_anchor</t>
        </is>
      </c>
      <c r="F115" t="inlineStr">
        <is>
          <t>WHU – Otto Beisheim School of Management</t>
        </is>
      </c>
      <c r="G115" t="inlineStr">
        <is>
          <t>academic_support</t>
        </is>
      </c>
      <c r="H115" t="inlineStr">
        <is>
          <t>university_research</t>
        </is>
      </c>
      <c r="I115" t="n">
        <v>33</v>
      </c>
      <c r="J115" t="n">
        <v>0</v>
      </c>
      <c r="K115" t="n">
        <v>0.1</v>
      </c>
      <c r="L115" t="n">
        <v>0.05555556</v>
      </c>
      <c r="M115" t="n">
        <v>0.15555556</v>
      </c>
      <c r="N115" t="n">
        <v>2.00277778</v>
      </c>
      <c r="O115" t="n">
        <v>66.091667</v>
      </c>
      <c r="P115" t="n">
        <v>0.25</v>
      </c>
      <c r="Q115" t="n">
        <v>0.14285714</v>
      </c>
      <c r="R115" t="n">
        <v>0.39285714</v>
      </c>
      <c r="S115" t="n">
        <v>1.26450893</v>
      </c>
      <c r="T115" t="n">
        <v>1.59139259</v>
      </c>
      <c r="U115" t="n">
        <v>52.515956</v>
      </c>
      <c r="V115" t="b">
        <v>1</v>
      </c>
      <c r="W115" t="n">
        <v>1</v>
      </c>
      <c r="X115" t="inlineStr">
        <is>
          <t>role_subrole_balanced_score = base_support_score * capped sqrt(avg_macro_multiplier * avg_subrole_multiplier); role/subrole quota constraints use inverse weights.</t>
        </is>
      </c>
    </row>
    <row r="116">
      <c r="A116" t="inlineStr">
        <is>
          <t>C0115</t>
        </is>
      </c>
      <c r="B116" t="inlineStr">
        <is>
          <t>x_0115</t>
        </is>
      </c>
      <c r="C116" t="inlineStr">
        <is>
          <t>Architektenkammer Rheinland-Pfalz</t>
        </is>
      </c>
      <c r="D116" t="inlineStr">
        <is>
          <t>implementation_anchor</t>
        </is>
      </c>
      <c r="E116" t="inlineStr">
        <is>
          <t>construction_planning_anchor</t>
        </is>
      </c>
      <c r="F116" t="inlineStr">
        <is>
          <t>JUWI GmbH</t>
        </is>
      </c>
      <c r="G116" t="inlineStr">
        <is>
          <t>profit_anchor</t>
        </is>
      </c>
      <c r="H116" t="inlineStr">
        <is>
          <t>energy_infrastructure_anchor</t>
        </is>
      </c>
      <c r="I116" t="n">
        <v>33</v>
      </c>
      <c r="J116" t="n">
        <v>0</v>
      </c>
      <c r="K116" t="n">
        <v>0.1</v>
      </c>
      <c r="L116" t="n">
        <v>0.02040816</v>
      </c>
      <c r="M116" t="n">
        <v>0.12040816</v>
      </c>
      <c r="N116" t="n">
        <v>1.5502551</v>
      </c>
      <c r="O116" t="n">
        <v>51.158418</v>
      </c>
      <c r="P116" t="n">
        <v>0.125</v>
      </c>
      <c r="Q116" t="n">
        <v>0.11111111</v>
      </c>
      <c r="R116" t="n">
        <v>0.23611111</v>
      </c>
      <c r="S116" t="n">
        <v>0.75998264</v>
      </c>
      <c r="T116" t="n">
        <v>1.085434</v>
      </c>
      <c r="U116" t="n">
        <v>35.819322</v>
      </c>
      <c r="V116" t="b">
        <v>0</v>
      </c>
      <c r="W116" t="n">
        <v>0</v>
      </c>
      <c r="X116" t="inlineStr">
        <is>
          <t>role_subrole_balanced_score = base_support_score * capped sqrt(avg_macro_multiplier * avg_subrole_multiplier); role/subrole quota constraints use inverse weights.</t>
        </is>
      </c>
    </row>
    <row r="117">
      <c r="A117" t="inlineStr">
        <is>
          <t>C0116</t>
        </is>
      </c>
      <c r="B117" t="inlineStr">
        <is>
          <t>x_0116</t>
        </is>
      </c>
      <c r="C117" t="inlineStr">
        <is>
          <t>Architektenkammer Rheinland-Pfalz</t>
        </is>
      </c>
      <c r="D117" t="inlineStr">
        <is>
          <t>implementation_anchor</t>
        </is>
      </c>
      <c r="E117" t="inlineStr">
        <is>
          <t>construction_planning_anchor</t>
        </is>
      </c>
      <c r="F117" t="inlineStr">
        <is>
          <t>Pfalzwerke AG</t>
        </is>
      </c>
      <c r="G117" t="inlineStr">
        <is>
          <t>profit_anchor</t>
        </is>
      </c>
      <c r="H117" t="inlineStr">
        <is>
          <t>energy_infrastructure_anchor</t>
        </is>
      </c>
      <c r="I117" t="n">
        <v>33</v>
      </c>
      <c r="J117" t="n">
        <v>0</v>
      </c>
      <c r="K117" t="n">
        <v>0.1</v>
      </c>
      <c r="L117" t="n">
        <v>0.02040816</v>
      </c>
      <c r="M117" t="n">
        <v>0.12040816</v>
      </c>
      <c r="N117" t="n">
        <v>1.5502551</v>
      </c>
      <c r="O117" t="n">
        <v>51.158418</v>
      </c>
      <c r="P117" t="n">
        <v>0.125</v>
      </c>
      <c r="Q117" t="n">
        <v>0.11111111</v>
      </c>
      <c r="R117" t="n">
        <v>0.23611111</v>
      </c>
      <c r="S117" t="n">
        <v>0.75998264</v>
      </c>
      <c r="T117" t="n">
        <v>1.085434</v>
      </c>
      <c r="U117" t="n">
        <v>35.819322</v>
      </c>
      <c r="V117" t="b">
        <v>0</v>
      </c>
      <c r="W117" t="n">
        <v>0</v>
      </c>
      <c r="X117" t="inlineStr">
        <is>
          <t>role_subrole_balanced_score = base_support_score * capped sqrt(avg_macro_multiplier * avg_subrole_multiplier); role/subrole quota constraints use inverse weights.</t>
        </is>
      </c>
    </row>
    <row r="118">
      <c r="A118" t="inlineStr">
        <is>
          <t>C0117</t>
        </is>
      </c>
      <c r="B118" t="inlineStr">
        <is>
          <t>x_0117</t>
        </is>
      </c>
      <c r="C118" t="inlineStr">
        <is>
          <t>Architektenkammer Rheinland-Pfalz</t>
        </is>
      </c>
      <c r="D118" t="inlineStr">
        <is>
          <t>implementation_anchor</t>
        </is>
      </c>
      <c r="E118" t="inlineStr">
        <is>
          <t>construction_planning_anchor</t>
        </is>
      </c>
      <c r="F118" t="inlineStr">
        <is>
          <t>Transdev GmbH</t>
        </is>
      </c>
      <c r="G118" t="inlineStr">
        <is>
          <t>profit_anchor</t>
        </is>
      </c>
      <c r="H118" t="inlineStr">
        <is>
          <t>energy_infrastructure_anchor</t>
        </is>
      </c>
      <c r="I118" t="n">
        <v>33</v>
      </c>
      <c r="J118" t="n">
        <v>0</v>
      </c>
      <c r="K118" t="n">
        <v>0.1</v>
      </c>
      <c r="L118" t="n">
        <v>0.02040816</v>
      </c>
      <c r="M118" t="n">
        <v>0.12040816</v>
      </c>
      <c r="N118" t="n">
        <v>1.5502551</v>
      </c>
      <c r="O118" t="n">
        <v>51.158418</v>
      </c>
      <c r="P118" t="n">
        <v>0.125</v>
      </c>
      <c r="Q118" t="n">
        <v>0.11111111</v>
      </c>
      <c r="R118" t="n">
        <v>0.23611111</v>
      </c>
      <c r="S118" t="n">
        <v>0.75998264</v>
      </c>
      <c r="T118" t="n">
        <v>1.085434</v>
      </c>
      <c r="U118" t="n">
        <v>35.819322</v>
      </c>
      <c r="V118" t="b">
        <v>0</v>
      </c>
      <c r="W118" t="n">
        <v>0</v>
      </c>
      <c r="X118" t="inlineStr">
        <is>
          <t>role_subrole_balanced_score = base_support_score * capped sqrt(avg_macro_multiplier * avg_subrole_multiplier); role/subrole quota constraints use inverse weights.</t>
        </is>
      </c>
    </row>
    <row r="119">
      <c r="A119" t="inlineStr">
        <is>
          <t>C0118</t>
        </is>
      </c>
      <c r="B119" t="inlineStr">
        <is>
          <t>x_0118</t>
        </is>
      </c>
      <c r="C119" t="inlineStr">
        <is>
          <t>Architektenkammer Rheinland-Pfalz</t>
        </is>
      </c>
      <c r="D119" t="inlineStr">
        <is>
          <t>implementation_anchor</t>
        </is>
      </c>
      <c r="E119" t="inlineStr">
        <is>
          <t>construction_planning_anchor</t>
        </is>
      </c>
      <c r="F119" t="inlineStr">
        <is>
          <t>Westenergie AG</t>
        </is>
      </c>
      <c r="G119" t="inlineStr">
        <is>
          <t>profit_anchor</t>
        </is>
      </c>
      <c r="H119" t="inlineStr">
        <is>
          <t>energy_infrastructure_anchor</t>
        </is>
      </c>
      <c r="I119" t="n">
        <v>33</v>
      </c>
      <c r="J119" t="n">
        <v>0</v>
      </c>
      <c r="K119" t="n">
        <v>0.1</v>
      </c>
      <c r="L119" t="n">
        <v>0.02040816</v>
      </c>
      <c r="M119" t="n">
        <v>0.12040816</v>
      </c>
      <c r="N119" t="n">
        <v>1.5502551</v>
      </c>
      <c r="O119" t="n">
        <v>51.158418</v>
      </c>
      <c r="P119" t="n">
        <v>0.125</v>
      </c>
      <c r="Q119" t="n">
        <v>0.11111111</v>
      </c>
      <c r="R119" t="n">
        <v>0.23611111</v>
      </c>
      <c r="S119" t="n">
        <v>0.75998264</v>
      </c>
      <c r="T119" t="n">
        <v>1.085434</v>
      </c>
      <c r="U119" t="n">
        <v>35.819322</v>
      </c>
      <c r="V119" t="b">
        <v>0</v>
      </c>
      <c r="W119" t="n">
        <v>0</v>
      </c>
      <c r="X119" t="inlineStr">
        <is>
          <t>role_subrole_balanced_score = base_support_score * capped sqrt(avg_macro_multiplier * avg_subrole_multiplier); role/subrole quota constraints use inverse weights.</t>
        </is>
      </c>
    </row>
    <row r="120">
      <c r="A120" t="inlineStr">
        <is>
          <t>C0119</t>
        </is>
      </c>
      <c r="B120" t="inlineStr">
        <is>
          <t>x_0119</t>
        </is>
      </c>
      <c r="C120" t="inlineStr">
        <is>
          <t>Bauern- und Winzerverband Rheinland-Pfalz Süd e.V.</t>
        </is>
      </c>
      <c r="D120" t="inlineStr">
        <is>
          <t>implementation_anchor</t>
        </is>
      </c>
      <c r="E120" t="inlineStr">
        <is>
          <t>agriculture_wine_anchor</t>
        </is>
      </c>
      <c r="F120" t="inlineStr">
        <is>
          <t>Hochschule für Gesellschaftsgestaltung (HfGG)</t>
        </is>
      </c>
      <c r="G120" t="inlineStr">
        <is>
          <t>academic_support</t>
        </is>
      </c>
      <c r="H120" t="inlineStr">
        <is>
          <t>university_applied_sciences</t>
        </is>
      </c>
      <c r="I120" t="n">
        <v>33</v>
      </c>
      <c r="J120" t="n">
        <v>0</v>
      </c>
      <c r="K120" t="n">
        <v>0.1</v>
      </c>
      <c r="L120" t="n">
        <v>0.05555556</v>
      </c>
      <c r="M120" t="n">
        <v>0.15555556</v>
      </c>
      <c r="N120" t="n">
        <v>2.00277778</v>
      </c>
      <c r="O120" t="n">
        <v>66.091667</v>
      </c>
      <c r="P120" t="n">
        <v>1</v>
      </c>
      <c r="Q120" t="n">
        <v>0.09090909</v>
      </c>
      <c r="R120" t="n">
        <v>1.09090909</v>
      </c>
      <c r="S120" t="n">
        <v>3.51136364</v>
      </c>
      <c r="T120" t="n">
        <v>2.65188255</v>
      </c>
      <c r="U120" t="n">
        <v>87.512124</v>
      </c>
      <c r="V120" t="b">
        <v>1</v>
      </c>
      <c r="W120" t="n">
        <v>1</v>
      </c>
      <c r="X120" t="inlineStr">
        <is>
          <t>role_subrole_balanced_score = base_support_score * capped sqrt(avg_macro_multiplier * avg_subrole_multiplier); role/subrole quota constraints use inverse weights.</t>
        </is>
      </c>
    </row>
    <row r="121">
      <c r="A121" t="inlineStr">
        <is>
          <t>C0120</t>
        </is>
      </c>
      <c r="B121" t="inlineStr">
        <is>
          <t>x_0120</t>
        </is>
      </c>
      <c r="C121" t="inlineStr">
        <is>
          <t>Bauern- und Winzerverband Rheinland-Pfalz Süd e.V.</t>
        </is>
      </c>
      <c r="D121" t="inlineStr">
        <is>
          <t>implementation_anchor</t>
        </is>
      </c>
      <c r="E121" t="inlineStr">
        <is>
          <t>agriculture_wine_anchor</t>
        </is>
      </c>
      <c r="F121" t="inlineStr">
        <is>
          <t>Technische Hochschule Bingen</t>
        </is>
      </c>
      <c r="G121" t="inlineStr">
        <is>
          <t>academic_support</t>
        </is>
      </c>
      <c r="H121" t="inlineStr">
        <is>
          <t>university_applied_sciences</t>
        </is>
      </c>
      <c r="I121" t="n">
        <v>33</v>
      </c>
      <c r="J121" t="n">
        <v>0</v>
      </c>
      <c r="K121" t="n">
        <v>0.1</v>
      </c>
      <c r="L121" t="n">
        <v>0.05555556</v>
      </c>
      <c r="M121" t="n">
        <v>0.15555556</v>
      </c>
      <c r="N121" t="n">
        <v>2.00277778</v>
      </c>
      <c r="O121" t="n">
        <v>66.091667</v>
      </c>
      <c r="P121" t="n">
        <v>1</v>
      </c>
      <c r="Q121" t="n">
        <v>0.09090909</v>
      </c>
      <c r="R121" t="n">
        <v>1.09090909</v>
      </c>
      <c r="S121" t="n">
        <v>3.51136364</v>
      </c>
      <c r="T121" t="n">
        <v>2.65188255</v>
      </c>
      <c r="U121" t="n">
        <v>87.512124</v>
      </c>
      <c r="V121" t="b">
        <v>1</v>
      </c>
      <c r="W121" t="n">
        <v>1</v>
      </c>
      <c r="X121" t="inlineStr">
        <is>
          <t>role_subrole_balanced_score = base_support_score * capped sqrt(avg_macro_multiplier * avg_subrole_multiplier); role/subrole quota constraints use inverse weights.</t>
        </is>
      </c>
    </row>
    <row r="122">
      <c r="A122" t="inlineStr">
        <is>
          <t>C0121</t>
        </is>
      </c>
      <c r="B122" t="inlineStr">
        <is>
          <t>x_0121</t>
        </is>
      </c>
      <c r="C122" t="inlineStr">
        <is>
          <t>Entwicklungsagentur Rheinland-Pfalz e.V.</t>
        </is>
      </c>
      <c r="D122" t="inlineStr">
        <is>
          <t>implementation_anchor</t>
        </is>
      </c>
      <c r="E122" t="inlineStr">
        <is>
          <t>public_policy_anchor</t>
        </is>
      </c>
      <c r="F122" t="inlineStr">
        <is>
          <t>Hochschule für Gesellschaftsgestaltung (HfGG)</t>
        </is>
      </c>
      <c r="G122" t="inlineStr">
        <is>
          <t>academic_support</t>
        </is>
      </c>
      <c r="H122" t="inlineStr">
        <is>
          <t>university_applied_sciences</t>
        </is>
      </c>
      <c r="I122" t="n">
        <v>33</v>
      </c>
      <c r="J122" t="n">
        <v>0</v>
      </c>
      <c r="K122" t="n">
        <v>0.1</v>
      </c>
      <c r="L122" t="n">
        <v>0.05555556</v>
      </c>
      <c r="M122" t="n">
        <v>0.15555556</v>
      </c>
      <c r="N122" t="n">
        <v>2.00277778</v>
      </c>
      <c r="O122" t="n">
        <v>66.091667</v>
      </c>
      <c r="P122" t="n">
        <v>0.16666667</v>
      </c>
      <c r="Q122" t="n">
        <v>0.09090909</v>
      </c>
      <c r="R122" t="n">
        <v>0.25757576</v>
      </c>
      <c r="S122" t="n">
        <v>0.82907197</v>
      </c>
      <c r="T122" t="n">
        <v>1.2885833</v>
      </c>
      <c r="U122" t="n">
        <v>42.523249</v>
      </c>
      <c r="V122" t="b">
        <v>1</v>
      </c>
      <c r="W122" t="n">
        <v>1</v>
      </c>
      <c r="X122" t="inlineStr">
        <is>
          <t>role_subrole_balanced_score = base_support_score * capped sqrt(avg_macro_multiplier * avg_subrole_multiplier); role/subrole quota constraints use inverse weights.</t>
        </is>
      </c>
    </row>
    <row r="123">
      <c r="A123" t="inlineStr">
        <is>
          <t>C0122</t>
        </is>
      </c>
      <c r="B123" t="inlineStr">
        <is>
          <t>x_0122</t>
        </is>
      </c>
      <c r="C123" t="inlineStr">
        <is>
          <t>Entwicklungsagentur Rheinland-Pfalz e.V.</t>
        </is>
      </c>
      <c r="D123" t="inlineStr">
        <is>
          <t>implementation_anchor</t>
        </is>
      </c>
      <c r="E123" t="inlineStr">
        <is>
          <t>public_policy_anchor</t>
        </is>
      </c>
      <c r="F123" t="inlineStr">
        <is>
          <t>Technische Hochschule Bingen</t>
        </is>
      </c>
      <c r="G123" t="inlineStr">
        <is>
          <t>academic_support</t>
        </is>
      </c>
      <c r="H123" t="inlineStr">
        <is>
          <t>university_applied_sciences</t>
        </is>
      </c>
      <c r="I123" t="n">
        <v>33</v>
      </c>
      <c r="J123" t="n">
        <v>0</v>
      </c>
      <c r="K123" t="n">
        <v>0.1</v>
      </c>
      <c r="L123" t="n">
        <v>0.05555556</v>
      </c>
      <c r="M123" t="n">
        <v>0.15555556</v>
      </c>
      <c r="N123" t="n">
        <v>2.00277778</v>
      </c>
      <c r="O123" t="n">
        <v>66.091667</v>
      </c>
      <c r="P123" t="n">
        <v>0.16666667</v>
      </c>
      <c r="Q123" t="n">
        <v>0.09090909</v>
      </c>
      <c r="R123" t="n">
        <v>0.25757576</v>
      </c>
      <c r="S123" t="n">
        <v>0.82907197</v>
      </c>
      <c r="T123" t="n">
        <v>1.2885833</v>
      </c>
      <c r="U123" t="n">
        <v>42.523249</v>
      </c>
      <c r="V123" t="b">
        <v>1</v>
      </c>
      <c r="W123" t="n">
        <v>1</v>
      </c>
      <c r="X123" t="inlineStr">
        <is>
          <t>role_subrole_balanced_score = base_support_score * capped sqrt(avg_macro_multiplier * avg_subrole_multiplier); role/subrole quota constraints use inverse weights.</t>
        </is>
      </c>
    </row>
    <row r="124">
      <c r="A124" t="inlineStr">
        <is>
          <t>C0123</t>
        </is>
      </c>
      <c r="B124" t="inlineStr">
        <is>
          <t>x_0123</t>
        </is>
      </c>
      <c r="C124" t="inlineStr">
        <is>
          <t>Ingenieurkammer Rheinland-Pfalz</t>
        </is>
      </c>
      <c r="D124" t="inlineStr">
        <is>
          <t>implementation_anchor</t>
        </is>
      </c>
      <c r="E124" t="inlineStr">
        <is>
          <t>construction_planning_anchor</t>
        </is>
      </c>
      <c r="F124" t="inlineStr">
        <is>
          <t>JUWI GmbH</t>
        </is>
      </c>
      <c r="G124" t="inlineStr">
        <is>
          <t>profit_anchor</t>
        </is>
      </c>
      <c r="H124" t="inlineStr">
        <is>
          <t>energy_infrastructure_anchor</t>
        </is>
      </c>
      <c r="I124" t="n">
        <v>33</v>
      </c>
      <c r="J124" t="n">
        <v>0</v>
      </c>
      <c r="K124" t="n">
        <v>0.1</v>
      </c>
      <c r="L124" t="n">
        <v>0.02040816</v>
      </c>
      <c r="M124" t="n">
        <v>0.12040816</v>
      </c>
      <c r="N124" t="n">
        <v>1.5502551</v>
      </c>
      <c r="O124" t="n">
        <v>51.158418</v>
      </c>
      <c r="P124" t="n">
        <v>0.125</v>
      </c>
      <c r="Q124" t="n">
        <v>0.11111111</v>
      </c>
      <c r="R124" t="n">
        <v>0.23611111</v>
      </c>
      <c r="S124" t="n">
        <v>0.75998264</v>
      </c>
      <c r="T124" t="n">
        <v>1.085434</v>
      </c>
      <c r="U124" t="n">
        <v>35.819322</v>
      </c>
      <c r="V124" t="b">
        <v>0</v>
      </c>
      <c r="W124" t="n">
        <v>0</v>
      </c>
      <c r="X124" t="inlineStr">
        <is>
          <t>role_subrole_balanced_score = base_support_score * capped sqrt(avg_macro_multiplier * avg_subrole_multiplier); role/subrole quota constraints use inverse weights.</t>
        </is>
      </c>
    </row>
    <row r="125">
      <c r="A125" t="inlineStr">
        <is>
          <t>C0124</t>
        </is>
      </c>
      <c r="B125" t="inlineStr">
        <is>
          <t>x_0124</t>
        </is>
      </c>
      <c r="C125" t="inlineStr">
        <is>
          <t>Ingenieurkammer Rheinland-Pfalz</t>
        </is>
      </c>
      <c r="D125" t="inlineStr">
        <is>
          <t>implementation_anchor</t>
        </is>
      </c>
      <c r="E125" t="inlineStr">
        <is>
          <t>construction_planning_anchor</t>
        </is>
      </c>
      <c r="F125" t="inlineStr">
        <is>
          <t>Pfalzwerke AG</t>
        </is>
      </c>
      <c r="G125" t="inlineStr">
        <is>
          <t>profit_anchor</t>
        </is>
      </c>
      <c r="H125" t="inlineStr">
        <is>
          <t>energy_infrastructure_anchor</t>
        </is>
      </c>
      <c r="I125" t="n">
        <v>33</v>
      </c>
      <c r="J125" t="n">
        <v>0</v>
      </c>
      <c r="K125" t="n">
        <v>0.1</v>
      </c>
      <c r="L125" t="n">
        <v>0.02040816</v>
      </c>
      <c r="M125" t="n">
        <v>0.12040816</v>
      </c>
      <c r="N125" t="n">
        <v>1.5502551</v>
      </c>
      <c r="O125" t="n">
        <v>51.158418</v>
      </c>
      <c r="P125" t="n">
        <v>0.125</v>
      </c>
      <c r="Q125" t="n">
        <v>0.11111111</v>
      </c>
      <c r="R125" t="n">
        <v>0.23611111</v>
      </c>
      <c r="S125" t="n">
        <v>0.75998264</v>
      </c>
      <c r="T125" t="n">
        <v>1.085434</v>
      </c>
      <c r="U125" t="n">
        <v>35.819322</v>
      </c>
      <c r="V125" t="b">
        <v>0</v>
      </c>
      <c r="W125" t="n">
        <v>0</v>
      </c>
      <c r="X125" t="inlineStr">
        <is>
          <t>role_subrole_balanced_score = base_support_score * capped sqrt(avg_macro_multiplier * avg_subrole_multiplier); role/subrole quota constraints use inverse weights.</t>
        </is>
      </c>
    </row>
    <row r="126">
      <c r="A126" t="inlineStr">
        <is>
          <t>C0125</t>
        </is>
      </c>
      <c r="B126" t="inlineStr">
        <is>
          <t>x_0125</t>
        </is>
      </c>
      <c r="C126" t="inlineStr">
        <is>
          <t>Ingenieurkammer Rheinland-Pfalz</t>
        </is>
      </c>
      <c r="D126" t="inlineStr">
        <is>
          <t>implementation_anchor</t>
        </is>
      </c>
      <c r="E126" t="inlineStr">
        <is>
          <t>construction_planning_anchor</t>
        </is>
      </c>
      <c r="F126" t="inlineStr">
        <is>
          <t>Transdev GmbH</t>
        </is>
      </c>
      <c r="G126" t="inlineStr">
        <is>
          <t>profit_anchor</t>
        </is>
      </c>
      <c r="H126" t="inlineStr">
        <is>
          <t>energy_infrastructure_anchor</t>
        </is>
      </c>
      <c r="I126" t="n">
        <v>33</v>
      </c>
      <c r="J126" t="n">
        <v>0</v>
      </c>
      <c r="K126" t="n">
        <v>0.1</v>
      </c>
      <c r="L126" t="n">
        <v>0.02040816</v>
      </c>
      <c r="M126" t="n">
        <v>0.12040816</v>
      </c>
      <c r="N126" t="n">
        <v>1.5502551</v>
      </c>
      <c r="O126" t="n">
        <v>51.158418</v>
      </c>
      <c r="P126" t="n">
        <v>0.125</v>
      </c>
      <c r="Q126" t="n">
        <v>0.11111111</v>
      </c>
      <c r="R126" t="n">
        <v>0.23611111</v>
      </c>
      <c r="S126" t="n">
        <v>0.75998264</v>
      </c>
      <c r="T126" t="n">
        <v>1.085434</v>
      </c>
      <c r="U126" t="n">
        <v>35.819322</v>
      </c>
      <c r="V126" t="b">
        <v>0</v>
      </c>
      <c r="W126" t="n">
        <v>0</v>
      </c>
      <c r="X126" t="inlineStr">
        <is>
          <t>role_subrole_balanced_score = base_support_score * capped sqrt(avg_macro_multiplier * avg_subrole_multiplier); role/subrole quota constraints use inverse weights.</t>
        </is>
      </c>
    </row>
    <row r="127">
      <c r="A127" t="inlineStr">
        <is>
          <t>C0126</t>
        </is>
      </c>
      <c r="B127" t="inlineStr">
        <is>
          <t>x_0126</t>
        </is>
      </c>
      <c r="C127" t="inlineStr">
        <is>
          <t>Ingenieurkammer Rheinland-Pfalz</t>
        </is>
      </c>
      <c r="D127" t="inlineStr">
        <is>
          <t>implementation_anchor</t>
        </is>
      </c>
      <c r="E127" t="inlineStr">
        <is>
          <t>construction_planning_anchor</t>
        </is>
      </c>
      <c r="F127" t="inlineStr">
        <is>
          <t>Westenergie AG</t>
        </is>
      </c>
      <c r="G127" t="inlineStr">
        <is>
          <t>profit_anchor</t>
        </is>
      </c>
      <c r="H127" t="inlineStr">
        <is>
          <t>energy_infrastructure_anchor</t>
        </is>
      </c>
      <c r="I127" t="n">
        <v>33</v>
      </c>
      <c r="J127" t="n">
        <v>0</v>
      </c>
      <c r="K127" t="n">
        <v>0.1</v>
      </c>
      <c r="L127" t="n">
        <v>0.02040816</v>
      </c>
      <c r="M127" t="n">
        <v>0.12040816</v>
      </c>
      <c r="N127" t="n">
        <v>1.5502551</v>
      </c>
      <c r="O127" t="n">
        <v>51.158418</v>
      </c>
      <c r="P127" t="n">
        <v>0.125</v>
      </c>
      <c r="Q127" t="n">
        <v>0.11111111</v>
      </c>
      <c r="R127" t="n">
        <v>0.23611111</v>
      </c>
      <c r="S127" t="n">
        <v>0.75998264</v>
      </c>
      <c r="T127" t="n">
        <v>1.085434</v>
      </c>
      <c r="U127" t="n">
        <v>35.819322</v>
      </c>
      <c r="V127" t="b">
        <v>0</v>
      </c>
      <c r="W127" t="n">
        <v>0</v>
      </c>
      <c r="X127" t="inlineStr">
        <is>
          <t>role_subrole_balanced_score = base_support_score * capped sqrt(avg_macro_multiplier * avg_subrole_multiplier); role/subrole quota constraints use inverse weights.</t>
        </is>
      </c>
    </row>
    <row r="128">
      <c r="A128" t="inlineStr">
        <is>
          <t>C0127</t>
        </is>
      </c>
      <c r="B128" t="inlineStr">
        <is>
          <t>x_0127</t>
        </is>
      </c>
      <c r="C128" t="inlineStr">
        <is>
          <t>Deutsche Telekom AG</t>
        </is>
      </c>
      <c r="D128" t="inlineStr">
        <is>
          <t>profit_anchor</t>
        </is>
      </c>
      <c r="E128" t="inlineStr">
        <is>
          <t>technology_digital_anchor</t>
        </is>
      </c>
      <c r="F128" t="inlineStr">
        <is>
          <t>Entwicklungsagentur Rheinland-Pfalz e.V.</t>
        </is>
      </c>
      <c r="G128" t="inlineStr">
        <is>
          <t>implementation_anchor</t>
        </is>
      </c>
      <c r="H128" t="inlineStr">
        <is>
          <t>public_policy_anchor</t>
        </is>
      </c>
      <c r="I128" t="n">
        <v>33</v>
      </c>
      <c r="J128" t="n">
        <v>0</v>
      </c>
      <c r="K128" t="n">
        <v>0.02040816</v>
      </c>
      <c r="L128" t="n">
        <v>0.1</v>
      </c>
      <c r="M128" t="n">
        <v>0.12040816</v>
      </c>
      <c r="N128" t="n">
        <v>1.5502551</v>
      </c>
      <c r="O128" t="n">
        <v>51.158418</v>
      </c>
      <c r="P128" t="n">
        <v>0.11111111</v>
      </c>
      <c r="Q128" t="n">
        <v>0.16666667</v>
      </c>
      <c r="R128" t="n">
        <v>0.27777778</v>
      </c>
      <c r="S128" t="n">
        <v>0.89409722</v>
      </c>
      <c r="T128" t="n">
        <v>1.17731847</v>
      </c>
      <c r="U128" t="n">
        <v>38.85151</v>
      </c>
      <c r="V128" t="b">
        <v>0</v>
      </c>
      <c r="W128" t="n">
        <v>0</v>
      </c>
      <c r="X128" t="inlineStr">
        <is>
          <t>role_subrole_balanced_score = base_support_score * capped sqrt(avg_macro_multiplier * avg_subrole_multiplier); role/subrole quota constraints use inverse weights.</t>
        </is>
      </c>
    </row>
    <row r="129">
      <c r="A129" t="inlineStr">
        <is>
          <t>C0128</t>
        </is>
      </c>
      <c r="B129" t="inlineStr">
        <is>
          <t>x_0128</t>
        </is>
      </c>
      <c r="C129" t="inlineStr">
        <is>
          <t>Architektenkammer Rheinland-Pfalz</t>
        </is>
      </c>
      <c r="D129" t="inlineStr">
        <is>
          <t>implementation_anchor</t>
        </is>
      </c>
      <c r="E129" t="inlineStr">
        <is>
          <t>construction_planning_anchor</t>
        </is>
      </c>
      <c r="F129" t="inlineStr">
        <is>
          <t>Wilhelm Faber GmbH</t>
        </is>
      </c>
      <c r="G129" t="inlineStr">
        <is>
          <t>profit_anchor</t>
        </is>
      </c>
      <c r="H129" t="inlineStr">
        <is>
          <t>construction_planning_anchor</t>
        </is>
      </c>
      <c r="I129" t="n">
        <v>33</v>
      </c>
      <c r="J129" t="n">
        <v>0</v>
      </c>
      <c r="K129" t="n">
        <v>0.1</v>
      </c>
      <c r="L129" t="n">
        <v>0.02040816</v>
      </c>
      <c r="M129" t="n">
        <v>0.12040816</v>
      </c>
      <c r="N129" t="n">
        <v>1.5502551</v>
      </c>
      <c r="O129" t="n">
        <v>51.158418</v>
      </c>
      <c r="P129" t="n">
        <v>0.125</v>
      </c>
      <c r="Q129" t="n">
        <v>0.125</v>
      </c>
      <c r="R129" t="n">
        <v>0.25</v>
      </c>
      <c r="S129" t="n">
        <v>0.8046875</v>
      </c>
      <c r="T129" t="n">
        <v>1.11690237</v>
      </c>
      <c r="U129" t="n">
        <v>36.857778</v>
      </c>
      <c r="V129" t="b">
        <v>0</v>
      </c>
      <c r="W129" t="n">
        <v>0</v>
      </c>
      <c r="X129" t="inlineStr">
        <is>
          <t>role_subrole_balanced_score = base_support_score * capped sqrt(avg_macro_multiplier * avg_subrole_multiplier); role/subrole quota constraints use inverse weights.</t>
        </is>
      </c>
    </row>
    <row r="130">
      <c r="A130" t="inlineStr">
        <is>
          <t>C0129</t>
        </is>
      </c>
      <c r="B130" t="inlineStr">
        <is>
          <t>x_0129</t>
        </is>
      </c>
      <c r="C130" t="inlineStr">
        <is>
          <t>Ingenieurkammer Rheinland-Pfalz</t>
        </is>
      </c>
      <c r="D130" t="inlineStr">
        <is>
          <t>implementation_anchor</t>
        </is>
      </c>
      <c r="E130" t="inlineStr">
        <is>
          <t>construction_planning_anchor</t>
        </is>
      </c>
      <c r="F130" t="inlineStr">
        <is>
          <t>Wilhelm Faber GmbH</t>
        </is>
      </c>
      <c r="G130" t="inlineStr">
        <is>
          <t>profit_anchor</t>
        </is>
      </c>
      <c r="H130" t="inlineStr">
        <is>
          <t>construction_planning_anchor</t>
        </is>
      </c>
      <c r="I130" t="n">
        <v>33</v>
      </c>
      <c r="J130" t="n">
        <v>0</v>
      </c>
      <c r="K130" t="n">
        <v>0.1</v>
      </c>
      <c r="L130" t="n">
        <v>0.02040816</v>
      </c>
      <c r="M130" t="n">
        <v>0.12040816</v>
      </c>
      <c r="N130" t="n">
        <v>1.5502551</v>
      </c>
      <c r="O130" t="n">
        <v>51.158418</v>
      </c>
      <c r="P130" t="n">
        <v>0.125</v>
      </c>
      <c r="Q130" t="n">
        <v>0.125</v>
      </c>
      <c r="R130" t="n">
        <v>0.25</v>
      </c>
      <c r="S130" t="n">
        <v>0.8046875</v>
      </c>
      <c r="T130" t="n">
        <v>1.11690237</v>
      </c>
      <c r="U130" t="n">
        <v>36.857778</v>
      </c>
      <c r="V130" t="b">
        <v>0</v>
      </c>
      <c r="W130" t="n">
        <v>0</v>
      </c>
      <c r="X130" t="inlineStr">
        <is>
          <t>role_subrole_balanced_score = base_support_score * capped sqrt(avg_macro_multiplier * avg_subrole_multiplier); role/subrole quota constraints use inverse weights.</t>
        </is>
      </c>
    </row>
    <row r="131">
      <c r="A131" t="inlineStr">
        <is>
          <t>C0130</t>
        </is>
      </c>
      <c r="B131" t="inlineStr">
        <is>
          <t>x_0130</t>
        </is>
      </c>
      <c r="C131" t="inlineStr">
        <is>
          <t>Entwicklungsagentur Rheinland-Pfalz e.V.</t>
        </is>
      </c>
      <c r="D131" t="inlineStr">
        <is>
          <t>implementation_anchor</t>
        </is>
      </c>
      <c r="E131" t="inlineStr">
        <is>
          <t>public_policy_anchor</t>
        </is>
      </c>
      <c r="F131" t="inlineStr">
        <is>
          <t>Hochschule für Musik Mainz</t>
        </is>
      </c>
      <c r="G131" t="inlineStr">
        <is>
          <t>academic_support</t>
        </is>
      </c>
      <c r="H131" t="inlineStr">
        <is>
          <t>university_applied_sciences</t>
        </is>
      </c>
      <c r="I131" t="n">
        <v>33</v>
      </c>
      <c r="J131" t="n">
        <v>0</v>
      </c>
      <c r="K131" t="n">
        <v>0.1</v>
      </c>
      <c r="L131" t="n">
        <v>0.05555556</v>
      </c>
      <c r="M131" t="n">
        <v>0.15555556</v>
      </c>
      <c r="N131" t="n">
        <v>2.00277778</v>
      </c>
      <c r="O131" t="n">
        <v>66.091667</v>
      </c>
      <c r="P131" t="n">
        <v>0.16666667</v>
      </c>
      <c r="Q131" t="n">
        <v>0.09090909</v>
      </c>
      <c r="R131" t="n">
        <v>0.25757576</v>
      </c>
      <c r="S131" t="n">
        <v>0.82907197</v>
      </c>
      <c r="T131" t="n">
        <v>1.2885833</v>
      </c>
      <c r="U131" t="n">
        <v>42.523249</v>
      </c>
      <c r="V131" t="b">
        <v>1</v>
      </c>
      <c r="W131" t="n">
        <v>1</v>
      </c>
      <c r="X131" t="inlineStr">
        <is>
          <t>role_subrole_balanced_score = base_support_score * capped sqrt(avg_macro_multiplier * avg_subrole_multiplier); role/subrole quota constraints use inverse weights.</t>
        </is>
      </c>
    </row>
    <row r="132">
      <c r="A132" t="inlineStr">
        <is>
          <t>C0131</t>
        </is>
      </c>
      <c r="B132" t="inlineStr">
        <is>
          <t>x_0131</t>
        </is>
      </c>
      <c r="C132" t="inlineStr">
        <is>
          <t>Handwerkskammern Rheinland-Pfalz</t>
        </is>
      </c>
      <c r="D132" t="inlineStr">
        <is>
          <t>implementation_anchor</t>
        </is>
      </c>
      <c r="E132" t="inlineStr">
        <is>
          <t>chamber_association_anchor</t>
        </is>
      </c>
      <c r="F132" t="inlineStr">
        <is>
          <t>KÜBLER GmbH</t>
        </is>
      </c>
      <c r="G132" t="inlineStr">
        <is>
          <t>profit_anchor</t>
        </is>
      </c>
      <c r="H132" t="inlineStr">
        <is>
          <t>energy_infrastructure_anchor</t>
        </is>
      </c>
      <c r="I132" t="n">
        <v>33</v>
      </c>
      <c r="J132" t="n">
        <v>0</v>
      </c>
      <c r="K132" t="n">
        <v>0.1</v>
      </c>
      <c r="L132" t="n">
        <v>0.02040816</v>
      </c>
      <c r="M132" t="n">
        <v>0.12040816</v>
      </c>
      <c r="N132" t="n">
        <v>1.5502551</v>
      </c>
      <c r="O132" t="n">
        <v>51.158418</v>
      </c>
      <c r="P132" t="n">
        <v>0.25</v>
      </c>
      <c r="Q132" t="n">
        <v>0.11111111</v>
      </c>
      <c r="R132" t="n">
        <v>0.36111111</v>
      </c>
      <c r="S132" t="n">
        <v>1.16232639</v>
      </c>
      <c r="T132" t="n">
        <v>1.34234959</v>
      </c>
      <c r="U132" t="n">
        <v>44.297536</v>
      </c>
      <c r="V132" t="b">
        <v>0</v>
      </c>
      <c r="W132" t="n">
        <v>0</v>
      </c>
      <c r="X132" t="inlineStr">
        <is>
          <t>role_subrole_balanced_score = base_support_score * capped sqrt(avg_macro_multiplier * avg_subrole_multiplier); role/subrole quota constraints use inverse weights.</t>
        </is>
      </c>
    </row>
    <row r="133">
      <c r="A133" t="inlineStr">
        <is>
          <t>C0132</t>
        </is>
      </c>
      <c r="B133" t="inlineStr">
        <is>
          <t>x_0132</t>
        </is>
      </c>
      <c r="C133" t="inlineStr">
        <is>
          <t>Handwerkskammern Rheinland-Pfalz</t>
        </is>
      </c>
      <c r="D133" t="inlineStr">
        <is>
          <t>implementation_anchor</t>
        </is>
      </c>
      <c r="E133" t="inlineStr">
        <is>
          <t>chamber_association_anchor</t>
        </is>
      </c>
      <c r="F133" t="inlineStr">
        <is>
          <t>Licharz GmbH</t>
        </is>
      </c>
      <c r="G133" t="inlineStr">
        <is>
          <t>profit_anchor</t>
        </is>
      </c>
      <c r="H133" t="inlineStr">
        <is>
          <t>industry_anchor</t>
        </is>
      </c>
      <c r="I133" t="n">
        <v>33</v>
      </c>
      <c r="J133" t="n">
        <v>0</v>
      </c>
      <c r="K133" t="n">
        <v>0.1</v>
      </c>
      <c r="L133" t="n">
        <v>0.02040816</v>
      </c>
      <c r="M133" t="n">
        <v>0.12040816</v>
      </c>
      <c r="N133" t="n">
        <v>1.5502551</v>
      </c>
      <c r="O133" t="n">
        <v>51.158418</v>
      </c>
      <c r="P133" t="n">
        <v>0.25</v>
      </c>
      <c r="Q133" t="n">
        <v>0.09090909</v>
      </c>
      <c r="R133" t="n">
        <v>0.34090909</v>
      </c>
      <c r="S133" t="n">
        <v>1.09730114</v>
      </c>
      <c r="T133" t="n">
        <v>1.30426097</v>
      </c>
      <c r="U133" t="n">
        <v>43.040612</v>
      </c>
      <c r="V133" t="b">
        <v>0</v>
      </c>
      <c r="W133" t="n">
        <v>0</v>
      </c>
      <c r="X133" t="inlineStr">
        <is>
          <t>role_subrole_balanced_score = base_support_score * capped sqrt(avg_macro_multiplier * avg_subrole_multiplier); role/subrole quota constraints use inverse weights.</t>
        </is>
      </c>
    </row>
    <row r="134">
      <c r="A134" t="inlineStr">
        <is>
          <t>C0133</t>
        </is>
      </c>
      <c r="B134" t="inlineStr">
        <is>
          <t>x_0133</t>
        </is>
      </c>
      <c r="C134" t="inlineStr">
        <is>
          <t>Handwerkskammern Rheinland-Pfalz</t>
        </is>
      </c>
      <c r="D134" t="inlineStr">
        <is>
          <t>implementation_anchor</t>
        </is>
      </c>
      <c r="E134" t="inlineStr">
        <is>
          <t>chamber_association_anchor</t>
        </is>
      </c>
      <c r="F134" t="inlineStr">
        <is>
          <t>Rheinland-Pfälzische Technische Universität Kaiserslautern-Landau (RPTU)</t>
        </is>
      </c>
      <c r="G134" t="inlineStr">
        <is>
          <t>academic_support</t>
        </is>
      </c>
      <c r="H134" t="inlineStr">
        <is>
          <t>university_research</t>
        </is>
      </c>
      <c r="I134" t="n">
        <v>33</v>
      </c>
      <c r="J134" t="n">
        <v>0</v>
      </c>
      <c r="K134" t="n">
        <v>0.1</v>
      </c>
      <c r="L134" t="n">
        <v>0.05555556</v>
      </c>
      <c r="M134" t="n">
        <v>0.15555556</v>
      </c>
      <c r="N134" t="n">
        <v>2.00277778</v>
      </c>
      <c r="O134" t="n">
        <v>66.091667</v>
      </c>
      <c r="P134" t="n">
        <v>0.25</v>
      </c>
      <c r="Q134" t="n">
        <v>0.14285714</v>
      </c>
      <c r="R134" t="n">
        <v>0.39285714</v>
      </c>
      <c r="S134" t="n">
        <v>1.26450893</v>
      </c>
      <c r="T134" t="n">
        <v>1.59139259</v>
      </c>
      <c r="U134" t="n">
        <v>52.515956</v>
      </c>
      <c r="V134" t="b">
        <v>1</v>
      </c>
      <c r="W134" t="n">
        <v>1</v>
      </c>
      <c r="X134" t="inlineStr">
        <is>
          <t>role_subrole_balanced_score = base_support_score * capped sqrt(avg_macro_multiplier * avg_subrole_multiplier); role/subrole quota constraints use inverse weights.</t>
        </is>
      </c>
    </row>
    <row r="135">
      <c r="A135" t="inlineStr">
        <is>
          <t>C0134</t>
        </is>
      </c>
      <c r="B135" t="inlineStr">
        <is>
          <t>x_0134</t>
        </is>
      </c>
      <c r="C135" t="inlineStr">
        <is>
          <t>Handwerkskammern Rheinland-Pfalz</t>
        </is>
      </c>
      <c r="D135" t="inlineStr">
        <is>
          <t>implementation_anchor</t>
        </is>
      </c>
      <c r="E135" t="inlineStr">
        <is>
          <t>chamber_association_anchor</t>
        </is>
      </c>
      <c r="F135" t="inlineStr">
        <is>
          <t>Sparkassenverband Rheinland-Pfalz</t>
        </is>
      </c>
      <c r="G135" t="inlineStr">
        <is>
          <t>profit_anchor</t>
        </is>
      </c>
      <c r="H135" t="inlineStr">
        <is>
          <t>bank_finance_anchor</t>
        </is>
      </c>
      <c r="I135" t="n">
        <v>33</v>
      </c>
      <c r="J135" t="n">
        <v>0</v>
      </c>
      <c r="K135" t="n">
        <v>0.1</v>
      </c>
      <c r="L135" t="n">
        <v>0.02040816</v>
      </c>
      <c r="M135" t="n">
        <v>0.12040816</v>
      </c>
      <c r="N135" t="n">
        <v>1.5502551</v>
      </c>
      <c r="O135" t="n">
        <v>51.158418</v>
      </c>
      <c r="P135" t="n">
        <v>0.25</v>
      </c>
      <c r="Q135" t="n">
        <v>0.14285714</v>
      </c>
      <c r="R135" t="n">
        <v>0.39285714</v>
      </c>
      <c r="S135" t="n">
        <v>1.26450893</v>
      </c>
      <c r="T135" t="n">
        <v>1.40011122</v>
      </c>
      <c r="U135" t="n">
        <v>46.20367</v>
      </c>
      <c r="V135" t="b">
        <v>0</v>
      </c>
      <c r="W135" t="n">
        <v>0</v>
      </c>
      <c r="X135" t="inlineStr">
        <is>
          <t>role_subrole_balanced_score = base_support_score * capped sqrt(avg_macro_multiplier * avg_subrole_multiplier); role/subrole quota constraints use inverse weights.</t>
        </is>
      </c>
    </row>
    <row r="136">
      <c r="A136" t="inlineStr">
        <is>
          <t>C0135</t>
        </is>
      </c>
      <c r="B136" t="inlineStr">
        <is>
          <t>x_0135</t>
        </is>
      </c>
      <c r="C136" t="inlineStr">
        <is>
          <t>Bundesagentur für Arbeit, Regionaldirektion Rheinland-Pfalz-Saarland</t>
        </is>
      </c>
      <c r="D136" t="inlineStr">
        <is>
          <t>implementation_anchor</t>
        </is>
      </c>
      <c r="E136" t="inlineStr">
        <is>
          <t>public_policy_anchor</t>
        </is>
      </c>
      <c r="F136" t="inlineStr">
        <is>
          <t>Duale Hochschule Rheinland-Pfalz</t>
        </is>
      </c>
      <c r="G136" t="inlineStr">
        <is>
          <t>academic_support</t>
        </is>
      </c>
      <c r="H136" t="inlineStr">
        <is>
          <t>university_applied_sciences</t>
        </is>
      </c>
      <c r="I136" t="n">
        <v>33</v>
      </c>
      <c r="J136" t="n">
        <v>0</v>
      </c>
      <c r="K136" t="n">
        <v>0.1</v>
      </c>
      <c r="L136" t="n">
        <v>0.05555556</v>
      </c>
      <c r="M136" t="n">
        <v>0.15555556</v>
      </c>
      <c r="N136" t="n">
        <v>2.00277778</v>
      </c>
      <c r="O136" t="n">
        <v>66.091667</v>
      </c>
      <c r="P136" t="n">
        <v>0.16666667</v>
      </c>
      <c r="Q136" t="n">
        <v>0.09090909</v>
      </c>
      <c r="R136" t="n">
        <v>0.25757576</v>
      </c>
      <c r="S136" t="n">
        <v>0.82907197</v>
      </c>
      <c r="T136" t="n">
        <v>1.2885833</v>
      </c>
      <c r="U136" t="n">
        <v>42.523249</v>
      </c>
      <c r="V136" t="b">
        <v>1</v>
      </c>
      <c r="W136" t="n">
        <v>1</v>
      </c>
      <c r="X136" t="inlineStr">
        <is>
          <t>role_subrole_balanced_score = base_support_score * capped sqrt(avg_macro_multiplier * avg_subrole_multiplier); role/subrole quota constraints use inverse weights.</t>
        </is>
      </c>
    </row>
    <row r="137">
      <c r="A137" t="inlineStr">
        <is>
          <t>C0136</t>
        </is>
      </c>
      <c r="B137" t="inlineStr">
        <is>
          <t>x_0136</t>
        </is>
      </c>
      <c r="C137" t="inlineStr">
        <is>
          <t>Bundesagentur für Arbeit, Regionaldirektion Rheinland-Pfalz-Saarland</t>
        </is>
      </c>
      <c r="D137" t="inlineStr">
        <is>
          <t>implementation_anchor</t>
        </is>
      </c>
      <c r="E137" t="inlineStr">
        <is>
          <t>public_policy_anchor</t>
        </is>
      </c>
      <c r="F137" t="inlineStr">
        <is>
          <t>Vinzenz Pallotti University gGmbH</t>
        </is>
      </c>
      <c r="G137" t="inlineStr">
        <is>
          <t>academic_support</t>
        </is>
      </c>
      <c r="H137" t="inlineStr">
        <is>
          <t>university_research</t>
        </is>
      </c>
      <c r="I137" t="n">
        <v>33</v>
      </c>
      <c r="J137" t="n">
        <v>0</v>
      </c>
      <c r="K137" t="n">
        <v>0.1</v>
      </c>
      <c r="L137" t="n">
        <v>0.05555556</v>
      </c>
      <c r="M137" t="n">
        <v>0.15555556</v>
      </c>
      <c r="N137" t="n">
        <v>2.00277778</v>
      </c>
      <c r="O137" t="n">
        <v>66.091667</v>
      </c>
      <c r="P137" t="n">
        <v>0.16666667</v>
      </c>
      <c r="Q137" t="n">
        <v>0.14285714</v>
      </c>
      <c r="R137" t="n">
        <v>0.30952381</v>
      </c>
      <c r="S137" t="n">
        <v>0.99627976</v>
      </c>
      <c r="T137" t="n">
        <v>1.41256043</v>
      </c>
      <c r="U137" t="n">
        <v>46.614494</v>
      </c>
      <c r="V137" t="b">
        <v>1</v>
      </c>
      <c r="W137" t="n">
        <v>1</v>
      </c>
      <c r="X137" t="inlineStr">
        <is>
          <t>role_subrole_balanced_score = base_support_score * capped sqrt(avg_macro_multiplier * avg_subrole_multiplier); role/subrole quota constraints use inverse weights.</t>
        </is>
      </c>
    </row>
    <row r="138">
      <c r="A138" t="inlineStr">
        <is>
          <t>C0137</t>
        </is>
      </c>
      <c r="B138" t="inlineStr">
        <is>
          <t>x_0137</t>
        </is>
      </c>
      <c r="C138" t="inlineStr">
        <is>
          <t>Caritasverband für die Diözese Speyer e.V.</t>
        </is>
      </c>
      <c r="D138" t="inlineStr">
        <is>
          <t>implementation_anchor</t>
        </is>
      </c>
      <c r="E138" t="inlineStr">
        <is>
          <t>health_social_anchor</t>
        </is>
      </c>
      <c r="F138" t="inlineStr">
        <is>
          <t>Duale Hochschule Rheinland-Pfalz</t>
        </is>
      </c>
      <c r="G138" t="inlineStr">
        <is>
          <t>academic_support</t>
        </is>
      </c>
      <c r="H138" t="inlineStr">
        <is>
          <t>university_applied_sciences</t>
        </is>
      </c>
      <c r="I138" t="n">
        <v>33</v>
      </c>
      <c r="J138" t="n">
        <v>0</v>
      </c>
      <c r="K138" t="n">
        <v>0.1</v>
      </c>
      <c r="L138" t="n">
        <v>0.05555556</v>
      </c>
      <c r="M138" t="n">
        <v>0.15555556</v>
      </c>
      <c r="N138" t="n">
        <v>2.00277778</v>
      </c>
      <c r="O138" t="n">
        <v>66.091667</v>
      </c>
      <c r="P138" t="n">
        <v>0.08333333</v>
      </c>
      <c r="Q138" t="n">
        <v>0.09090909</v>
      </c>
      <c r="R138" t="n">
        <v>0.17424242</v>
      </c>
      <c r="S138" t="n">
        <v>0.5608428</v>
      </c>
      <c r="T138" t="n">
        <v>1.05983183</v>
      </c>
      <c r="U138" t="n">
        <v>34.97445</v>
      </c>
      <c r="V138" t="b">
        <v>1</v>
      </c>
      <c r="W138" t="n">
        <v>1</v>
      </c>
      <c r="X138" t="inlineStr">
        <is>
          <t>role_subrole_balanced_score = base_support_score * capped sqrt(avg_macro_multiplier * avg_subrole_multiplier); role/subrole quota constraints use inverse weights.</t>
        </is>
      </c>
    </row>
    <row r="139">
      <c r="A139" t="inlineStr">
        <is>
          <t>C0138</t>
        </is>
      </c>
      <c r="B139" t="inlineStr">
        <is>
          <t>x_0138</t>
        </is>
      </c>
      <c r="C139" t="inlineStr">
        <is>
          <t>Caritasverband für die Diözese Speyer e.V.</t>
        </is>
      </c>
      <c r="D139" t="inlineStr">
        <is>
          <t>implementation_anchor</t>
        </is>
      </c>
      <c r="E139" t="inlineStr">
        <is>
          <t>health_social_anchor</t>
        </is>
      </c>
      <c r="F139" t="inlineStr">
        <is>
          <t>Vinzenz Pallotti University gGmbH</t>
        </is>
      </c>
      <c r="G139" t="inlineStr">
        <is>
          <t>academic_support</t>
        </is>
      </c>
      <c r="H139" t="inlineStr">
        <is>
          <t>university_research</t>
        </is>
      </c>
      <c r="I139" t="n">
        <v>33</v>
      </c>
      <c r="J139" t="n">
        <v>0</v>
      </c>
      <c r="K139" t="n">
        <v>0.1</v>
      </c>
      <c r="L139" t="n">
        <v>0.05555556</v>
      </c>
      <c r="M139" t="n">
        <v>0.15555556</v>
      </c>
      <c r="N139" t="n">
        <v>2.00277778</v>
      </c>
      <c r="O139" t="n">
        <v>66.091667</v>
      </c>
      <c r="P139" t="n">
        <v>0.08333333</v>
      </c>
      <c r="Q139" t="n">
        <v>0.14285714</v>
      </c>
      <c r="R139" t="n">
        <v>0.22619048</v>
      </c>
      <c r="S139" t="n">
        <v>0.7280506</v>
      </c>
      <c r="T139" t="n">
        <v>1.20752787</v>
      </c>
      <c r="U139" t="n">
        <v>39.84842</v>
      </c>
      <c r="V139" t="b">
        <v>1</v>
      </c>
      <c r="W139" t="n">
        <v>1</v>
      </c>
      <c r="X139" t="inlineStr">
        <is>
          <t>role_subrole_balanced_score = base_support_score * capped sqrt(avg_macro_multiplier * avg_subrole_multiplier); role/subrole quota constraints use inverse weights.</t>
        </is>
      </c>
    </row>
    <row r="140">
      <c r="A140" t="inlineStr">
        <is>
          <t>C0139</t>
        </is>
      </c>
      <c r="B140" t="inlineStr">
        <is>
          <t>x_0139</t>
        </is>
      </c>
      <c r="C140" t="inlineStr">
        <is>
          <t>Katholische Hochschule Mainz</t>
        </is>
      </c>
      <c r="D140" t="inlineStr">
        <is>
          <t>academic_support</t>
        </is>
      </c>
      <c r="E140" t="inlineStr">
        <is>
          <t>university_applied_sciences</t>
        </is>
      </c>
      <c r="F140" t="inlineStr">
        <is>
          <t>LandesPsychotherapeutenKammer Rheinland-Pfalz</t>
        </is>
      </c>
      <c r="G140" t="inlineStr">
        <is>
          <t>implementation_anchor</t>
        </is>
      </c>
      <c r="H140" t="inlineStr">
        <is>
          <t>health_social_anchor</t>
        </is>
      </c>
      <c r="I140" t="n">
        <v>33</v>
      </c>
      <c r="J140" t="n">
        <v>0</v>
      </c>
      <c r="K140" t="n">
        <v>0.05555556</v>
      </c>
      <c r="L140" t="n">
        <v>0.1</v>
      </c>
      <c r="M140" t="n">
        <v>0.15555556</v>
      </c>
      <c r="N140" t="n">
        <v>2.00277778</v>
      </c>
      <c r="O140" t="n">
        <v>66.091667</v>
      </c>
      <c r="P140" t="n">
        <v>0.09090909</v>
      </c>
      <c r="Q140" t="n">
        <v>0.08333333</v>
      </c>
      <c r="R140" t="n">
        <v>0.17424242</v>
      </c>
      <c r="S140" t="n">
        <v>0.5608428</v>
      </c>
      <c r="T140" t="n">
        <v>1.05983183</v>
      </c>
      <c r="U140" t="n">
        <v>34.97445</v>
      </c>
      <c r="V140" t="b">
        <v>1</v>
      </c>
      <c r="W140" t="n">
        <v>1</v>
      </c>
      <c r="X140" t="inlineStr">
        <is>
          <t>role_subrole_balanced_score = base_support_score * capped sqrt(avg_macro_multiplier * avg_subrole_multiplier); role/subrole quota constraints use inverse weights.</t>
        </is>
      </c>
    </row>
    <row r="141">
      <c r="A141" t="inlineStr">
        <is>
          <t>C0140</t>
        </is>
      </c>
      <c r="B141" t="inlineStr">
        <is>
          <t>x_0140</t>
        </is>
      </c>
      <c r="C141" t="inlineStr">
        <is>
          <t>Katholische Hochschule Mainz</t>
        </is>
      </c>
      <c r="D141" t="inlineStr">
        <is>
          <t>academic_support</t>
        </is>
      </c>
      <c r="E141" t="inlineStr">
        <is>
          <t>university_applied_sciences</t>
        </is>
      </c>
      <c r="F141" t="inlineStr">
        <is>
          <t>Landesärztekammer Rheinland-Pfalz</t>
        </is>
      </c>
      <c r="G141" t="inlineStr">
        <is>
          <t>implementation_anchor</t>
        </is>
      </c>
      <c r="H141" t="inlineStr">
        <is>
          <t>health_social_anchor</t>
        </is>
      </c>
      <c r="I141" t="n">
        <v>33</v>
      </c>
      <c r="J141" t="n">
        <v>0</v>
      </c>
      <c r="K141" t="n">
        <v>0.05555556</v>
      </c>
      <c r="L141" t="n">
        <v>0.1</v>
      </c>
      <c r="M141" t="n">
        <v>0.15555556</v>
      </c>
      <c r="N141" t="n">
        <v>2.00277778</v>
      </c>
      <c r="O141" t="n">
        <v>66.091667</v>
      </c>
      <c r="P141" t="n">
        <v>0.09090909</v>
      </c>
      <c r="Q141" t="n">
        <v>0.08333333</v>
      </c>
      <c r="R141" t="n">
        <v>0.17424242</v>
      </c>
      <c r="S141" t="n">
        <v>0.5608428</v>
      </c>
      <c r="T141" t="n">
        <v>1.05983183</v>
      </c>
      <c r="U141" t="n">
        <v>34.97445</v>
      </c>
      <c r="V141" t="b">
        <v>1</v>
      </c>
      <c r="W141" t="n">
        <v>1</v>
      </c>
      <c r="X141" t="inlineStr">
        <is>
          <t>role_subrole_balanced_score = base_support_score * capped sqrt(avg_macro_multiplier * avg_subrole_multiplier); role/subrole quota constraints use inverse weights.</t>
        </is>
      </c>
    </row>
    <row r="142">
      <c r="A142" t="inlineStr">
        <is>
          <t>C0141</t>
        </is>
      </c>
      <c r="B142" t="inlineStr">
        <is>
          <t>x_0141</t>
        </is>
      </c>
      <c r="C142" t="inlineStr">
        <is>
          <t>LandesPsychotherapeutenKammer Rheinland-Pfalz</t>
        </is>
      </c>
      <c r="D142" t="inlineStr">
        <is>
          <t>implementation_anchor</t>
        </is>
      </c>
      <c r="E142" t="inlineStr">
        <is>
          <t>health_social_anchor</t>
        </is>
      </c>
      <c r="F142" t="inlineStr">
        <is>
          <t>Leonardo PersonalKonzept GmbH</t>
        </is>
      </c>
      <c r="G142" t="inlineStr">
        <is>
          <t>profit_anchor</t>
        </is>
      </c>
      <c r="H142" t="inlineStr">
        <is>
          <t>professional_services_anchor</t>
        </is>
      </c>
      <c r="I142" t="n">
        <v>33</v>
      </c>
      <c r="J142" t="n">
        <v>0</v>
      </c>
      <c r="K142" t="n">
        <v>0.1</v>
      </c>
      <c r="L142" t="n">
        <v>0.02040816</v>
      </c>
      <c r="M142" t="n">
        <v>0.12040816</v>
      </c>
      <c r="N142" t="n">
        <v>1.5502551</v>
      </c>
      <c r="O142" t="n">
        <v>51.158418</v>
      </c>
      <c r="P142" t="n">
        <v>0.08333333</v>
      </c>
      <c r="Q142" t="n">
        <v>0.2</v>
      </c>
      <c r="R142" t="n">
        <v>0.28333333</v>
      </c>
      <c r="S142" t="n">
        <v>0.91197917</v>
      </c>
      <c r="T142" t="n">
        <v>1.18903337</v>
      </c>
      <c r="U142" t="n">
        <v>39.238101</v>
      </c>
      <c r="V142" t="b">
        <v>0</v>
      </c>
      <c r="W142" t="n">
        <v>0</v>
      </c>
      <c r="X142" t="inlineStr">
        <is>
          <t>role_subrole_balanced_score = base_support_score * capped sqrt(avg_macro_multiplier * avg_subrole_multiplier); role/subrole quota constraints use inverse weights.</t>
        </is>
      </c>
    </row>
    <row r="143">
      <c r="A143" t="inlineStr">
        <is>
          <t>C0142</t>
        </is>
      </c>
      <c r="B143" t="inlineStr">
        <is>
          <t>x_0142</t>
        </is>
      </c>
      <c r="C143" t="inlineStr">
        <is>
          <t>Landesärztekammer Rheinland-Pfalz</t>
        </is>
      </c>
      <c r="D143" t="inlineStr">
        <is>
          <t>implementation_anchor</t>
        </is>
      </c>
      <c r="E143" t="inlineStr">
        <is>
          <t>health_social_anchor</t>
        </is>
      </c>
      <c r="F143" t="inlineStr">
        <is>
          <t>Leonardo PersonalKonzept GmbH</t>
        </is>
      </c>
      <c r="G143" t="inlineStr">
        <is>
          <t>profit_anchor</t>
        </is>
      </c>
      <c r="H143" t="inlineStr">
        <is>
          <t>professional_services_anchor</t>
        </is>
      </c>
      <c r="I143" t="n">
        <v>33</v>
      </c>
      <c r="J143" t="n">
        <v>0</v>
      </c>
      <c r="K143" t="n">
        <v>0.1</v>
      </c>
      <c r="L143" t="n">
        <v>0.02040816</v>
      </c>
      <c r="M143" t="n">
        <v>0.12040816</v>
      </c>
      <c r="N143" t="n">
        <v>1.5502551</v>
      </c>
      <c r="O143" t="n">
        <v>51.158418</v>
      </c>
      <c r="P143" t="n">
        <v>0.08333333</v>
      </c>
      <c r="Q143" t="n">
        <v>0.2</v>
      </c>
      <c r="R143" t="n">
        <v>0.28333333</v>
      </c>
      <c r="S143" t="n">
        <v>0.91197917</v>
      </c>
      <c r="T143" t="n">
        <v>1.18903337</v>
      </c>
      <c r="U143" t="n">
        <v>39.238101</v>
      </c>
      <c r="V143" t="b">
        <v>0</v>
      </c>
      <c r="W143" t="n">
        <v>0</v>
      </c>
      <c r="X143" t="inlineStr">
        <is>
          <t>role_subrole_balanced_score = base_support_score * capped sqrt(avg_macro_multiplier * avg_subrole_multiplier); role/subrole quota constraints use inverse weights.</t>
        </is>
      </c>
    </row>
    <row r="144">
      <c r="A144" t="inlineStr">
        <is>
          <t>C0143</t>
        </is>
      </c>
      <c r="B144" t="inlineStr">
        <is>
          <t>x_0143</t>
        </is>
      </c>
      <c r="C144" t="inlineStr">
        <is>
          <t>Bundesagentur für Arbeit, Regionaldirektion Rheinland-Pfalz-Saarland</t>
        </is>
      </c>
      <c r="D144" t="inlineStr">
        <is>
          <t>implementation_anchor</t>
        </is>
      </c>
      <c r="E144" t="inlineStr">
        <is>
          <t>public_policy_anchor</t>
        </is>
      </c>
      <c r="F144" t="inlineStr">
        <is>
          <t>Hochschule für Gesellschaftsgestaltung (HfGG)</t>
        </is>
      </c>
      <c r="G144" t="inlineStr">
        <is>
          <t>academic_support</t>
        </is>
      </c>
      <c r="H144" t="inlineStr">
        <is>
          <t>university_applied_sciences</t>
        </is>
      </c>
      <c r="I144" t="n">
        <v>33</v>
      </c>
      <c r="J144" t="n">
        <v>0</v>
      </c>
      <c r="K144" t="n">
        <v>0.1</v>
      </c>
      <c r="L144" t="n">
        <v>0.05555556</v>
      </c>
      <c r="M144" t="n">
        <v>0.15555556</v>
      </c>
      <c r="N144" t="n">
        <v>2.00277778</v>
      </c>
      <c r="O144" t="n">
        <v>66.091667</v>
      </c>
      <c r="P144" t="n">
        <v>0.16666667</v>
      </c>
      <c r="Q144" t="n">
        <v>0.09090909</v>
      </c>
      <c r="R144" t="n">
        <v>0.25757576</v>
      </c>
      <c r="S144" t="n">
        <v>0.82907197</v>
      </c>
      <c r="T144" t="n">
        <v>1.2885833</v>
      </c>
      <c r="U144" t="n">
        <v>42.523249</v>
      </c>
      <c r="V144" t="b">
        <v>1</v>
      </c>
      <c r="W144" t="n">
        <v>1</v>
      </c>
      <c r="X144" t="inlineStr">
        <is>
          <t>role_subrole_balanced_score = base_support_score * capped sqrt(avg_macro_multiplier * avg_subrole_multiplier); role/subrole quota constraints use inverse weights.</t>
        </is>
      </c>
    </row>
    <row r="145">
      <c r="A145" t="inlineStr">
        <is>
          <t>C0144</t>
        </is>
      </c>
      <c r="B145" t="inlineStr">
        <is>
          <t>x_0144</t>
        </is>
      </c>
      <c r="C145" t="inlineStr">
        <is>
          <t>Bundesagentur für Arbeit, Regionaldirektion Rheinland-Pfalz-Saarland</t>
        </is>
      </c>
      <c r="D145" t="inlineStr">
        <is>
          <t>implementation_anchor</t>
        </is>
      </c>
      <c r="E145" t="inlineStr">
        <is>
          <t>public_policy_anchor</t>
        </is>
      </c>
      <c r="F145" t="inlineStr">
        <is>
          <t>Katholische Hochschule Mainz</t>
        </is>
      </c>
      <c r="G145" t="inlineStr">
        <is>
          <t>academic_support</t>
        </is>
      </c>
      <c r="H145" t="inlineStr">
        <is>
          <t>university_applied_sciences</t>
        </is>
      </c>
      <c r="I145" t="n">
        <v>33</v>
      </c>
      <c r="J145" t="n">
        <v>0</v>
      </c>
      <c r="K145" t="n">
        <v>0.1</v>
      </c>
      <c r="L145" t="n">
        <v>0.05555556</v>
      </c>
      <c r="M145" t="n">
        <v>0.15555556</v>
      </c>
      <c r="N145" t="n">
        <v>2.00277778</v>
      </c>
      <c r="O145" t="n">
        <v>66.091667</v>
      </c>
      <c r="P145" t="n">
        <v>0.16666667</v>
      </c>
      <c r="Q145" t="n">
        <v>0.09090909</v>
      </c>
      <c r="R145" t="n">
        <v>0.25757576</v>
      </c>
      <c r="S145" t="n">
        <v>0.82907197</v>
      </c>
      <c r="T145" t="n">
        <v>1.2885833</v>
      </c>
      <c r="U145" t="n">
        <v>42.523249</v>
      </c>
      <c r="V145" t="b">
        <v>1</v>
      </c>
      <c r="W145" t="n">
        <v>1</v>
      </c>
      <c r="X145" t="inlineStr">
        <is>
          <t>role_subrole_balanced_score = base_support_score * capped sqrt(avg_macro_multiplier * avg_subrole_multiplier); role/subrole quota constraints use inverse weights.</t>
        </is>
      </c>
    </row>
    <row r="146">
      <c r="A146" t="inlineStr">
        <is>
          <t>C0145</t>
        </is>
      </c>
      <c r="B146" t="inlineStr">
        <is>
          <t>x_0145</t>
        </is>
      </c>
      <c r="C146" t="inlineStr">
        <is>
          <t>Bundesagentur für Arbeit, Regionaldirektion Rheinland-Pfalz-Saarland</t>
        </is>
      </c>
      <c r="D146" t="inlineStr">
        <is>
          <t>implementation_anchor</t>
        </is>
      </c>
      <c r="E146" t="inlineStr">
        <is>
          <t>public_policy_anchor</t>
        </is>
      </c>
      <c r="F146" t="inlineStr">
        <is>
          <t>Vinzenz Pallotti University gGmbH</t>
        </is>
      </c>
      <c r="G146" t="inlineStr">
        <is>
          <t>academic_support</t>
        </is>
      </c>
      <c r="H146" t="inlineStr">
        <is>
          <t>university_research</t>
        </is>
      </c>
      <c r="I146" t="n">
        <v>33</v>
      </c>
      <c r="J146" t="n">
        <v>0</v>
      </c>
      <c r="K146" t="n">
        <v>0.1</v>
      </c>
      <c r="L146" t="n">
        <v>0.05555556</v>
      </c>
      <c r="M146" t="n">
        <v>0.15555556</v>
      </c>
      <c r="N146" t="n">
        <v>2.00277778</v>
      </c>
      <c r="O146" t="n">
        <v>66.091667</v>
      </c>
      <c r="P146" t="n">
        <v>0.16666667</v>
      </c>
      <c r="Q146" t="n">
        <v>0.14285714</v>
      </c>
      <c r="R146" t="n">
        <v>0.30952381</v>
      </c>
      <c r="S146" t="n">
        <v>0.99627976</v>
      </c>
      <c r="T146" t="n">
        <v>1.41256043</v>
      </c>
      <c r="U146" t="n">
        <v>46.614494</v>
      </c>
      <c r="V146" t="b">
        <v>1</v>
      </c>
      <c r="W146" t="n">
        <v>1</v>
      </c>
      <c r="X146" t="inlineStr">
        <is>
          <t>role_subrole_balanced_score = base_support_score * capped sqrt(avg_macro_multiplier * avg_subrole_multiplier); role/subrole quota constraints use inverse weights.</t>
        </is>
      </c>
    </row>
    <row r="147">
      <c r="A147" t="inlineStr">
        <is>
          <t>C0146</t>
        </is>
      </c>
      <c r="B147" t="inlineStr">
        <is>
          <t>x_0146</t>
        </is>
      </c>
      <c r="C147" t="inlineStr">
        <is>
          <t>Caritasverband für die Diözese Speyer e.V.</t>
        </is>
      </c>
      <c r="D147" t="inlineStr">
        <is>
          <t>implementation_anchor</t>
        </is>
      </c>
      <c r="E147" t="inlineStr">
        <is>
          <t>health_social_anchor</t>
        </is>
      </c>
      <c r="F147" t="inlineStr">
        <is>
          <t>Hochschule für Gesellschaftsgestaltung (HfGG)</t>
        </is>
      </c>
      <c r="G147" t="inlineStr">
        <is>
          <t>academic_support</t>
        </is>
      </c>
      <c r="H147" t="inlineStr">
        <is>
          <t>university_applied_sciences</t>
        </is>
      </c>
      <c r="I147" t="n">
        <v>33</v>
      </c>
      <c r="J147" t="n">
        <v>0</v>
      </c>
      <c r="K147" t="n">
        <v>0.1</v>
      </c>
      <c r="L147" t="n">
        <v>0.05555556</v>
      </c>
      <c r="M147" t="n">
        <v>0.15555556</v>
      </c>
      <c r="N147" t="n">
        <v>2.00277778</v>
      </c>
      <c r="O147" t="n">
        <v>66.091667</v>
      </c>
      <c r="P147" t="n">
        <v>0.08333333</v>
      </c>
      <c r="Q147" t="n">
        <v>0.09090909</v>
      </c>
      <c r="R147" t="n">
        <v>0.17424242</v>
      </c>
      <c r="S147" t="n">
        <v>0.5608428</v>
      </c>
      <c r="T147" t="n">
        <v>1.05983183</v>
      </c>
      <c r="U147" t="n">
        <v>34.97445</v>
      </c>
      <c r="V147" t="b">
        <v>1</v>
      </c>
      <c r="W147" t="n">
        <v>1</v>
      </c>
      <c r="X147" t="inlineStr">
        <is>
          <t>role_subrole_balanced_score = base_support_score * capped sqrt(avg_macro_multiplier * avg_subrole_multiplier); role/subrole quota constraints use inverse weights.</t>
        </is>
      </c>
    </row>
    <row r="148">
      <c r="A148" t="inlineStr">
        <is>
          <t>C0147</t>
        </is>
      </c>
      <c r="B148" t="inlineStr">
        <is>
          <t>x_0147</t>
        </is>
      </c>
      <c r="C148" t="inlineStr">
        <is>
          <t>Caritasverband für die Diözese Speyer e.V.</t>
        </is>
      </c>
      <c r="D148" t="inlineStr">
        <is>
          <t>implementation_anchor</t>
        </is>
      </c>
      <c r="E148" t="inlineStr">
        <is>
          <t>health_social_anchor</t>
        </is>
      </c>
      <c r="F148" t="inlineStr">
        <is>
          <t>Katholische Hochschule Mainz</t>
        </is>
      </c>
      <c r="G148" t="inlineStr">
        <is>
          <t>academic_support</t>
        </is>
      </c>
      <c r="H148" t="inlineStr">
        <is>
          <t>university_applied_sciences</t>
        </is>
      </c>
      <c r="I148" t="n">
        <v>33</v>
      </c>
      <c r="J148" t="n">
        <v>0</v>
      </c>
      <c r="K148" t="n">
        <v>0.1</v>
      </c>
      <c r="L148" t="n">
        <v>0.05555556</v>
      </c>
      <c r="M148" t="n">
        <v>0.15555556</v>
      </c>
      <c r="N148" t="n">
        <v>2.00277778</v>
      </c>
      <c r="O148" t="n">
        <v>66.091667</v>
      </c>
      <c r="P148" t="n">
        <v>0.08333333</v>
      </c>
      <c r="Q148" t="n">
        <v>0.09090909</v>
      </c>
      <c r="R148" t="n">
        <v>0.17424242</v>
      </c>
      <c r="S148" t="n">
        <v>0.5608428</v>
      </c>
      <c r="T148" t="n">
        <v>1.05983183</v>
      </c>
      <c r="U148" t="n">
        <v>34.97445</v>
      </c>
      <c r="V148" t="b">
        <v>1</v>
      </c>
      <c r="W148" t="n">
        <v>1</v>
      </c>
      <c r="X148" t="inlineStr">
        <is>
          <t>role_subrole_balanced_score = base_support_score * capped sqrt(avg_macro_multiplier * avg_subrole_multiplier); role/subrole quota constraints use inverse weights.</t>
        </is>
      </c>
    </row>
    <row r="149">
      <c r="A149" t="inlineStr">
        <is>
          <t>C0148</t>
        </is>
      </c>
      <c r="B149" t="inlineStr">
        <is>
          <t>x_0148</t>
        </is>
      </c>
      <c r="C149" t="inlineStr">
        <is>
          <t>Caritasverband für die Diözese Speyer e.V.</t>
        </is>
      </c>
      <c r="D149" t="inlineStr">
        <is>
          <t>implementation_anchor</t>
        </is>
      </c>
      <c r="E149" t="inlineStr">
        <is>
          <t>health_social_anchor</t>
        </is>
      </c>
      <c r="F149" t="inlineStr">
        <is>
          <t>Vinzenz Pallotti University gGmbH</t>
        </is>
      </c>
      <c r="G149" t="inlineStr">
        <is>
          <t>academic_support</t>
        </is>
      </c>
      <c r="H149" t="inlineStr">
        <is>
          <t>university_research</t>
        </is>
      </c>
      <c r="I149" t="n">
        <v>33</v>
      </c>
      <c r="J149" t="n">
        <v>0</v>
      </c>
      <c r="K149" t="n">
        <v>0.1</v>
      </c>
      <c r="L149" t="n">
        <v>0.05555556</v>
      </c>
      <c r="M149" t="n">
        <v>0.15555556</v>
      </c>
      <c r="N149" t="n">
        <v>2.00277778</v>
      </c>
      <c r="O149" t="n">
        <v>66.091667</v>
      </c>
      <c r="P149" t="n">
        <v>0.08333333</v>
      </c>
      <c r="Q149" t="n">
        <v>0.14285714</v>
      </c>
      <c r="R149" t="n">
        <v>0.22619048</v>
      </c>
      <c r="S149" t="n">
        <v>0.7280506</v>
      </c>
      <c r="T149" t="n">
        <v>1.20752787</v>
      </c>
      <c r="U149" t="n">
        <v>39.84842</v>
      </c>
      <c r="V149" t="b">
        <v>1</v>
      </c>
      <c r="W149" t="n">
        <v>1</v>
      </c>
      <c r="X149" t="inlineStr">
        <is>
          <t>role_subrole_balanced_score = base_support_score * capped sqrt(avg_macro_multiplier * avg_subrole_multiplier); role/subrole quota constraints use inverse weights.</t>
        </is>
      </c>
    </row>
    <row r="150">
      <c r="A150" t="inlineStr">
        <is>
          <t>C0149</t>
        </is>
      </c>
      <c r="B150" t="inlineStr">
        <is>
          <t>x_0149</t>
        </is>
      </c>
      <c r="C150" t="inlineStr">
        <is>
          <t>Bundesagentur für Arbeit, Regionaldirektion Rheinland-Pfalz-Saarland</t>
        </is>
      </c>
      <c r="D150" t="inlineStr">
        <is>
          <t>implementation_anchor</t>
        </is>
      </c>
      <c r="E150" t="inlineStr">
        <is>
          <t>public_policy_anchor</t>
        </is>
      </c>
      <c r="F150" t="inlineStr">
        <is>
          <t>Hochschule Koblenz</t>
        </is>
      </c>
      <c r="G150" t="inlineStr">
        <is>
          <t>academic_support</t>
        </is>
      </c>
      <c r="H150" t="inlineStr">
        <is>
          <t>university_applied_sciences</t>
        </is>
      </c>
      <c r="I150" t="n">
        <v>33</v>
      </c>
      <c r="J150" t="n">
        <v>0</v>
      </c>
      <c r="K150" t="n">
        <v>0.1</v>
      </c>
      <c r="L150" t="n">
        <v>0.05555556</v>
      </c>
      <c r="M150" t="n">
        <v>0.15555556</v>
      </c>
      <c r="N150" t="n">
        <v>2.00277778</v>
      </c>
      <c r="O150" t="n">
        <v>66.091667</v>
      </c>
      <c r="P150" t="n">
        <v>0.16666667</v>
      </c>
      <c r="Q150" t="n">
        <v>0.09090909</v>
      </c>
      <c r="R150" t="n">
        <v>0.25757576</v>
      </c>
      <c r="S150" t="n">
        <v>0.82907197</v>
      </c>
      <c r="T150" t="n">
        <v>1.2885833</v>
      </c>
      <c r="U150" t="n">
        <v>42.523249</v>
      </c>
      <c r="V150" t="b">
        <v>1</v>
      </c>
      <c r="W150" t="n">
        <v>1</v>
      </c>
      <c r="X150" t="inlineStr">
        <is>
          <t>role_subrole_balanced_score = base_support_score * capped sqrt(avg_macro_multiplier * avg_subrole_multiplier); role/subrole quota constraints use inverse weights.</t>
        </is>
      </c>
    </row>
    <row r="151">
      <c r="A151" t="inlineStr">
        <is>
          <t>C0150</t>
        </is>
      </c>
      <c r="B151" t="inlineStr">
        <is>
          <t>x_0150</t>
        </is>
      </c>
      <c r="C151" t="inlineStr">
        <is>
          <t>Bundesagentur für Arbeit, Regionaldirektion Rheinland-Pfalz-Saarland</t>
        </is>
      </c>
      <c r="D151" t="inlineStr">
        <is>
          <t>implementation_anchor</t>
        </is>
      </c>
      <c r="E151" t="inlineStr">
        <is>
          <t>public_policy_anchor</t>
        </is>
      </c>
      <c r="F151" t="inlineStr">
        <is>
          <t>Hochschule Trier</t>
        </is>
      </c>
      <c r="G151" t="inlineStr">
        <is>
          <t>academic_support</t>
        </is>
      </c>
      <c r="H151" t="inlineStr">
        <is>
          <t>university_applied_sciences</t>
        </is>
      </c>
      <c r="I151" t="n">
        <v>33</v>
      </c>
      <c r="J151" t="n">
        <v>0</v>
      </c>
      <c r="K151" t="n">
        <v>0.1</v>
      </c>
      <c r="L151" t="n">
        <v>0.05555556</v>
      </c>
      <c r="M151" t="n">
        <v>0.15555556</v>
      </c>
      <c r="N151" t="n">
        <v>2.00277778</v>
      </c>
      <c r="O151" t="n">
        <v>66.091667</v>
      </c>
      <c r="P151" t="n">
        <v>0.16666667</v>
      </c>
      <c r="Q151" t="n">
        <v>0.09090909</v>
      </c>
      <c r="R151" t="n">
        <v>0.25757576</v>
      </c>
      <c r="S151" t="n">
        <v>0.82907197</v>
      </c>
      <c r="T151" t="n">
        <v>1.2885833</v>
      </c>
      <c r="U151" t="n">
        <v>42.523249</v>
      </c>
      <c r="V151" t="b">
        <v>1</v>
      </c>
      <c r="W151" t="n">
        <v>1</v>
      </c>
      <c r="X151" t="inlineStr">
        <is>
          <t>role_subrole_balanced_score = base_support_score * capped sqrt(avg_macro_multiplier * avg_subrole_multiplier); role/subrole quota constraints use inverse weights.</t>
        </is>
      </c>
    </row>
    <row r="152">
      <c r="A152" t="inlineStr">
        <is>
          <t>C0151</t>
        </is>
      </c>
      <c r="B152" t="inlineStr">
        <is>
          <t>x_0151</t>
        </is>
      </c>
      <c r="C152" t="inlineStr">
        <is>
          <t>Bundesagentur für Arbeit, Regionaldirektion Rheinland-Pfalz-Saarland</t>
        </is>
      </c>
      <c r="D152" t="inlineStr">
        <is>
          <t>implementation_anchor</t>
        </is>
      </c>
      <c r="E152" t="inlineStr">
        <is>
          <t>public_policy_anchor</t>
        </is>
      </c>
      <c r="F152" t="inlineStr">
        <is>
          <t>Hochschule Worms</t>
        </is>
      </c>
      <c r="G152" t="inlineStr">
        <is>
          <t>academic_support</t>
        </is>
      </c>
      <c r="H152" t="inlineStr">
        <is>
          <t>university_applied_sciences</t>
        </is>
      </c>
      <c r="I152" t="n">
        <v>33</v>
      </c>
      <c r="J152" t="n">
        <v>0</v>
      </c>
      <c r="K152" t="n">
        <v>0.1</v>
      </c>
      <c r="L152" t="n">
        <v>0.05555556</v>
      </c>
      <c r="M152" t="n">
        <v>0.15555556</v>
      </c>
      <c r="N152" t="n">
        <v>2.00277778</v>
      </c>
      <c r="O152" t="n">
        <v>66.091667</v>
      </c>
      <c r="P152" t="n">
        <v>0.16666667</v>
      </c>
      <c r="Q152" t="n">
        <v>0.09090909</v>
      </c>
      <c r="R152" t="n">
        <v>0.25757576</v>
      </c>
      <c r="S152" t="n">
        <v>0.82907197</v>
      </c>
      <c r="T152" t="n">
        <v>1.2885833</v>
      </c>
      <c r="U152" t="n">
        <v>42.523249</v>
      </c>
      <c r="V152" t="b">
        <v>1</v>
      </c>
      <c r="W152" t="n">
        <v>1</v>
      </c>
      <c r="X152" t="inlineStr">
        <is>
          <t>role_subrole_balanced_score = base_support_score * capped sqrt(avg_macro_multiplier * avg_subrole_multiplier); role/subrole quota constraints use inverse weights.</t>
        </is>
      </c>
    </row>
    <row r="153">
      <c r="A153" t="inlineStr">
        <is>
          <t>C0152</t>
        </is>
      </c>
      <c r="B153" t="inlineStr">
        <is>
          <t>x_0152</t>
        </is>
      </c>
      <c r="C153" t="inlineStr">
        <is>
          <t>Bundesagentur für Arbeit, Regionaldirektion Rheinland-Pfalz-Saarland</t>
        </is>
      </c>
      <c r="D153" t="inlineStr">
        <is>
          <t>implementation_anchor</t>
        </is>
      </c>
      <c r="E153" t="inlineStr">
        <is>
          <t>public_policy_anchor</t>
        </is>
      </c>
      <c r="F153" t="inlineStr">
        <is>
          <t>Hochschule für Wirtschaft und Gesellschaft Ludwigshafen</t>
        </is>
      </c>
      <c r="G153" t="inlineStr">
        <is>
          <t>academic_support</t>
        </is>
      </c>
      <c r="H153" t="inlineStr">
        <is>
          <t>university_applied_sciences</t>
        </is>
      </c>
      <c r="I153" t="n">
        <v>33</v>
      </c>
      <c r="J153" t="n">
        <v>0</v>
      </c>
      <c r="K153" t="n">
        <v>0.1</v>
      </c>
      <c r="L153" t="n">
        <v>0.05555556</v>
      </c>
      <c r="M153" t="n">
        <v>0.15555556</v>
      </c>
      <c r="N153" t="n">
        <v>2.00277778</v>
      </c>
      <c r="O153" t="n">
        <v>66.091667</v>
      </c>
      <c r="P153" t="n">
        <v>0.16666667</v>
      </c>
      <c r="Q153" t="n">
        <v>0.09090909</v>
      </c>
      <c r="R153" t="n">
        <v>0.25757576</v>
      </c>
      <c r="S153" t="n">
        <v>0.82907197</v>
      </c>
      <c r="T153" t="n">
        <v>1.2885833</v>
      </c>
      <c r="U153" t="n">
        <v>42.523249</v>
      </c>
      <c r="V153" t="b">
        <v>1</v>
      </c>
      <c r="W153" t="n">
        <v>1</v>
      </c>
      <c r="X153" t="inlineStr">
        <is>
          <t>role_subrole_balanced_score = base_support_score * capped sqrt(avg_macro_multiplier * avg_subrole_multiplier); role/subrole quota constraints use inverse weights.</t>
        </is>
      </c>
    </row>
    <row r="154">
      <c r="A154" t="inlineStr">
        <is>
          <t>C0153</t>
        </is>
      </c>
      <c r="B154" t="inlineStr">
        <is>
          <t>x_0153</t>
        </is>
      </c>
      <c r="C154" t="inlineStr">
        <is>
          <t>Bundesagentur für Arbeit, Regionaldirektion Rheinland-Pfalz-Saarland</t>
        </is>
      </c>
      <c r="D154" t="inlineStr">
        <is>
          <t>implementation_anchor</t>
        </is>
      </c>
      <c r="E154" t="inlineStr">
        <is>
          <t>public_policy_anchor</t>
        </is>
      </c>
      <c r="F154" t="inlineStr">
        <is>
          <t>Katholische Hochschule Mainz</t>
        </is>
      </c>
      <c r="G154" t="inlineStr">
        <is>
          <t>academic_support</t>
        </is>
      </c>
      <c r="H154" t="inlineStr">
        <is>
          <t>university_applied_sciences</t>
        </is>
      </c>
      <c r="I154" t="n">
        <v>33</v>
      </c>
      <c r="J154" t="n">
        <v>0</v>
      </c>
      <c r="K154" t="n">
        <v>0.1</v>
      </c>
      <c r="L154" t="n">
        <v>0.05555556</v>
      </c>
      <c r="M154" t="n">
        <v>0.15555556</v>
      </c>
      <c r="N154" t="n">
        <v>2.00277778</v>
      </c>
      <c r="O154" t="n">
        <v>66.091667</v>
      </c>
      <c r="P154" t="n">
        <v>0.16666667</v>
      </c>
      <c r="Q154" t="n">
        <v>0.09090909</v>
      </c>
      <c r="R154" t="n">
        <v>0.25757576</v>
      </c>
      <c r="S154" t="n">
        <v>0.82907197</v>
      </c>
      <c r="T154" t="n">
        <v>1.2885833</v>
      </c>
      <c r="U154" t="n">
        <v>42.523249</v>
      </c>
      <c r="V154" t="b">
        <v>1</v>
      </c>
      <c r="W154" t="n">
        <v>1</v>
      </c>
      <c r="X154" t="inlineStr">
        <is>
          <t>role_subrole_balanced_score = base_support_score * capped sqrt(avg_macro_multiplier * avg_subrole_multiplier); role/subrole quota constraints use inverse weights.</t>
        </is>
      </c>
    </row>
    <row r="155">
      <c r="A155" t="inlineStr">
        <is>
          <t>C0154</t>
        </is>
      </c>
      <c r="B155" t="inlineStr">
        <is>
          <t>x_0154</t>
        </is>
      </c>
      <c r="C155" t="inlineStr">
        <is>
          <t>Bundesagentur für Arbeit, Regionaldirektion Rheinland-Pfalz-Saarland</t>
        </is>
      </c>
      <c r="D155" t="inlineStr">
        <is>
          <t>implementation_anchor</t>
        </is>
      </c>
      <c r="E155" t="inlineStr">
        <is>
          <t>public_policy_anchor</t>
        </is>
      </c>
      <c r="F155" t="inlineStr">
        <is>
          <t>Vinzenz Pallotti University gGmbH</t>
        </is>
      </c>
      <c r="G155" t="inlineStr">
        <is>
          <t>academic_support</t>
        </is>
      </c>
      <c r="H155" t="inlineStr">
        <is>
          <t>university_research</t>
        </is>
      </c>
      <c r="I155" t="n">
        <v>33</v>
      </c>
      <c r="J155" t="n">
        <v>0</v>
      </c>
      <c r="K155" t="n">
        <v>0.1</v>
      </c>
      <c r="L155" t="n">
        <v>0.05555556</v>
      </c>
      <c r="M155" t="n">
        <v>0.15555556</v>
      </c>
      <c r="N155" t="n">
        <v>2.00277778</v>
      </c>
      <c r="O155" t="n">
        <v>66.091667</v>
      </c>
      <c r="P155" t="n">
        <v>0.16666667</v>
      </c>
      <c r="Q155" t="n">
        <v>0.14285714</v>
      </c>
      <c r="R155" t="n">
        <v>0.30952381</v>
      </c>
      <c r="S155" t="n">
        <v>0.99627976</v>
      </c>
      <c r="T155" t="n">
        <v>1.41256043</v>
      </c>
      <c r="U155" t="n">
        <v>46.614494</v>
      </c>
      <c r="V155" t="b">
        <v>1</v>
      </c>
      <c r="W155" t="n">
        <v>1</v>
      </c>
      <c r="X155" t="inlineStr">
        <is>
          <t>role_subrole_balanced_score = base_support_score * capped sqrt(avg_macro_multiplier * avg_subrole_multiplier); role/subrole quota constraints use inverse weights.</t>
        </is>
      </c>
    </row>
    <row r="156">
      <c r="A156" t="inlineStr">
        <is>
          <t>C0155</t>
        </is>
      </c>
      <c r="B156" t="inlineStr">
        <is>
          <t>x_0155</t>
        </is>
      </c>
      <c r="C156" t="inlineStr">
        <is>
          <t>Handwerkskammern Rheinland-Pfalz</t>
        </is>
      </c>
      <c r="D156" t="inlineStr">
        <is>
          <t>implementation_anchor</t>
        </is>
      </c>
      <c r="E156" t="inlineStr">
        <is>
          <t>chamber_association_anchor</t>
        </is>
      </c>
      <c r="F156" t="inlineStr">
        <is>
          <t>Hochschule Koblenz</t>
        </is>
      </c>
      <c r="G156" t="inlineStr">
        <is>
          <t>academic_support</t>
        </is>
      </c>
      <c r="H156" t="inlineStr">
        <is>
          <t>university_applied_sciences</t>
        </is>
      </c>
      <c r="I156" t="n">
        <v>33</v>
      </c>
      <c r="J156" t="n">
        <v>0</v>
      </c>
      <c r="K156" t="n">
        <v>0.1</v>
      </c>
      <c r="L156" t="n">
        <v>0.05555556</v>
      </c>
      <c r="M156" t="n">
        <v>0.15555556</v>
      </c>
      <c r="N156" t="n">
        <v>2.00277778</v>
      </c>
      <c r="O156" t="n">
        <v>66.091667</v>
      </c>
      <c r="P156" t="n">
        <v>0.25</v>
      </c>
      <c r="Q156" t="n">
        <v>0.09090909</v>
      </c>
      <c r="R156" t="n">
        <v>0.34090909</v>
      </c>
      <c r="S156" t="n">
        <v>1.09730114</v>
      </c>
      <c r="T156" t="n">
        <v>1.48244741</v>
      </c>
      <c r="U156" t="n">
        <v>48.920765</v>
      </c>
      <c r="V156" t="b">
        <v>1</v>
      </c>
      <c r="W156" t="n">
        <v>1</v>
      </c>
      <c r="X156" t="inlineStr">
        <is>
          <t>role_subrole_balanced_score = base_support_score * capped sqrt(avg_macro_multiplier * avg_subrole_multiplier); role/subrole quota constraints use inverse weights.</t>
        </is>
      </c>
    </row>
    <row r="157">
      <c r="A157" t="inlineStr">
        <is>
          <t>C0156</t>
        </is>
      </c>
      <c r="B157" t="inlineStr">
        <is>
          <t>x_0156</t>
        </is>
      </c>
      <c r="C157" t="inlineStr">
        <is>
          <t>Handwerkskammern Rheinland-Pfalz</t>
        </is>
      </c>
      <c r="D157" t="inlineStr">
        <is>
          <t>implementation_anchor</t>
        </is>
      </c>
      <c r="E157" t="inlineStr">
        <is>
          <t>chamber_association_anchor</t>
        </is>
      </c>
      <c r="F157" t="inlineStr">
        <is>
          <t>Hochschule Trier</t>
        </is>
      </c>
      <c r="G157" t="inlineStr">
        <is>
          <t>academic_support</t>
        </is>
      </c>
      <c r="H157" t="inlineStr">
        <is>
          <t>university_applied_sciences</t>
        </is>
      </c>
      <c r="I157" t="n">
        <v>33</v>
      </c>
      <c r="J157" t="n">
        <v>0</v>
      </c>
      <c r="K157" t="n">
        <v>0.1</v>
      </c>
      <c r="L157" t="n">
        <v>0.05555556</v>
      </c>
      <c r="M157" t="n">
        <v>0.15555556</v>
      </c>
      <c r="N157" t="n">
        <v>2.00277778</v>
      </c>
      <c r="O157" t="n">
        <v>66.091667</v>
      </c>
      <c r="P157" t="n">
        <v>0.25</v>
      </c>
      <c r="Q157" t="n">
        <v>0.09090909</v>
      </c>
      <c r="R157" t="n">
        <v>0.34090909</v>
      </c>
      <c r="S157" t="n">
        <v>1.09730114</v>
      </c>
      <c r="T157" t="n">
        <v>1.48244741</v>
      </c>
      <c r="U157" t="n">
        <v>48.920765</v>
      </c>
      <c r="V157" t="b">
        <v>1</v>
      </c>
      <c r="W157" t="n">
        <v>1</v>
      </c>
      <c r="X157" t="inlineStr">
        <is>
          <t>role_subrole_balanced_score = base_support_score * capped sqrt(avg_macro_multiplier * avg_subrole_multiplier); role/subrole quota constraints use inverse weights.</t>
        </is>
      </c>
    </row>
    <row r="158">
      <c r="A158" t="inlineStr">
        <is>
          <t>C0157</t>
        </is>
      </c>
      <c r="B158" t="inlineStr">
        <is>
          <t>x_0157</t>
        </is>
      </c>
      <c r="C158" t="inlineStr">
        <is>
          <t>Handwerkskammern Rheinland-Pfalz</t>
        </is>
      </c>
      <c r="D158" t="inlineStr">
        <is>
          <t>implementation_anchor</t>
        </is>
      </c>
      <c r="E158" t="inlineStr">
        <is>
          <t>chamber_association_anchor</t>
        </is>
      </c>
      <c r="F158" t="inlineStr">
        <is>
          <t>Hochschule Worms</t>
        </is>
      </c>
      <c r="G158" t="inlineStr">
        <is>
          <t>academic_support</t>
        </is>
      </c>
      <c r="H158" t="inlineStr">
        <is>
          <t>university_applied_sciences</t>
        </is>
      </c>
      <c r="I158" t="n">
        <v>33</v>
      </c>
      <c r="J158" t="n">
        <v>0</v>
      </c>
      <c r="K158" t="n">
        <v>0.1</v>
      </c>
      <c r="L158" t="n">
        <v>0.05555556</v>
      </c>
      <c r="M158" t="n">
        <v>0.15555556</v>
      </c>
      <c r="N158" t="n">
        <v>2.00277778</v>
      </c>
      <c r="O158" t="n">
        <v>66.091667</v>
      </c>
      <c r="P158" t="n">
        <v>0.25</v>
      </c>
      <c r="Q158" t="n">
        <v>0.09090909</v>
      </c>
      <c r="R158" t="n">
        <v>0.34090909</v>
      </c>
      <c r="S158" t="n">
        <v>1.09730114</v>
      </c>
      <c r="T158" t="n">
        <v>1.48244741</v>
      </c>
      <c r="U158" t="n">
        <v>48.920765</v>
      </c>
      <c r="V158" t="b">
        <v>1</v>
      </c>
      <c r="W158" t="n">
        <v>1</v>
      </c>
      <c r="X158" t="inlineStr">
        <is>
          <t>role_subrole_balanced_score = base_support_score * capped sqrt(avg_macro_multiplier * avg_subrole_multiplier); role/subrole quota constraints use inverse weights.</t>
        </is>
      </c>
    </row>
    <row r="159">
      <c r="A159" t="inlineStr">
        <is>
          <t>C0158</t>
        </is>
      </c>
      <c r="B159" t="inlineStr">
        <is>
          <t>x_0158</t>
        </is>
      </c>
      <c r="C159" t="inlineStr">
        <is>
          <t>Handwerkskammern Rheinland-Pfalz</t>
        </is>
      </c>
      <c r="D159" t="inlineStr">
        <is>
          <t>implementation_anchor</t>
        </is>
      </c>
      <c r="E159" t="inlineStr">
        <is>
          <t>chamber_association_anchor</t>
        </is>
      </c>
      <c r="F159" t="inlineStr">
        <is>
          <t>Hochschule für Wirtschaft und Gesellschaft Ludwigshafen</t>
        </is>
      </c>
      <c r="G159" t="inlineStr">
        <is>
          <t>academic_support</t>
        </is>
      </c>
      <c r="H159" t="inlineStr">
        <is>
          <t>university_applied_sciences</t>
        </is>
      </c>
      <c r="I159" t="n">
        <v>33</v>
      </c>
      <c r="J159" t="n">
        <v>0</v>
      </c>
      <c r="K159" t="n">
        <v>0.1</v>
      </c>
      <c r="L159" t="n">
        <v>0.05555556</v>
      </c>
      <c r="M159" t="n">
        <v>0.15555556</v>
      </c>
      <c r="N159" t="n">
        <v>2.00277778</v>
      </c>
      <c r="O159" t="n">
        <v>66.091667</v>
      </c>
      <c r="P159" t="n">
        <v>0.25</v>
      </c>
      <c r="Q159" t="n">
        <v>0.09090909</v>
      </c>
      <c r="R159" t="n">
        <v>0.34090909</v>
      </c>
      <c r="S159" t="n">
        <v>1.09730114</v>
      </c>
      <c r="T159" t="n">
        <v>1.48244741</v>
      </c>
      <c r="U159" t="n">
        <v>48.920765</v>
      </c>
      <c r="V159" t="b">
        <v>1</v>
      </c>
      <c r="W159" t="n">
        <v>1</v>
      </c>
      <c r="X159" t="inlineStr">
        <is>
          <t>role_subrole_balanced_score = base_support_score * capped sqrt(avg_macro_multiplier * avg_subrole_multiplier); role/subrole quota constraints use inverse weights.</t>
        </is>
      </c>
    </row>
    <row r="160">
      <c r="A160" t="inlineStr">
        <is>
          <t>C0159</t>
        </is>
      </c>
      <c r="B160" t="inlineStr">
        <is>
          <t>x_0159</t>
        </is>
      </c>
      <c r="C160" t="inlineStr">
        <is>
          <t>Handwerkskammern Rheinland-Pfalz</t>
        </is>
      </c>
      <c r="D160" t="inlineStr">
        <is>
          <t>implementation_anchor</t>
        </is>
      </c>
      <c r="E160" t="inlineStr">
        <is>
          <t>chamber_association_anchor</t>
        </is>
      </c>
      <c r="F160" t="inlineStr">
        <is>
          <t>Katholische Hochschule Mainz</t>
        </is>
      </c>
      <c r="G160" t="inlineStr">
        <is>
          <t>academic_support</t>
        </is>
      </c>
      <c r="H160" t="inlineStr">
        <is>
          <t>university_applied_sciences</t>
        </is>
      </c>
      <c r="I160" t="n">
        <v>33</v>
      </c>
      <c r="J160" t="n">
        <v>0</v>
      </c>
      <c r="K160" t="n">
        <v>0.1</v>
      </c>
      <c r="L160" t="n">
        <v>0.05555556</v>
      </c>
      <c r="M160" t="n">
        <v>0.15555556</v>
      </c>
      <c r="N160" t="n">
        <v>2.00277778</v>
      </c>
      <c r="O160" t="n">
        <v>66.091667</v>
      </c>
      <c r="P160" t="n">
        <v>0.25</v>
      </c>
      <c r="Q160" t="n">
        <v>0.09090909</v>
      </c>
      <c r="R160" t="n">
        <v>0.34090909</v>
      </c>
      <c r="S160" t="n">
        <v>1.09730114</v>
      </c>
      <c r="T160" t="n">
        <v>1.48244741</v>
      </c>
      <c r="U160" t="n">
        <v>48.920765</v>
      </c>
      <c r="V160" t="b">
        <v>1</v>
      </c>
      <c r="W160" t="n">
        <v>1</v>
      </c>
      <c r="X160" t="inlineStr">
        <is>
          <t>role_subrole_balanced_score = base_support_score * capped sqrt(avg_macro_multiplier * avg_subrole_multiplier); role/subrole quota constraints use inverse weights.</t>
        </is>
      </c>
    </row>
    <row r="161">
      <c r="A161" t="inlineStr">
        <is>
          <t>C0160</t>
        </is>
      </c>
      <c r="B161" t="inlineStr">
        <is>
          <t>x_0160</t>
        </is>
      </c>
      <c r="C161" t="inlineStr">
        <is>
          <t>Handwerkskammern Rheinland-Pfalz</t>
        </is>
      </c>
      <c r="D161" t="inlineStr">
        <is>
          <t>implementation_anchor</t>
        </is>
      </c>
      <c r="E161" t="inlineStr">
        <is>
          <t>chamber_association_anchor</t>
        </is>
      </c>
      <c r="F161" t="inlineStr">
        <is>
          <t>Vinzenz Pallotti University gGmbH</t>
        </is>
      </c>
      <c r="G161" t="inlineStr">
        <is>
          <t>academic_support</t>
        </is>
      </c>
      <c r="H161" t="inlineStr">
        <is>
          <t>university_research</t>
        </is>
      </c>
      <c r="I161" t="n">
        <v>33</v>
      </c>
      <c r="J161" t="n">
        <v>0</v>
      </c>
      <c r="K161" t="n">
        <v>0.1</v>
      </c>
      <c r="L161" t="n">
        <v>0.05555556</v>
      </c>
      <c r="M161" t="n">
        <v>0.15555556</v>
      </c>
      <c r="N161" t="n">
        <v>2.00277778</v>
      </c>
      <c r="O161" t="n">
        <v>66.091667</v>
      </c>
      <c r="P161" t="n">
        <v>0.25</v>
      </c>
      <c r="Q161" t="n">
        <v>0.14285714</v>
      </c>
      <c r="R161" t="n">
        <v>0.39285714</v>
      </c>
      <c r="S161" t="n">
        <v>1.26450893</v>
      </c>
      <c r="T161" t="n">
        <v>1.59139259</v>
      </c>
      <c r="U161" t="n">
        <v>52.515956</v>
      </c>
      <c r="V161" t="b">
        <v>1</v>
      </c>
      <c r="W161" t="n">
        <v>1</v>
      </c>
      <c r="X161" t="inlineStr">
        <is>
          <t>role_subrole_balanced_score = base_support_score * capped sqrt(avg_macro_multiplier * avg_subrole_multiplier); role/subrole quota constraints use inverse weights.</t>
        </is>
      </c>
    </row>
    <row r="162">
      <c r="A162" t="inlineStr">
        <is>
          <t>C0161</t>
        </is>
      </c>
      <c r="B162" t="inlineStr">
        <is>
          <t>x_0161</t>
        </is>
      </c>
      <c r="C162" t="inlineStr">
        <is>
          <t>Deutsche Telekom AG</t>
        </is>
      </c>
      <c r="D162" t="inlineStr">
        <is>
          <t>profit_anchor</t>
        </is>
      </c>
      <c r="E162" t="inlineStr">
        <is>
          <t>technology_digital_anchor</t>
        </is>
      </c>
      <c r="F162" t="inlineStr">
        <is>
          <t>Rheinland-Pfälzische Technische Universität Kaiserslautern-Landau (RPTU)</t>
        </is>
      </c>
      <c r="G162" t="inlineStr">
        <is>
          <t>academic_support</t>
        </is>
      </c>
      <c r="H162" t="inlineStr">
        <is>
          <t>university_research</t>
        </is>
      </c>
      <c r="I162" t="n">
        <v>32</v>
      </c>
      <c r="J162" t="n">
        <v>0</v>
      </c>
      <c r="K162" t="n">
        <v>0.02040816</v>
      </c>
      <c r="L162" t="n">
        <v>0.05555556</v>
      </c>
      <c r="M162" t="n">
        <v>0.07596372</v>
      </c>
      <c r="N162" t="n">
        <v>0.97803288</v>
      </c>
      <c r="O162" t="n">
        <v>31.297052</v>
      </c>
      <c r="P162" t="n">
        <v>0.11111111</v>
      </c>
      <c r="Q162" t="n">
        <v>0.14285714</v>
      </c>
      <c r="R162" t="n">
        <v>0.25396825</v>
      </c>
      <c r="S162" t="n">
        <v>0.81746032</v>
      </c>
      <c r="T162" t="n">
        <v>0.89414935</v>
      </c>
      <c r="U162" t="n">
        <v>28.612779</v>
      </c>
      <c r="V162" t="b">
        <v>1</v>
      </c>
      <c r="W162" t="n">
        <v>1</v>
      </c>
      <c r="X162" t="inlineStr">
        <is>
          <t>role_subrole_balanced_score = base_support_score * capped sqrt(avg_macro_multiplier * avg_subrole_multiplier); role/subrole quota constraints use inverse weights.</t>
        </is>
      </c>
    </row>
    <row r="163">
      <c r="A163" t="inlineStr">
        <is>
          <t>C0162</t>
        </is>
      </c>
      <c r="B163" t="inlineStr">
        <is>
          <t>x_0162</t>
        </is>
      </c>
      <c r="C163" t="inlineStr">
        <is>
          <t>Deutsche Telekom AG</t>
        </is>
      </c>
      <c r="D163" t="inlineStr">
        <is>
          <t>profit_anchor</t>
        </is>
      </c>
      <c r="E163" t="inlineStr">
        <is>
          <t>technology_digital_anchor</t>
        </is>
      </c>
      <c r="F163" t="inlineStr">
        <is>
          <t>Staatskanzlei des Landes Rheinland-Pfalz</t>
        </is>
      </c>
      <c r="G163" t="inlineStr">
        <is>
          <t>context_actor</t>
        </is>
      </c>
      <c r="H163" t="inlineStr">
        <is>
          <t>public_policy_anchor</t>
        </is>
      </c>
      <c r="I163" t="n">
        <v>32</v>
      </c>
      <c r="J163" t="n">
        <v>0</v>
      </c>
      <c r="K163" t="n">
        <v>0.02040816</v>
      </c>
      <c r="L163" t="n">
        <v>0.03846154</v>
      </c>
      <c r="M163" t="n">
        <v>0.0588697</v>
      </c>
      <c r="N163" t="n">
        <v>0.75794741</v>
      </c>
      <c r="O163" t="n">
        <v>24.254317</v>
      </c>
      <c r="P163" t="n">
        <v>0.11111111</v>
      </c>
      <c r="Q163" t="n">
        <v>0.16666667</v>
      </c>
      <c r="R163" t="n">
        <v>0.27777778</v>
      </c>
      <c r="S163" t="n">
        <v>0.89409722</v>
      </c>
      <c r="T163" t="n">
        <v>0.82321241</v>
      </c>
      <c r="U163" t="n">
        <v>26.342797</v>
      </c>
      <c r="V163" t="b">
        <v>0</v>
      </c>
      <c r="W163" t="n">
        <v>0</v>
      </c>
      <c r="X163" t="inlineStr">
        <is>
          <t>role_subrole_balanced_score = base_support_score * capped sqrt(avg_macro_multiplier * avg_subrole_multiplier); role/subrole quota constraints use inverse weights.</t>
        </is>
      </c>
    </row>
    <row r="164">
      <c r="A164" t="inlineStr">
        <is>
          <t>C0163</t>
        </is>
      </c>
      <c r="B164" t="inlineStr">
        <is>
          <t>x_0163</t>
        </is>
      </c>
      <c r="C164" t="inlineStr">
        <is>
          <t>Deutsche Telekom AG</t>
        </is>
      </c>
      <c r="D164" t="inlineStr">
        <is>
          <t>profit_anchor</t>
        </is>
      </c>
      <c r="E164" t="inlineStr">
        <is>
          <t>technology_digital_anchor</t>
        </is>
      </c>
      <c r="F164" t="inlineStr">
        <is>
          <t>TÜV Rheinland Berlin Brandenburg Pfalz e.V.</t>
        </is>
      </c>
      <c r="G164" t="inlineStr">
        <is>
          <t>context_actor</t>
        </is>
      </c>
      <c r="H164" t="inlineStr">
        <is>
          <t>chamber_association_anchor</t>
        </is>
      </c>
      <c r="I164" t="n">
        <v>32</v>
      </c>
      <c r="J164" t="n">
        <v>0</v>
      </c>
      <c r="K164" t="n">
        <v>0.02040816</v>
      </c>
      <c r="L164" t="n">
        <v>0.03846154</v>
      </c>
      <c r="M164" t="n">
        <v>0.0588697</v>
      </c>
      <c r="N164" t="n">
        <v>0.75794741</v>
      </c>
      <c r="O164" t="n">
        <v>24.254317</v>
      </c>
      <c r="P164" t="n">
        <v>0.11111111</v>
      </c>
      <c r="Q164" t="n">
        <v>0.25</v>
      </c>
      <c r="R164" t="n">
        <v>0.36111111</v>
      </c>
      <c r="S164" t="n">
        <v>1.16232639</v>
      </c>
      <c r="T164" t="n">
        <v>0.93860656</v>
      </c>
      <c r="U164" t="n">
        <v>30.03541</v>
      </c>
      <c r="V164" t="b">
        <v>0</v>
      </c>
      <c r="W164" t="n">
        <v>0</v>
      </c>
      <c r="X164" t="inlineStr">
        <is>
          <t>role_subrole_balanced_score = base_support_score * capped sqrt(avg_macro_multiplier * avg_subrole_multiplier); role/subrole quota constraints use inverse weights.</t>
        </is>
      </c>
    </row>
    <row r="165">
      <c r="A165" t="inlineStr">
        <is>
          <t>C0164</t>
        </is>
      </c>
      <c r="B165" t="inlineStr">
        <is>
          <t>x_0164</t>
        </is>
      </c>
      <c r="C165" t="inlineStr">
        <is>
          <t>ENTEGA Plus GmbH</t>
        </is>
      </c>
      <c r="D165" t="inlineStr">
        <is>
          <t>profit_anchor</t>
        </is>
      </c>
      <c r="E165" t="inlineStr">
        <is>
          <t>energy_infrastructure_anchor</t>
        </is>
      </c>
      <c r="F165" t="inlineStr">
        <is>
          <t>Rheinland-Pfälzische Technische Universität Kaiserslautern-Landau (RPTU)</t>
        </is>
      </c>
      <c r="G165" t="inlineStr">
        <is>
          <t>academic_support</t>
        </is>
      </c>
      <c r="H165" t="inlineStr">
        <is>
          <t>university_research</t>
        </is>
      </c>
      <c r="I165" t="n">
        <v>32</v>
      </c>
      <c r="J165" t="n">
        <v>0</v>
      </c>
      <c r="K165" t="n">
        <v>0.02040816</v>
      </c>
      <c r="L165" t="n">
        <v>0.05555556</v>
      </c>
      <c r="M165" t="n">
        <v>0.07596372</v>
      </c>
      <c r="N165" t="n">
        <v>0.97803288</v>
      </c>
      <c r="O165" t="n">
        <v>31.297052</v>
      </c>
      <c r="P165" t="n">
        <v>0.11111111</v>
      </c>
      <c r="Q165" t="n">
        <v>0.14285714</v>
      </c>
      <c r="R165" t="n">
        <v>0.25396825</v>
      </c>
      <c r="S165" t="n">
        <v>0.81746032</v>
      </c>
      <c r="T165" t="n">
        <v>0.89414935</v>
      </c>
      <c r="U165" t="n">
        <v>28.612779</v>
      </c>
      <c r="V165" t="b">
        <v>1</v>
      </c>
      <c r="W165" t="n">
        <v>1</v>
      </c>
      <c r="X165" t="inlineStr">
        <is>
          <t>role_subrole_balanced_score = base_support_score * capped sqrt(avg_macro_multiplier * avg_subrole_multiplier); role/subrole quota constraints use inverse weights.</t>
        </is>
      </c>
    </row>
    <row r="166">
      <c r="A166" t="inlineStr">
        <is>
          <t>C0165</t>
        </is>
      </c>
      <c r="B166" t="inlineStr">
        <is>
          <t>x_0165</t>
        </is>
      </c>
      <c r="C166" t="inlineStr">
        <is>
          <t>ENTEGA Plus GmbH</t>
        </is>
      </c>
      <c r="D166" t="inlineStr">
        <is>
          <t>profit_anchor</t>
        </is>
      </c>
      <c r="E166" t="inlineStr">
        <is>
          <t>energy_infrastructure_anchor</t>
        </is>
      </c>
      <c r="F166" t="inlineStr">
        <is>
          <t>Staatskanzlei des Landes Rheinland-Pfalz</t>
        </is>
      </c>
      <c r="G166" t="inlineStr">
        <is>
          <t>context_actor</t>
        </is>
      </c>
      <c r="H166" t="inlineStr">
        <is>
          <t>public_policy_anchor</t>
        </is>
      </c>
      <c r="I166" t="n">
        <v>32</v>
      </c>
      <c r="J166" t="n">
        <v>0</v>
      </c>
      <c r="K166" t="n">
        <v>0.02040816</v>
      </c>
      <c r="L166" t="n">
        <v>0.03846154</v>
      </c>
      <c r="M166" t="n">
        <v>0.0588697</v>
      </c>
      <c r="N166" t="n">
        <v>0.75794741</v>
      </c>
      <c r="O166" t="n">
        <v>24.254317</v>
      </c>
      <c r="P166" t="n">
        <v>0.11111111</v>
      </c>
      <c r="Q166" t="n">
        <v>0.16666667</v>
      </c>
      <c r="R166" t="n">
        <v>0.27777778</v>
      </c>
      <c r="S166" t="n">
        <v>0.89409722</v>
      </c>
      <c r="T166" t="n">
        <v>0.82321241</v>
      </c>
      <c r="U166" t="n">
        <v>26.342797</v>
      </c>
      <c r="V166" t="b">
        <v>0</v>
      </c>
      <c r="W166" t="n">
        <v>0</v>
      </c>
      <c r="X166" t="inlineStr">
        <is>
          <t>role_subrole_balanced_score = base_support_score * capped sqrt(avg_macro_multiplier * avg_subrole_multiplier); role/subrole quota constraints use inverse weights.</t>
        </is>
      </c>
    </row>
    <row r="167">
      <c r="A167" t="inlineStr">
        <is>
          <t>C0166</t>
        </is>
      </c>
      <c r="B167" t="inlineStr">
        <is>
          <t>x_0166</t>
        </is>
      </c>
      <c r="C167" t="inlineStr">
        <is>
          <t>ENTEGA Plus GmbH</t>
        </is>
      </c>
      <c r="D167" t="inlineStr">
        <is>
          <t>profit_anchor</t>
        </is>
      </c>
      <c r="E167" t="inlineStr">
        <is>
          <t>energy_infrastructure_anchor</t>
        </is>
      </c>
      <c r="F167" t="inlineStr">
        <is>
          <t>TÜV Rheinland Berlin Brandenburg Pfalz e.V.</t>
        </is>
      </c>
      <c r="G167" t="inlineStr">
        <is>
          <t>context_actor</t>
        </is>
      </c>
      <c r="H167" t="inlineStr">
        <is>
          <t>chamber_association_anchor</t>
        </is>
      </c>
      <c r="I167" t="n">
        <v>32</v>
      </c>
      <c r="J167" t="n">
        <v>0</v>
      </c>
      <c r="K167" t="n">
        <v>0.02040816</v>
      </c>
      <c r="L167" t="n">
        <v>0.03846154</v>
      </c>
      <c r="M167" t="n">
        <v>0.0588697</v>
      </c>
      <c r="N167" t="n">
        <v>0.75794741</v>
      </c>
      <c r="O167" t="n">
        <v>24.254317</v>
      </c>
      <c r="P167" t="n">
        <v>0.11111111</v>
      </c>
      <c r="Q167" t="n">
        <v>0.25</v>
      </c>
      <c r="R167" t="n">
        <v>0.36111111</v>
      </c>
      <c r="S167" t="n">
        <v>1.16232639</v>
      </c>
      <c r="T167" t="n">
        <v>0.93860656</v>
      </c>
      <c r="U167" t="n">
        <v>30.03541</v>
      </c>
      <c r="V167" t="b">
        <v>0</v>
      </c>
      <c r="W167" t="n">
        <v>0</v>
      </c>
      <c r="X167" t="inlineStr">
        <is>
          <t>role_subrole_balanced_score = base_support_score * capped sqrt(avg_macro_multiplier * avg_subrole_multiplier); role/subrole quota constraints use inverse weights.</t>
        </is>
      </c>
    </row>
    <row r="168">
      <c r="A168" t="inlineStr">
        <is>
          <t>C0167</t>
        </is>
      </c>
      <c r="B168" t="inlineStr">
        <is>
          <t>x_0167</t>
        </is>
      </c>
      <c r="C168" t="inlineStr">
        <is>
          <t>Mainzer Stadtwerke AG</t>
        </is>
      </c>
      <c r="D168" t="inlineStr">
        <is>
          <t>profit_anchor</t>
        </is>
      </c>
      <c r="E168" t="inlineStr">
        <is>
          <t>energy_infrastructure_anchor</t>
        </is>
      </c>
      <c r="F168" t="inlineStr">
        <is>
          <t>Rheinland-Pfälzische Technische Universität Kaiserslautern-Landau (RPTU)</t>
        </is>
      </c>
      <c r="G168" t="inlineStr">
        <is>
          <t>academic_support</t>
        </is>
      </c>
      <c r="H168" t="inlineStr">
        <is>
          <t>university_research</t>
        </is>
      </c>
      <c r="I168" t="n">
        <v>32</v>
      </c>
      <c r="J168" t="n">
        <v>0</v>
      </c>
      <c r="K168" t="n">
        <v>0.02040816</v>
      </c>
      <c r="L168" t="n">
        <v>0.05555556</v>
      </c>
      <c r="M168" t="n">
        <v>0.07596372</v>
      </c>
      <c r="N168" t="n">
        <v>0.97803288</v>
      </c>
      <c r="O168" t="n">
        <v>31.297052</v>
      </c>
      <c r="P168" t="n">
        <v>0.11111111</v>
      </c>
      <c r="Q168" t="n">
        <v>0.14285714</v>
      </c>
      <c r="R168" t="n">
        <v>0.25396825</v>
      </c>
      <c r="S168" t="n">
        <v>0.81746032</v>
      </c>
      <c r="T168" t="n">
        <v>0.89414935</v>
      </c>
      <c r="U168" t="n">
        <v>28.612779</v>
      </c>
      <c r="V168" t="b">
        <v>1</v>
      </c>
      <c r="W168" t="n">
        <v>1</v>
      </c>
      <c r="X168" t="inlineStr">
        <is>
          <t>role_subrole_balanced_score = base_support_score * capped sqrt(avg_macro_multiplier * avg_subrole_multiplier); role/subrole quota constraints use inverse weights.</t>
        </is>
      </c>
    </row>
    <row r="169">
      <c r="A169" t="inlineStr">
        <is>
          <t>C0168</t>
        </is>
      </c>
      <c r="B169" t="inlineStr">
        <is>
          <t>x_0168</t>
        </is>
      </c>
      <c r="C169" t="inlineStr">
        <is>
          <t>Mainzer Stadtwerke AG</t>
        </is>
      </c>
      <c r="D169" t="inlineStr">
        <is>
          <t>profit_anchor</t>
        </is>
      </c>
      <c r="E169" t="inlineStr">
        <is>
          <t>energy_infrastructure_anchor</t>
        </is>
      </c>
      <c r="F169" t="inlineStr">
        <is>
          <t>Staatskanzlei des Landes Rheinland-Pfalz</t>
        </is>
      </c>
      <c r="G169" t="inlineStr">
        <is>
          <t>context_actor</t>
        </is>
      </c>
      <c r="H169" t="inlineStr">
        <is>
          <t>public_policy_anchor</t>
        </is>
      </c>
      <c r="I169" t="n">
        <v>32</v>
      </c>
      <c r="J169" t="n">
        <v>0</v>
      </c>
      <c r="K169" t="n">
        <v>0.02040816</v>
      </c>
      <c r="L169" t="n">
        <v>0.03846154</v>
      </c>
      <c r="M169" t="n">
        <v>0.0588697</v>
      </c>
      <c r="N169" t="n">
        <v>0.75794741</v>
      </c>
      <c r="O169" t="n">
        <v>24.254317</v>
      </c>
      <c r="P169" t="n">
        <v>0.11111111</v>
      </c>
      <c r="Q169" t="n">
        <v>0.16666667</v>
      </c>
      <c r="R169" t="n">
        <v>0.27777778</v>
      </c>
      <c r="S169" t="n">
        <v>0.89409722</v>
      </c>
      <c r="T169" t="n">
        <v>0.82321241</v>
      </c>
      <c r="U169" t="n">
        <v>26.342797</v>
      </c>
      <c r="V169" t="b">
        <v>0</v>
      </c>
      <c r="W169" t="n">
        <v>0</v>
      </c>
      <c r="X169" t="inlineStr">
        <is>
          <t>role_subrole_balanced_score = base_support_score * capped sqrt(avg_macro_multiplier * avg_subrole_multiplier); role/subrole quota constraints use inverse weights.</t>
        </is>
      </c>
    </row>
    <row r="170">
      <c r="A170" t="inlineStr">
        <is>
          <t>C0169</t>
        </is>
      </c>
      <c r="B170" t="inlineStr">
        <is>
          <t>x_0169</t>
        </is>
      </c>
      <c r="C170" t="inlineStr">
        <is>
          <t>Mainzer Stadtwerke AG</t>
        </is>
      </c>
      <c r="D170" t="inlineStr">
        <is>
          <t>profit_anchor</t>
        </is>
      </c>
      <c r="E170" t="inlineStr">
        <is>
          <t>energy_infrastructure_anchor</t>
        </is>
      </c>
      <c r="F170" t="inlineStr">
        <is>
          <t>TÜV Rheinland Berlin Brandenburg Pfalz e.V.</t>
        </is>
      </c>
      <c r="G170" t="inlineStr">
        <is>
          <t>context_actor</t>
        </is>
      </c>
      <c r="H170" t="inlineStr">
        <is>
          <t>chamber_association_anchor</t>
        </is>
      </c>
      <c r="I170" t="n">
        <v>32</v>
      </c>
      <c r="J170" t="n">
        <v>0</v>
      </c>
      <c r="K170" t="n">
        <v>0.02040816</v>
      </c>
      <c r="L170" t="n">
        <v>0.03846154</v>
      </c>
      <c r="M170" t="n">
        <v>0.0588697</v>
      </c>
      <c r="N170" t="n">
        <v>0.75794741</v>
      </c>
      <c r="O170" t="n">
        <v>24.254317</v>
      </c>
      <c r="P170" t="n">
        <v>0.11111111</v>
      </c>
      <c r="Q170" t="n">
        <v>0.25</v>
      </c>
      <c r="R170" t="n">
        <v>0.36111111</v>
      </c>
      <c r="S170" t="n">
        <v>1.16232639</v>
      </c>
      <c r="T170" t="n">
        <v>0.93860656</v>
      </c>
      <c r="U170" t="n">
        <v>30.03541</v>
      </c>
      <c r="V170" t="b">
        <v>0</v>
      </c>
      <c r="W170" t="n">
        <v>0</v>
      </c>
      <c r="X170" t="inlineStr">
        <is>
          <t>role_subrole_balanced_score = base_support_score * capped sqrt(avg_macro_multiplier * avg_subrole_multiplier); role/subrole quota constraints use inverse weights.</t>
        </is>
      </c>
    </row>
    <row r="171">
      <c r="A171" t="inlineStr">
        <is>
          <t>C0170</t>
        </is>
      </c>
      <c r="B171" t="inlineStr">
        <is>
          <t>x_0170</t>
        </is>
      </c>
      <c r="C171" t="inlineStr">
        <is>
          <t>Pfalzwerke AG</t>
        </is>
      </c>
      <c r="D171" t="inlineStr">
        <is>
          <t>profit_anchor</t>
        </is>
      </c>
      <c r="E171" t="inlineStr">
        <is>
          <t>energy_infrastructure_anchor</t>
        </is>
      </c>
      <c r="F171" t="inlineStr">
        <is>
          <t>Rheinland-Pfälzische Technische Universität Kaiserslautern-Landau (RPTU)</t>
        </is>
      </c>
      <c r="G171" t="inlineStr">
        <is>
          <t>academic_support</t>
        </is>
      </c>
      <c r="H171" t="inlineStr">
        <is>
          <t>university_research</t>
        </is>
      </c>
      <c r="I171" t="n">
        <v>32</v>
      </c>
      <c r="J171" t="n">
        <v>0</v>
      </c>
      <c r="K171" t="n">
        <v>0.02040816</v>
      </c>
      <c r="L171" t="n">
        <v>0.05555556</v>
      </c>
      <c r="M171" t="n">
        <v>0.07596372</v>
      </c>
      <c r="N171" t="n">
        <v>0.97803288</v>
      </c>
      <c r="O171" t="n">
        <v>31.297052</v>
      </c>
      <c r="P171" t="n">
        <v>0.11111111</v>
      </c>
      <c r="Q171" t="n">
        <v>0.14285714</v>
      </c>
      <c r="R171" t="n">
        <v>0.25396825</v>
      </c>
      <c r="S171" t="n">
        <v>0.81746032</v>
      </c>
      <c r="T171" t="n">
        <v>0.89414935</v>
      </c>
      <c r="U171" t="n">
        <v>28.612779</v>
      </c>
      <c r="V171" t="b">
        <v>1</v>
      </c>
      <c r="W171" t="n">
        <v>1</v>
      </c>
      <c r="X171" t="inlineStr">
        <is>
          <t>role_subrole_balanced_score = base_support_score * capped sqrt(avg_macro_multiplier * avg_subrole_multiplier); role/subrole quota constraints use inverse weights.</t>
        </is>
      </c>
    </row>
    <row r="172">
      <c r="A172" t="inlineStr">
        <is>
          <t>C0171</t>
        </is>
      </c>
      <c r="B172" t="inlineStr">
        <is>
          <t>x_0171</t>
        </is>
      </c>
      <c r="C172" t="inlineStr">
        <is>
          <t>Pfalzwerke AG</t>
        </is>
      </c>
      <c r="D172" t="inlineStr">
        <is>
          <t>profit_anchor</t>
        </is>
      </c>
      <c r="E172" t="inlineStr">
        <is>
          <t>energy_infrastructure_anchor</t>
        </is>
      </c>
      <c r="F172" t="inlineStr">
        <is>
          <t>Staatskanzlei des Landes Rheinland-Pfalz</t>
        </is>
      </c>
      <c r="G172" t="inlineStr">
        <is>
          <t>context_actor</t>
        </is>
      </c>
      <c r="H172" t="inlineStr">
        <is>
          <t>public_policy_anchor</t>
        </is>
      </c>
      <c r="I172" t="n">
        <v>32</v>
      </c>
      <c r="J172" t="n">
        <v>0</v>
      </c>
      <c r="K172" t="n">
        <v>0.02040816</v>
      </c>
      <c r="L172" t="n">
        <v>0.03846154</v>
      </c>
      <c r="M172" t="n">
        <v>0.0588697</v>
      </c>
      <c r="N172" t="n">
        <v>0.75794741</v>
      </c>
      <c r="O172" t="n">
        <v>24.254317</v>
      </c>
      <c r="P172" t="n">
        <v>0.11111111</v>
      </c>
      <c r="Q172" t="n">
        <v>0.16666667</v>
      </c>
      <c r="R172" t="n">
        <v>0.27777778</v>
      </c>
      <c r="S172" t="n">
        <v>0.89409722</v>
      </c>
      <c r="T172" t="n">
        <v>0.82321241</v>
      </c>
      <c r="U172" t="n">
        <v>26.342797</v>
      </c>
      <c r="V172" t="b">
        <v>0</v>
      </c>
      <c r="W172" t="n">
        <v>0</v>
      </c>
      <c r="X172" t="inlineStr">
        <is>
          <t>role_subrole_balanced_score = base_support_score * capped sqrt(avg_macro_multiplier * avg_subrole_multiplier); role/subrole quota constraints use inverse weights.</t>
        </is>
      </c>
    </row>
    <row r="173">
      <c r="A173" t="inlineStr">
        <is>
          <t>C0172</t>
        </is>
      </c>
      <c r="B173" t="inlineStr">
        <is>
          <t>x_0172</t>
        </is>
      </c>
      <c r="C173" t="inlineStr">
        <is>
          <t>Pfalzwerke AG</t>
        </is>
      </c>
      <c r="D173" t="inlineStr">
        <is>
          <t>profit_anchor</t>
        </is>
      </c>
      <c r="E173" t="inlineStr">
        <is>
          <t>energy_infrastructure_anchor</t>
        </is>
      </c>
      <c r="F173" t="inlineStr">
        <is>
          <t>TÜV Rheinland Berlin Brandenburg Pfalz e.V.</t>
        </is>
      </c>
      <c r="G173" t="inlineStr">
        <is>
          <t>context_actor</t>
        </is>
      </c>
      <c r="H173" t="inlineStr">
        <is>
          <t>chamber_association_anchor</t>
        </is>
      </c>
      <c r="I173" t="n">
        <v>32</v>
      </c>
      <c r="J173" t="n">
        <v>0</v>
      </c>
      <c r="K173" t="n">
        <v>0.02040816</v>
      </c>
      <c r="L173" t="n">
        <v>0.03846154</v>
      </c>
      <c r="M173" t="n">
        <v>0.0588697</v>
      </c>
      <c r="N173" t="n">
        <v>0.75794741</v>
      </c>
      <c r="O173" t="n">
        <v>24.254317</v>
      </c>
      <c r="P173" t="n">
        <v>0.11111111</v>
      </c>
      <c r="Q173" t="n">
        <v>0.25</v>
      </c>
      <c r="R173" t="n">
        <v>0.36111111</v>
      </c>
      <c r="S173" t="n">
        <v>1.16232639</v>
      </c>
      <c r="T173" t="n">
        <v>0.93860656</v>
      </c>
      <c r="U173" t="n">
        <v>30.03541</v>
      </c>
      <c r="V173" t="b">
        <v>0</v>
      </c>
      <c r="W173" t="n">
        <v>0</v>
      </c>
      <c r="X173" t="inlineStr">
        <is>
          <t>role_subrole_balanced_score = base_support_score * capped sqrt(avg_macro_multiplier * avg_subrole_multiplier); role/subrole quota constraints use inverse weights.</t>
        </is>
      </c>
    </row>
    <row r="174">
      <c r="A174" t="inlineStr">
        <is>
          <t>C0173</t>
        </is>
      </c>
      <c r="B174" t="inlineStr">
        <is>
          <t>x_0173</t>
        </is>
      </c>
      <c r="C174" t="inlineStr">
        <is>
          <t>Rheinland-Pfälzische Technische Universität Kaiserslautern-Landau (RPTU)</t>
        </is>
      </c>
      <c r="D174" t="inlineStr">
        <is>
          <t>academic_support</t>
        </is>
      </c>
      <c r="E174" t="inlineStr">
        <is>
          <t>university_research</t>
        </is>
      </c>
      <c r="F174" t="inlineStr">
        <is>
          <t>Westenergie AG</t>
        </is>
      </c>
      <c r="G174" t="inlineStr">
        <is>
          <t>profit_anchor</t>
        </is>
      </c>
      <c r="H174" t="inlineStr">
        <is>
          <t>energy_infrastructure_anchor</t>
        </is>
      </c>
      <c r="I174" t="n">
        <v>32</v>
      </c>
      <c r="J174" t="n">
        <v>0</v>
      </c>
      <c r="K174" t="n">
        <v>0.05555556</v>
      </c>
      <c r="L174" t="n">
        <v>0.02040816</v>
      </c>
      <c r="M174" t="n">
        <v>0.07596372</v>
      </c>
      <c r="N174" t="n">
        <v>0.97803288</v>
      </c>
      <c r="O174" t="n">
        <v>31.297052</v>
      </c>
      <c r="P174" t="n">
        <v>0.14285714</v>
      </c>
      <c r="Q174" t="n">
        <v>0.11111111</v>
      </c>
      <c r="R174" t="n">
        <v>0.25396825</v>
      </c>
      <c r="S174" t="n">
        <v>0.81746032</v>
      </c>
      <c r="T174" t="n">
        <v>0.89414935</v>
      </c>
      <c r="U174" t="n">
        <v>28.612779</v>
      </c>
      <c r="V174" t="b">
        <v>1</v>
      </c>
      <c r="W174" t="n">
        <v>1</v>
      </c>
      <c r="X174" t="inlineStr">
        <is>
          <t>role_subrole_balanced_score = base_support_score * capped sqrt(avg_macro_multiplier * avg_subrole_multiplier); role/subrole quota constraints use inverse weights.</t>
        </is>
      </c>
    </row>
    <row r="175">
      <c r="A175" t="inlineStr">
        <is>
          <t>C0174</t>
        </is>
      </c>
      <c r="B175" t="inlineStr">
        <is>
          <t>x_0174</t>
        </is>
      </c>
      <c r="C175" t="inlineStr">
        <is>
          <t>Staatskanzlei des Landes Rheinland-Pfalz</t>
        </is>
      </c>
      <c r="D175" t="inlineStr">
        <is>
          <t>context_actor</t>
        </is>
      </c>
      <c r="E175" t="inlineStr">
        <is>
          <t>public_policy_anchor</t>
        </is>
      </c>
      <c r="F175" t="inlineStr">
        <is>
          <t>Westenergie AG</t>
        </is>
      </c>
      <c r="G175" t="inlineStr">
        <is>
          <t>profit_anchor</t>
        </is>
      </c>
      <c r="H175" t="inlineStr">
        <is>
          <t>energy_infrastructure_anchor</t>
        </is>
      </c>
      <c r="I175" t="n">
        <v>32</v>
      </c>
      <c r="J175" t="n">
        <v>0</v>
      </c>
      <c r="K175" t="n">
        <v>0.03846154</v>
      </c>
      <c r="L175" t="n">
        <v>0.02040816</v>
      </c>
      <c r="M175" t="n">
        <v>0.0588697</v>
      </c>
      <c r="N175" t="n">
        <v>0.75794741</v>
      </c>
      <c r="O175" t="n">
        <v>24.254317</v>
      </c>
      <c r="P175" t="n">
        <v>0.16666667</v>
      </c>
      <c r="Q175" t="n">
        <v>0.11111111</v>
      </c>
      <c r="R175" t="n">
        <v>0.27777778</v>
      </c>
      <c r="S175" t="n">
        <v>0.89409722</v>
      </c>
      <c r="T175" t="n">
        <v>0.82321241</v>
      </c>
      <c r="U175" t="n">
        <v>26.342797</v>
      </c>
      <c r="V175" t="b">
        <v>0</v>
      </c>
      <c r="W175" t="n">
        <v>0</v>
      </c>
      <c r="X175" t="inlineStr">
        <is>
          <t>role_subrole_balanced_score = base_support_score * capped sqrt(avg_macro_multiplier * avg_subrole_multiplier); role/subrole quota constraints use inverse weights.</t>
        </is>
      </c>
    </row>
    <row r="176">
      <c r="A176" t="inlineStr">
        <is>
          <t>C0175</t>
        </is>
      </c>
      <c r="B176" t="inlineStr">
        <is>
          <t>x_0175</t>
        </is>
      </c>
      <c r="C176" t="inlineStr">
        <is>
          <t>TÜV Rheinland Berlin Brandenburg Pfalz e.V.</t>
        </is>
      </c>
      <c r="D176" t="inlineStr">
        <is>
          <t>context_actor</t>
        </is>
      </c>
      <c r="E176" t="inlineStr">
        <is>
          <t>chamber_association_anchor</t>
        </is>
      </c>
      <c r="F176" t="inlineStr">
        <is>
          <t>Westenergie AG</t>
        </is>
      </c>
      <c r="G176" t="inlineStr">
        <is>
          <t>profit_anchor</t>
        </is>
      </c>
      <c r="H176" t="inlineStr">
        <is>
          <t>energy_infrastructure_anchor</t>
        </is>
      </c>
      <c r="I176" t="n">
        <v>32</v>
      </c>
      <c r="J176" t="n">
        <v>0</v>
      </c>
      <c r="K176" t="n">
        <v>0.03846154</v>
      </c>
      <c r="L176" t="n">
        <v>0.02040816</v>
      </c>
      <c r="M176" t="n">
        <v>0.0588697</v>
      </c>
      <c r="N176" t="n">
        <v>0.75794741</v>
      </c>
      <c r="O176" t="n">
        <v>24.254317</v>
      </c>
      <c r="P176" t="n">
        <v>0.25</v>
      </c>
      <c r="Q176" t="n">
        <v>0.11111111</v>
      </c>
      <c r="R176" t="n">
        <v>0.36111111</v>
      </c>
      <c r="S176" t="n">
        <v>1.16232639</v>
      </c>
      <c r="T176" t="n">
        <v>0.93860656</v>
      </c>
      <c r="U176" t="n">
        <v>30.03541</v>
      </c>
      <c r="V176" t="b">
        <v>0</v>
      </c>
      <c r="W176" t="n">
        <v>0</v>
      </c>
      <c r="X176" t="inlineStr">
        <is>
          <t>role_subrole_balanced_score = base_support_score * capped sqrt(avg_macro_multiplier * avg_subrole_multiplier); role/subrole quota constraints use inverse weights.</t>
        </is>
      </c>
    </row>
    <row r="177">
      <c r="A177" t="inlineStr">
        <is>
          <t>C0176</t>
        </is>
      </c>
      <c r="B177" t="inlineStr">
        <is>
          <t>x_0176</t>
        </is>
      </c>
      <c r="C177" t="inlineStr">
        <is>
          <t>Caritasverband für die Diözese Speyer e.V.</t>
        </is>
      </c>
      <c r="D177" t="inlineStr">
        <is>
          <t>implementation_anchor</t>
        </is>
      </c>
      <c r="E177" t="inlineStr">
        <is>
          <t>health_social_anchor</t>
        </is>
      </c>
      <c r="F177" t="inlineStr">
        <is>
          <t>Hochschule für Gesellschaftsgestaltung (HfGG)</t>
        </is>
      </c>
      <c r="G177" t="inlineStr">
        <is>
          <t>academic_support</t>
        </is>
      </c>
      <c r="H177" t="inlineStr">
        <is>
          <t>university_applied_sciences</t>
        </is>
      </c>
      <c r="I177" t="n">
        <v>32</v>
      </c>
      <c r="J177" t="n">
        <v>0</v>
      </c>
      <c r="K177" t="n">
        <v>0.1</v>
      </c>
      <c r="L177" t="n">
        <v>0.05555556</v>
      </c>
      <c r="M177" t="n">
        <v>0.15555556</v>
      </c>
      <c r="N177" t="n">
        <v>2.00277778</v>
      </c>
      <c r="O177" t="n">
        <v>64.08888899999999</v>
      </c>
      <c r="P177" t="n">
        <v>0.08333333</v>
      </c>
      <c r="Q177" t="n">
        <v>0.09090909</v>
      </c>
      <c r="R177" t="n">
        <v>0.17424242</v>
      </c>
      <c r="S177" t="n">
        <v>0.5608428</v>
      </c>
      <c r="T177" t="n">
        <v>1.05983183</v>
      </c>
      <c r="U177" t="n">
        <v>33.914618</v>
      </c>
      <c r="V177" t="b">
        <v>1</v>
      </c>
      <c r="W177" t="n">
        <v>1</v>
      </c>
      <c r="X177" t="inlineStr">
        <is>
          <t>role_subrole_balanced_score = base_support_score * capped sqrt(avg_macro_multiplier * avg_subrole_multiplier); role/subrole quota constraints use inverse weights.</t>
        </is>
      </c>
    </row>
    <row r="178">
      <c r="A178" t="inlineStr">
        <is>
          <t>C0177</t>
        </is>
      </c>
      <c r="B178" t="inlineStr">
        <is>
          <t>x_0177</t>
        </is>
      </c>
      <c r="C178" t="inlineStr">
        <is>
          <t>Caritasverband für die Diözese Speyer e.V.</t>
        </is>
      </c>
      <c r="D178" t="inlineStr">
        <is>
          <t>implementation_anchor</t>
        </is>
      </c>
      <c r="E178" t="inlineStr">
        <is>
          <t>health_social_anchor</t>
        </is>
      </c>
      <c r="F178" t="inlineStr">
        <is>
          <t>Johannes Gutenberg-Universität Mainz</t>
        </is>
      </c>
      <c r="G178" t="inlineStr">
        <is>
          <t>academic_support</t>
        </is>
      </c>
      <c r="H178" t="inlineStr">
        <is>
          <t>university_research</t>
        </is>
      </c>
      <c r="I178" t="n">
        <v>32</v>
      </c>
      <c r="J178" t="n">
        <v>0</v>
      </c>
      <c r="K178" t="n">
        <v>0.1</v>
      </c>
      <c r="L178" t="n">
        <v>0.05555556</v>
      </c>
      <c r="M178" t="n">
        <v>0.15555556</v>
      </c>
      <c r="N178" t="n">
        <v>2.00277778</v>
      </c>
      <c r="O178" t="n">
        <v>64.08888899999999</v>
      </c>
      <c r="P178" t="n">
        <v>0.08333333</v>
      </c>
      <c r="Q178" t="n">
        <v>0.14285714</v>
      </c>
      <c r="R178" t="n">
        <v>0.22619048</v>
      </c>
      <c r="S178" t="n">
        <v>0.7280506</v>
      </c>
      <c r="T178" t="n">
        <v>1.20752787</v>
      </c>
      <c r="U178" t="n">
        <v>38.640892</v>
      </c>
      <c r="V178" t="b">
        <v>1</v>
      </c>
      <c r="W178" t="n">
        <v>1</v>
      </c>
      <c r="X178" t="inlineStr">
        <is>
          <t>role_subrole_balanced_score = base_support_score * capped sqrt(avg_macro_multiplier * avg_subrole_multiplier); role/subrole quota constraints use inverse weights.</t>
        </is>
      </c>
    </row>
    <row r="179">
      <c r="A179" t="inlineStr">
        <is>
          <t>C0178</t>
        </is>
      </c>
      <c r="B179" t="inlineStr">
        <is>
          <t>x_0178</t>
        </is>
      </c>
      <c r="C179" t="inlineStr">
        <is>
          <t>Caritasverband für die Diözese Speyer e.V.</t>
        </is>
      </c>
      <c r="D179" t="inlineStr">
        <is>
          <t>implementation_anchor</t>
        </is>
      </c>
      <c r="E179" t="inlineStr">
        <is>
          <t>health_social_anchor</t>
        </is>
      </c>
      <c r="F179" t="inlineStr">
        <is>
          <t>Katholische Hochschule Mainz</t>
        </is>
      </c>
      <c r="G179" t="inlineStr">
        <is>
          <t>academic_support</t>
        </is>
      </c>
      <c r="H179" t="inlineStr">
        <is>
          <t>university_applied_sciences</t>
        </is>
      </c>
      <c r="I179" t="n">
        <v>32</v>
      </c>
      <c r="J179" t="n">
        <v>0</v>
      </c>
      <c r="K179" t="n">
        <v>0.1</v>
      </c>
      <c r="L179" t="n">
        <v>0.05555556</v>
      </c>
      <c r="M179" t="n">
        <v>0.15555556</v>
      </c>
      <c r="N179" t="n">
        <v>2.00277778</v>
      </c>
      <c r="O179" t="n">
        <v>64.08888899999999</v>
      </c>
      <c r="P179" t="n">
        <v>0.08333333</v>
      </c>
      <c r="Q179" t="n">
        <v>0.09090909</v>
      </c>
      <c r="R179" t="n">
        <v>0.17424242</v>
      </c>
      <c r="S179" t="n">
        <v>0.5608428</v>
      </c>
      <c r="T179" t="n">
        <v>1.05983183</v>
      </c>
      <c r="U179" t="n">
        <v>33.914618</v>
      </c>
      <c r="V179" t="b">
        <v>1</v>
      </c>
      <c r="W179" t="n">
        <v>1</v>
      </c>
      <c r="X179" t="inlineStr">
        <is>
          <t>role_subrole_balanced_score = base_support_score * capped sqrt(avg_macro_multiplier * avg_subrole_multiplier); role/subrole quota constraints use inverse weights.</t>
        </is>
      </c>
    </row>
    <row r="180">
      <c r="A180" t="inlineStr">
        <is>
          <t>C0179</t>
        </is>
      </c>
      <c r="B180" t="inlineStr">
        <is>
          <t>x_0179</t>
        </is>
      </c>
      <c r="C180" t="inlineStr">
        <is>
          <t>Caritasverband für die Diözese Speyer e.V.</t>
        </is>
      </c>
      <c r="D180" t="inlineStr">
        <is>
          <t>implementation_anchor</t>
        </is>
      </c>
      <c r="E180" t="inlineStr">
        <is>
          <t>health_social_anchor</t>
        </is>
      </c>
      <c r="F180" t="inlineStr">
        <is>
          <t>Universität Koblenz</t>
        </is>
      </c>
      <c r="G180" t="inlineStr">
        <is>
          <t>academic_support</t>
        </is>
      </c>
      <c r="H180" t="inlineStr">
        <is>
          <t>university_research</t>
        </is>
      </c>
      <c r="I180" t="n">
        <v>32</v>
      </c>
      <c r="J180" t="n">
        <v>0</v>
      </c>
      <c r="K180" t="n">
        <v>0.1</v>
      </c>
      <c r="L180" t="n">
        <v>0.05555556</v>
      </c>
      <c r="M180" t="n">
        <v>0.15555556</v>
      </c>
      <c r="N180" t="n">
        <v>2.00277778</v>
      </c>
      <c r="O180" t="n">
        <v>64.08888899999999</v>
      </c>
      <c r="P180" t="n">
        <v>0.08333333</v>
      </c>
      <c r="Q180" t="n">
        <v>0.14285714</v>
      </c>
      <c r="R180" t="n">
        <v>0.22619048</v>
      </c>
      <c r="S180" t="n">
        <v>0.7280506</v>
      </c>
      <c r="T180" t="n">
        <v>1.20752787</v>
      </c>
      <c r="U180" t="n">
        <v>38.640892</v>
      </c>
      <c r="V180" t="b">
        <v>1</v>
      </c>
      <c r="W180" t="n">
        <v>1</v>
      </c>
      <c r="X180" t="inlineStr">
        <is>
          <t>role_subrole_balanced_score = base_support_score * capped sqrt(avg_macro_multiplier * avg_subrole_multiplier); role/subrole quota constraints use inverse weights.</t>
        </is>
      </c>
    </row>
    <row r="181">
      <c r="A181" t="inlineStr">
        <is>
          <t>C0180</t>
        </is>
      </c>
      <c r="B181" t="inlineStr">
        <is>
          <t>x_0180</t>
        </is>
      </c>
      <c r="C181" t="inlineStr">
        <is>
          <t>Caritasverband für die Diözese Speyer e.V.</t>
        </is>
      </c>
      <c r="D181" t="inlineStr">
        <is>
          <t>implementation_anchor</t>
        </is>
      </c>
      <c r="E181" t="inlineStr">
        <is>
          <t>health_social_anchor</t>
        </is>
      </c>
      <c r="F181" t="inlineStr">
        <is>
          <t>Universität Trier</t>
        </is>
      </c>
      <c r="G181" t="inlineStr">
        <is>
          <t>academic_support</t>
        </is>
      </c>
      <c r="H181" t="inlineStr">
        <is>
          <t>university_research</t>
        </is>
      </c>
      <c r="I181" t="n">
        <v>32</v>
      </c>
      <c r="J181" t="n">
        <v>0</v>
      </c>
      <c r="K181" t="n">
        <v>0.1</v>
      </c>
      <c r="L181" t="n">
        <v>0.05555556</v>
      </c>
      <c r="M181" t="n">
        <v>0.15555556</v>
      </c>
      <c r="N181" t="n">
        <v>2.00277778</v>
      </c>
      <c r="O181" t="n">
        <v>64.08888899999999</v>
      </c>
      <c r="P181" t="n">
        <v>0.08333333</v>
      </c>
      <c r="Q181" t="n">
        <v>0.14285714</v>
      </c>
      <c r="R181" t="n">
        <v>0.22619048</v>
      </c>
      <c r="S181" t="n">
        <v>0.7280506</v>
      </c>
      <c r="T181" t="n">
        <v>1.20752787</v>
      </c>
      <c r="U181" t="n">
        <v>38.640892</v>
      </c>
      <c r="V181" t="b">
        <v>1</v>
      </c>
      <c r="W181" t="n">
        <v>1</v>
      </c>
      <c r="X181" t="inlineStr">
        <is>
          <t>role_subrole_balanced_score = base_support_score * capped sqrt(avg_macro_multiplier * avg_subrole_multiplier); role/subrole quota constraints use inverse weights.</t>
        </is>
      </c>
    </row>
    <row r="182">
      <c r="A182" t="inlineStr">
        <is>
          <t>C0181</t>
        </is>
      </c>
      <c r="B182" t="inlineStr">
        <is>
          <t>x_0181</t>
        </is>
      </c>
      <c r="C182" t="inlineStr">
        <is>
          <t>Deutsche Universität für Verwaltungswissenschaften Speyer</t>
        </is>
      </c>
      <c r="D182" t="inlineStr">
        <is>
          <t>academic_support</t>
        </is>
      </c>
      <c r="E182" t="inlineStr">
        <is>
          <t>university_research</t>
        </is>
      </c>
      <c r="F182" t="inlineStr">
        <is>
          <t>Entwicklungsagentur Rheinland-Pfalz e.V.</t>
        </is>
      </c>
      <c r="G182" t="inlineStr">
        <is>
          <t>implementation_anchor</t>
        </is>
      </c>
      <c r="H182" t="inlineStr">
        <is>
          <t>public_policy_anchor</t>
        </is>
      </c>
      <c r="I182" t="n">
        <v>32</v>
      </c>
      <c r="J182" t="n">
        <v>0</v>
      </c>
      <c r="K182" t="n">
        <v>0.05555556</v>
      </c>
      <c r="L182" t="n">
        <v>0.1</v>
      </c>
      <c r="M182" t="n">
        <v>0.15555556</v>
      </c>
      <c r="N182" t="n">
        <v>2.00277778</v>
      </c>
      <c r="O182" t="n">
        <v>64.08888899999999</v>
      </c>
      <c r="P182" t="n">
        <v>0.14285714</v>
      </c>
      <c r="Q182" t="n">
        <v>0.16666667</v>
      </c>
      <c r="R182" t="n">
        <v>0.30952381</v>
      </c>
      <c r="S182" t="n">
        <v>0.99627976</v>
      </c>
      <c r="T182" t="n">
        <v>1.41256043</v>
      </c>
      <c r="U182" t="n">
        <v>45.201934</v>
      </c>
      <c r="V182" t="b">
        <v>1</v>
      </c>
      <c r="W182" t="n">
        <v>1</v>
      </c>
      <c r="X182" t="inlineStr">
        <is>
          <t>role_subrole_balanced_score = base_support_score * capped sqrt(avg_macro_multiplier * avg_subrole_multiplier); role/subrole quota constraints use inverse weights.</t>
        </is>
      </c>
    </row>
    <row r="183">
      <c r="A183" t="inlineStr">
        <is>
          <t>C0182</t>
        </is>
      </c>
      <c r="B183" t="inlineStr">
        <is>
          <t>x_0182</t>
        </is>
      </c>
      <c r="C183" t="inlineStr">
        <is>
          <t>Entwicklungsagentur Rheinland-Pfalz e.V.</t>
        </is>
      </c>
      <c r="D183" t="inlineStr">
        <is>
          <t>implementation_anchor</t>
        </is>
      </c>
      <c r="E183" t="inlineStr">
        <is>
          <t>public_policy_anchor</t>
        </is>
      </c>
      <c r="F183" t="inlineStr">
        <is>
          <t>Erster FC Kaiserslautern GmbH &amp; Co. KGaA</t>
        </is>
      </c>
      <c r="G183" t="inlineStr">
        <is>
          <t>profit_anchor</t>
        </is>
      </c>
      <c r="H183" t="inlineStr">
        <is>
          <t>sports_regional_identity_anchor</t>
        </is>
      </c>
      <c r="I183" t="n">
        <v>32</v>
      </c>
      <c r="J183" t="n">
        <v>0</v>
      </c>
      <c r="K183" t="n">
        <v>0.1</v>
      </c>
      <c r="L183" t="n">
        <v>0.02040816</v>
      </c>
      <c r="M183" t="n">
        <v>0.12040816</v>
      </c>
      <c r="N183" t="n">
        <v>1.5502551</v>
      </c>
      <c r="O183" t="n">
        <v>49.608163</v>
      </c>
      <c r="P183" t="n">
        <v>0.16666667</v>
      </c>
      <c r="Q183" t="n">
        <v>0.5</v>
      </c>
      <c r="R183" t="n">
        <v>0.66666667</v>
      </c>
      <c r="S183" t="n">
        <v>2.14583333</v>
      </c>
      <c r="T183" t="n">
        <v>1.82389393</v>
      </c>
      <c r="U183" t="n">
        <v>58.364606</v>
      </c>
      <c r="V183" t="b">
        <v>0</v>
      </c>
      <c r="W183" t="n">
        <v>0</v>
      </c>
      <c r="X183" t="inlineStr">
        <is>
          <t>role_subrole_balanced_score = base_support_score * capped sqrt(avg_macro_multiplier * avg_subrole_multiplier); role/subrole quota constraints use inverse weights.</t>
        </is>
      </c>
    </row>
    <row r="184">
      <c r="A184" t="inlineStr">
        <is>
          <t>C0183</t>
        </is>
      </c>
      <c r="B184" t="inlineStr">
        <is>
          <t>x_0183</t>
        </is>
      </c>
      <c r="C184" t="inlineStr">
        <is>
          <t>Architektenkammer Rheinland-Pfalz</t>
        </is>
      </c>
      <c r="D184" t="inlineStr">
        <is>
          <t>implementation_anchor</t>
        </is>
      </c>
      <c r="E184" t="inlineStr">
        <is>
          <t>construction_planning_anchor</t>
        </is>
      </c>
      <c r="F184" t="inlineStr">
        <is>
          <t>Bauwirtschaft Rheinland-Pfalz e.V.</t>
        </is>
      </c>
      <c r="G184" t="inlineStr">
        <is>
          <t>context_actor</t>
        </is>
      </c>
      <c r="H184" t="inlineStr">
        <is>
          <t>construction_planning_anchor</t>
        </is>
      </c>
      <c r="I184" t="n">
        <v>32</v>
      </c>
      <c r="J184" t="n">
        <v>0</v>
      </c>
      <c r="K184" t="n">
        <v>0.1</v>
      </c>
      <c r="L184" t="n">
        <v>0.03846154</v>
      </c>
      <c r="M184" t="n">
        <v>0.13846154</v>
      </c>
      <c r="N184" t="n">
        <v>1.78269231</v>
      </c>
      <c r="O184" t="n">
        <v>57.046154</v>
      </c>
      <c r="P184" t="n">
        <v>0.125</v>
      </c>
      <c r="Q184" t="n">
        <v>0.125</v>
      </c>
      <c r="R184" t="n">
        <v>0.25</v>
      </c>
      <c r="S184" t="n">
        <v>0.8046875</v>
      </c>
      <c r="T184" t="n">
        <v>1.19771041</v>
      </c>
      <c r="U184" t="n">
        <v>38.326733</v>
      </c>
      <c r="V184" t="b">
        <v>0</v>
      </c>
      <c r="W184" t="n">
        <v>0</v>
      </c>
      <c r="X184" t="inlineStr">
        <is>
          <t>role_subrole_balanced_score = base_support_score * capped sqrt(avg_macro_multiplier * avg_subrole_multiplier); role/subrole quota constraints use inverse weights.</t>
        </is>
      </c>
    </row>
    <row r="185">
      <c r="A185" t="inlineStr">
        <is>
          <t>C0184</t>
        </is>
      </c>
      <c r="B185" t="inlineStr">
        <is>
          <t>x_0184</t>
        </is>
      </c>
      <c r="C185" t="inlineStr">
        <is>
          <t>Architektenkammer Rheinland-Pfalz</t>
        </is>
      </c>
      <c r="D185" t="inlineStr">
        <is>
          <t>implementation_anchor</t>
        </is>
      </c>
      <c r="E185" t="inlineStr">
        <is>
          <t>construction_planning_anchor</t>
        </is>
      </c>
      <c r="F185" t="inlineStr">
        <is>
          <t>Landkreistag Rheinland-Pfalz</t>
        </is>
      </c>
      <c r="G185" t="inlineStr">
        <is>
          <t>context_actor</t>
        </is>
      </c>
      <c r="H185" t="inlineStr">
        <is>
          <t>public_policy_anchor</t>
        </is>
      </c>
      <c r="I185" t="n">
        <v>32</v>
      </c>
      <c r="J185" t="n">
        <v>0</v>
      </c>
      <c r="K185" t="n">
        <v>0.1</v>
      </c>
      <c r="L185" t="n">
        <v>0.03846154</v>
      </c>
      <c r="M185" t="n">
        <v>0.13846154</v>
      </c>
      <c r="N185" t="n">
        <v>1.78269231</v>
      </c>
      <c r="O185" t="n">
        <v>57.046154</v>
      </c>
      <c r="P185" t="n">
        <v>0.125</v>
      </c>
      <c r="Q185" t="n">
        <v>0.16666667</v>
      </c>
      <c r="R185" t="n">
        <v>0.29166667</v>
      </c>
      <c r="S185" t="n">
        <v>0.93880208</v>
      </c>
      <c r="T185" t="n">
        <v>1.2936751</v>
      </c>
      <c r="U185" t="n">
        <v>41.397603</v>
      </c>
      <c r="V185" t="b">
        <v>0</v>
      </c>
      <c r="W185" t="n">
        <v>0</v>
      </c>
      <c r="X185" t="inlineStr">
        <is>
          <t>role_subrole_balanced_score = base_support_score * capped sqrt(avg_macro_multiplier * avg_subrole_multiplier); role/subrole quota constraints use inverse weights.</t>
        </is>
      </c>
    </row>
    <row r="186">
      <c r="A186" t="inlineStr">
        <is>
          <t>C0185</t>
        </is>
      </c>
      <c r="B186" t="inlineStr">
        <is>
          <t>x_0185</t>
        </is>
      </c>
      <c r="C186" t="inlineStr">
        <is>
          <t>Architektenkammer Rheinland-Pfalz</t>
        </is>
      </c>
      <c r="D186" t="inlineStr">
        <is>
          <t>implementation_anchor</t>
        </is>
      </c>
      <c r="E186" t="inlineStr">
        <is>
          <t>construction_planning_anchor</t>
        </is>
      </c>
      <c r="F186" t="inlineStr">
        <is>
          <t>Städtetag Rheinland-Pfalz</t>
        </is>
      </c>
      <c r="G186" t="inlineStr">
        <is>
          <t>context_actor</t>
        </is>
      </c>
      <c r="H186" t="inlineStr">
        <is>
          <t>public_policy_anchor</t>
        </is>
      </c>
      <c r="I186" t="n">
        <v>32</v>
      </c>
      <c r="J186" t="n">
        <v>0</v>
      </c>
      <c r="K186" t="n">
        <v>0.1</v>
      </c>
      <c r="L186" t="n">
        <v>0.03846154</v>
      </c>
      <c r="M186" t="n">
        <v>0.13846154</v>
      </c>
      <c r="N186" t="n">
        <v>1.78269231</v>
      </c>
      <c r="O186" t="n">
        <v>57.046154</v>
      </c>
      <c r="P186" t="n">
        <v>0.125</v>
      </c>
      <c r="Q186" t="n">
        <v>0.16666667</v>
      </c>
      <c r="R186" t="n">
        <v>0.29166667</v>
      </c>
      <c r="S186" t="n">
        <v>0.93880208</v>
      </c>
      <c r="T186" t="n">
        <v>1.2936751</v>
      </c>
      <c r="U186" t="n">
        <v>41.397603</v>
      </c>
      <c r="V186" t="b">
        <v>0</v>
      </c>
      <c r="W186" t="n">
        <v>0</v>
      </c>
      <c r="X186" t="inlineStr">
        <is>
          <t>role_subrole_balanced_score = base_support_score * capped sqrt(avg_macro_multiplier * avg_subrole_multiplier); role/subrole quota constraints use inverse weights.</t>
        </is>
      </c>
    </row>
    <row r="187">
      <c r="A187" t="inlineStr">
        <is>
          <t>C0186</t>
        </is>
      </c>
      <c r="B187" t="inlineStr">
        <is>
          <t>x_0186</t>
        </is>
      </c>
      <c r="C187" t="inlineStr">
        <is>
          <t>Bauwirtschaft Rheinland-Pfalz e.V.</t>
        </is>
      </c>
      <c r="D187" t="inlineStr">
        <is>
          <t>context_actor</t>
        </is>
      </c>
      <c r="E187" t="inlineStr">
        <is>
          <t>construction_planning_anchor</t>
        </is>
      </c>
      <c r="F187" t="inlineStr">
        <is>
          <t>Ingenieurkammer Rheinland-Pfalz</t>
        </is>
      </c>
      <c r="G187" t="inlineStr">
        <is>
          <t>implementation_anchor</t>
        </is>
      </c>
      <c r="H187" t="inlineStr">
        <is>
          <t>construction_planning_anchor</t>
        </is>
      </c>
      <c r="I187" t="n">
        <v>32</v>
      </c>
      <c r="J187" t="n">
        <v>0</v>
      </c>
      <c r="K187" t="n">
        <v>0.03846154</v>
      </c>
      <c r="L187" t="n">
        <v>0.1</v>
      </c>
      <c r="M187" t="n">
        <v>0.13846154</v>
      </c>
      <c r="N187" t="n">
        <v>1.78269231</v>
      </c>
      <c r="O187" t="n">
        <v>57.046154</v>
      </c>
      <c r="P187" t="n">
        <v>0.125</v>
      </c>
      <c r="Q187" t="n">
        <v>0.125</v>
      </c>
      <c r="R187" t="n">
        <v>0.25</v>
      </c>
      <c r="S187" t="n">
        <v>0.8046875</v>
      </c>
      <c r="T187" t="n">
        <v>1.19771041</v>
      </c>
      <c r="U187" t="n">
        <v>38.326733</v>
      </c>
      <c r="V187" t="b">
        <v>0</v>
      </c>
      <c r="W187" t="n">
        <v>0</v>
      </c>
      <c r="X187" t="inlineStr">
        <is>
          <t>role_subrole_balanced_score = base_support_score * capped sqrt(avg_macro_multiplier * avg_subrole_multiplier); role/subrole quota constraints use inverse weights.</t>
        </is>
      </c>
    </row>
    <row r="188">
      <c r="A188" t="inlineStr">
        <is>
          <t>C0187</t>
        </is>
      </c>
      <c r="B188" t="inlineStr">
        <is>
          <t>x_0187</t>
        </is>
      </c>
      <c r="C188" t="inlineStr">
        <is>
          <t>Bauwirtschaft Rheinland-Pfalz e.V.</t>
        </is>
      </c>
      <c r="D188" t="inlineStr">
        <is>
          <t>context_actor</t>
        </is>
      </c>
      <c r="E188" t="inlineStr">
        <is>
          <t>construction_planning_anchor</t>
        </is>
      </c>
      <c r="F188" t="inlineStr">
        <is>
          <t>vero – Verband der Bau- und Rohstoffindustrie</t>
        </is>
      </c>
      <c r="G188" t="inlineStr">
        <is>
          <t>profit_anchor</t>
        </is>
      </c>
      <c r="H188" t="inlineStr">
        <is>
          <t>construction_planning_anchor</t>
        </is>
      </c>
      <c r="I188" t="n">
        <v>32</v>
      </c>
      <c r="J188" t="n">
        <v>0</v>
      </c>
      <c r="K188" t="n">
        <v>0.03846154</v>
      </c>
      <c r="L188" t="n">
        <v>0.02040816</v>
      </c>
      <c r="M188" t="n">
        <v>0.0588697</v>
      </c>
      <c r="N188" t="n">
        <v>0.75794741</v>
      </c>
      <c r="O188" t="n">
        <v>24.254317</v>
      </c>
      <c r="P188" t="n">
        <v>0.125</v>
      </c>
      <c r="Q188" t="n">
        <v>0.125</v>
      </c>
      <c r="R188" t="n">
        <v>0.25</v>
      </c>
      <c r="S188" t="n">
        <v>0.8046875</v>
      </c>
      <c r="T188" t="n">
        <v>0.78096787</v>
      </c>
      <c r="U188" t="n">
        <v>24.990972</v>
      </c>
      <c r="V188" t="b">
        <v>0</v>
      </c>
      <c r="W188" t="n">
        <v>0</v>
      </c>
      <c r="X188" t="inlineStr">
        <is>
          <t>role_subrole_balanced_score = base_support_score * capped sqrt(avg_macro_multiplier * avg_subrole_multiplier); role/subrole quota constraints use inverse weights.</t>
        </is>
      </c>
    </row>
    <row r="189">
      <c r="A189" t="inlineStr">
        <is>
          <t>C0188</t>
        </is>
      </c>
      <c r="B189" t="inlineStr">
        <is>
          <t>x_0188</t>
        </is>
      </c>
      <c r="C189" t="inlineStr">
        <is>
          <t>Entwicklungsagentur Rheinland-Pfalz e.V.</t>
        </is>
      </c>
      <c r="D189" t="inlineStr">
        <is>
          <t>implementation_anchor</t>
        </is>
      </c>
      <c r="E189" t="inlineStr">
        <is>
          <t>public_policy_anchor</t>
        </is>
      </c>
      <c r="F189" t="inlineStr">
        <is>
          <t>Hochschule Mainz</t>
        </is>
      </c>
      <c r="G189" t="inlineStr">
        <is>
          <t>academic_support</t>
        </is>
      </c>
      <c r="H189" t="inlineStr">
        <is>
          <t>university_applied_sciences</t>
        </is>
      </c>
      <c r="I189" t="n">
        <v>32</v>
      </c>
      <c r="J189" t="n">
        <v>0</v>
      </c>
      <c r="K189" t="n">
        <v>0.1</v>
      </c>
      <c r="L189" t="n">
        <v>0.05555556</v>
      </c>
      <c r="M189" t="n">
        <v>0.15555556</v>
      </c>
      <c r="N189" t="n">
        <v>2.00277778</v>
      </c>
      <c r="O189" t="n">
        <v>64.08888899999999</v>
      </c>
      <c r="P189" t="n">
        <v>0.16666667</v>
      </c>
      <c r="Q189" t="n">
        <v>0.09090909</v>
      </c>
      <c r="R189" t="n">
        <v>0.25757576</v>
      </c>
      <c r="S189" t="n">
        <v>0.82907197</v>
      </c>
      <c r="T189" t="n">
        <v>1.2885833</v>
      </c>
      <c r="U189" t="n">
        <v>41.234666</v>
      </c>
      <c r="V189" t="b">
        <v>1</v>
      </c>
      <c r="W189" t="n">
        <v>1</v>
      </c>
      <c r="X189" t="inlineStr">
        <is>
          <t>role_subrole_balanced_score = base_support_score * capped sqrt(avg_macro_multiplier * avg_subrole_multiplier); role/subrole quota constraints use inverse weights.</t>
        </is>
      </c>
    </row>
    <row r="190">
      <c r="A190" t="inlineStr">
        <is>
          <t>C0189</t>
        </is>
      </c>
      <c r="B190" t="inlineStr">
        <is>
          <t>x_0189</t>
        </is>
      </c>
      <c r="C190" t="inlineStr">
        <is>
          <t>Entwicklungsagentur Rheinland-Pfalz e.V.</t>
        </is>
      </c>
      <c r="D190" t="inlineStr">
        <is>
          <t>implementation_anchor</t>
        </is>
      </c>
      <c r="E190" t="inlineStr">
        <is>
          <t>public_policy_anchor</t>
        </is>
      </c>
      <c r="F190" t="inlineStr">
        <is>
          <t>Karl Gemünden GmbH &amp; Co. KG</t>
        </is>
      </c>
      <c r="G190" t="inlineStr">
        <is>
          <t>profit_anchor</t>
        </is>
      </c>
      <c r="H190" t="inlineStr">
        <is>
          <t>construction_planning_anchor</t>
        </is>
      </c>
      <c r="I190" t="n">
        <v>32</v>
      </c>
      <c r="J190" t="n">
        <v>0</v>
      </c>
      <c r="K190" t="n">
        <v>0.1</v>
      </c>
      <c r="L190" t="n">
        <v>0.02040816</v>
      </c>
      <c r="M190" t="n">
        <v>0.12040816</v>
      </c>
      <c r="N190" t="n">
        <v>1.5502551</v>
      </c>
      <c r="O190" t="n">
        <v>49.608163</v>
      </c>
      <c r="P190" t="n">
        <v>0.16666667</v>
      </c>
      <c r="Q190" t="n">
        <v>0.125</v>
      </c>
      <c r="R190" t="n">
        <v>0.29166667</v>
      </c>
      <c r="S190" t="n">
        <v>0.93880208</v>
      </c>
      <c r="T190" t="n">
        <v>1.20639244</v>
      </c>
      <c r="U190" t="n">
        <v>38.604558</v>
      </c>
      <c r="V190" t="b">
        <v>0</v>
      </c>
      <c r="W190" t="n">
        <v>0</v>
      </c>
      <c r="X190" t="inlineStr">
        <is>
          <t>role_subrole_balanced_score = base_support_score * capped sqrt(avg_macro_multiplier * avg_subrole_multiplier); role/subrole quota constraints use inverse weights.</t>
        </is>
      </c>
    </row>
    <row r="191">
      <c r="A191" t="inlineStr">
        <is>
          <t>C0190</t>
        </is>
      </c>
      <c r="B191" t="inlineStr">
        <is>
          <t>x_0190</t>
        </is>
      </c>
      <c r="C191" t="inlineStr">
        <is>
          <t>Boehringer Ingelheim Pharma GmbH &amp; Co. KG</t>
        </is>
      </c>
      <c r="D191" t="inlineStr">
        <is>
          <t>profit_anchor</t>
        </is>
      </c>
      <c r="E191" t="inlineStr">
        <is>
          <t>health_social_anchor</t>
        </is>
      </c>
      <c r="F191" t="inlineStr">
        <is>
          <t>Handwerkskammern Rheinland-Pfalz</t>
        </is>
      </c>
      <c r="G191" t="inlineStr">
        <is>
          <t>implementation_anchor</t>
        </is>
      </c>
      <c r="H191" t="inlineStr">
        <is>
          <t>chamber_association_anchor</t>
        </is>
      </c>
      <c r="I191" t="n">
        <v>32</v>
      </c>
      <c r="J191" t="n">
        <v>0</v>
      </c>
      <c r="K191" t="n">
        <v>0.02040816</v>
      </c>
      <c r="L191" t="n">
        <v>0.1</v>
      </c>
      <c r="M191" t="n">
        <v>0.12040816</v>
      </c>
      <c r="N191" t="n">
        <v>1.5502551</v>
      </c>
      <c r="O191" t="n">
        <v>49.608163</v>
      </c>
      <c r="P191" t="n">
        <v>0.08333333</v>
      </c>
      <c r="Q191" t="n">
        <v>0.25</v>
      </c>
      <c r="R191" t="n">
        <v>0.33333333</v>
      </c>
      <c r="S191" t="n">
        <v>1.07291667</v>
      </c>
      <c r="T191" t="n">
        <v>1.28968777</v>
      </c>
      <c r="U191" t="n">
        <v>41.270009</v>
      </c>
      <c r="V191" t="b">
        <v>0</v>
      </c>
      <c r="W191" t="n">
        <v>0</v>
      </c>
      <c r="X191" t="inlineStr">
        <is>
          <t>role_subrole_balanced_score = base_support_score * capped sqrt(avg_macro_multiplier * avg_subrole_multiplier); role/subrole quota constraints use inverse weights.</t>
        </is>
      </c>
    </row>
    <row r="192">
      <c r="A192" t="inlineStr">
        <is>
          <t>C0191</t>
        </is>
      </c>
      <c r="B192" t="inlineStr">
        <is>
          <t>x_0191</t>
        </is>
      </c>
      <c r="C192" t="inlineStr">
        <is>
          <t>Handwerkskammern Rheinland-Pfalz</t>
        </is>
      </c>
      <c r="D192" t="inlineStr">
        <is>
          <t>implementation_anchor</t>
        </is>
      </c>
      <c r="E192" t="inlineStr">
        <is>
          <t>chamber_association_anchor</t>
        </is>
      </c>
      <c r="F192" t="inlineStr">
        <is>
          <t>JUWI GmbH</t>
        </is>
      </c>
      <c r="G192" t="inlineStr">
        <is>
          <t>profit_anchor</t>
        </is>
      </c>
      <c r="H192" t="inlineStr">
        <is>
          <t>energy_infrastructure_anchor</t>
        </is>
      </c>
      <c r="I192" t="n">
        <v>32</v>
      </c>
      <c r="J192" t="n">
        <v>0</v>
      </c>
      <c r="K192" t="n">
        <v>0.1</v>
      </c>
      <c r="L192" t="n">
        <v>0.02040816</v>
      </c>
      <c r="M192" t="n">
        <v>0.12040816</v>
      </c>
      <c r="N192" t="n">
        <v>1.5502551</v>
      </c>
      <c r="O192" t="n">
        <v>49.608163</v>
      </c>
      <c r="P192" t="n">
        <v>0.25</v>
      </c>
      <c r="Q192" t="n">
        <v>0.11111111</v>
      </c>
      <c r="R192" t="n">
        <v>0.36111111</v>
      </c>
      <c r="S192" t="n">
        <v>1.16232639</v>
      </c>
      <c r="T192" t="n">
        <v>1.34234959</v>
      </c>
      <c r="U192" t="n">
        <v>42.955187</v>
      </c>
      <c r="V192" t="b">
        <v>0</v>
      </c>
      <c r="W192" t="n">
        <v>0</v>
      </c>
      <c r="X192" t="inlineStr">
        <is>
          <t>role_subrole_balanced_score = base_support_score * capped sqrt(avg_macro_multiplier * avg_subrole_multiplier); role/subrole quota constraints use inverse weights.</t>
        </is>
      </c>
    </row>
    <row r="193">
      <c r="A193" t="inlineStr">
        <is>
          <t>C0192</t>
        </is>
      </c>
      <c r="B193" t="inlineStr">
        <is>
          <t>x_0192</t>
        </is>
      </c>
      <c r="C193" t="inlineStr">
        <is>
          <t>Handwerkskammern Rheinland-Pfalz</t>
        </is>
      </c>
      <c r="D193" t="inlineStr">
        <is>
          <t>implementation_anchor</t>
        </is>
      </c>
      <c r="E193" t="inlineStr">
        <is>
          <t>chamber_association_anchor</t>
        </is>
      </c>
      <c r="F193" t="inlineStr">
        <is>
          <t>Pfalzwerke AG</t>
        </is>
      </c>
      <c r="G193" t="inlineStr">
        <is>
          <t>profit_anchor</t>
        </is>
      </c>
      <c r="H193" t="inlineStr">
        <is>
          <t>energy_infrastructure_anchor</t>
        </is>
      </c>
      <c r="I193" t="n">
        <v>32</v>
      </c>
      <c r="J193" t="n">
        <v>0</v>
      </c>
      <c r="K193" t="n">
        <v>0.1</v>
      </c>
      <c r="L193" t="n">
        <v>0.02040816</v>
      </c>
      <c r="M193" t="n">
        <v>0.12040816</v>
      </c>
      <c r="N193" t="n">
        <v>1.5502551</v>
      </c>
      <c r="O193" t="n">
        <v>49.608163</v>
      </c>
      <c r="P193" t="n">
        <v>0.25</v>
      </c>
      <c r="Q193" t="n">
        <v>0.11111111</v>
      </c>
      <c r="R193" t="n">
        <v>0.36111111</v>
      </c>
      <c r="S193" t="n">
        <v>1.16232639</v>
      </c>
      <c r="T193" t="n">
        <v>1.34234959</v>
      </c>
      <c r="U193" t="n">
        <v>42.955187</v>
      </c>
      <c r="V193" t="b">
        <v>0</v>
      </c>
      <c r="W193" t="n">
        <v>0</v>
      </c>
      <c r="X193" t="inlineStr">
        <is>
          <t>role_subrole_balanced_score = base_support_score * capped sqrt(avg_macro_multiplier * avg_subrole_multiplier); role/subrole quota constraints use inverse weights.</t>
        </is>
      </c>
    </row>
    <row r="194">
      <c r="A194" t="inlineStr">
        <is>
          <t>C0193</t>
        </is>
      </c>
      <c r="B194" t="inlineStr">
        <is>
          <t>x_0193</t>
        </is>
      </c>
      <c r="C194" t="inlineStr">
        <is>
          <t>Handwerkskammern Rheinland-Pfalz</t>
        </is>
      </c>
      <c r="D194" t="inlineStr">
        <is>
          <t>implementation_anchor</t>
        </is>
      </c>
      <c r="E194" t="inlineStr">
        <is>
          <t>chamber_association_anchor</t>
        </is>
      </c>
      <c r="F194" t="inlineStr">
        <is>
          <t>SCHOTT AG</t>
        </is>
      </c>
      <c r="G194" t="inlineStr">
        <is>
          <t>profit_anchor</t>
        </is>
      </c>
      <c r="H194" t="inlineStr">
        <is>
          <t>industry_anchor</t>
        </is>
      </c>
      <c r="I194" t="n">
        <v>32</v>
      </c>
      <c r="J194" t="n">
        <v>0</v>
      </c>
      <c r="K194" t="n">
        <v>0.1</v>
      </c>
      <c r="L194" t="n">
        <v>0.02040816</v>
      </c>
      <c r="M194" t="n">
        <v>0.12040816</v>
      </c>
      <c r="N194" t="n">
        <v>1.5502551</v>
      </c>
      <c r="O194" t="n">
        <v>49.608163</v>
      </c>
      <c r="P194" t="n">
        <v>0.25</v>
      </c>
      <c r="Q194" t="n">
        <v>0.09090909</v>
      </c>
      <c r="R194" t="n">
        <v>0.34090909</v>
      </c>
      <c r="S194" t="n">
        <v>1.09730114</v>
      </c>
      <c r="T194" t="n">
        <v>1.30426097</v>
      </c>
      <c r="U194" t="n">
        <v>41.736351</v>
      </c>
      <c r="V194" t="b">
        <v>0</v>
      </c>
      <c r="W194" t="n">
        <v>0</v>
      </c>
      <c r="X194" t="inlineStr">
        <is>
          <t>role_subrole_balanced_score = base_support_score * capped sqrt(avg_macro_multiplier * avg_subrole_multiplier); role/subrole quota constraints use inverse weights.</t>
        </is>
      </c>
    </row>
    <row r="195">
      <c r="A195" t="inlineStr">
        <is>
          <t>C0194</t>
        </is>
      </c>
      <c r="B195" t="inlineStr">
        <is>
          <t>x_0194</t>
        </is>
      </c>
      <c r="C195" t="inlineStr">
        <is>
          <t>Handwerkskammern Rheinland-Pfalz</t>
        </is>
      </c>
      <c r="D195" t="inlineStr">
        <is>
          <t>implementation_anchor</t>
        </is>
      </c>
      <c r="E195" t="inlineStr">
        <is>
          <t>chamber_association_anchor</t>
        </is>
      </c>
      <c r="F195" t="inlineStr">
        <is>
          <t>Westenergie AG</t>
        </is>
      </c>
      <c r="G195" t="inlineStr">
        <is>
          <t>profit_anchor</t>
        </is>
      </c>
      <c r="H195" t="inlineStr">
        <is>
          <t>energy_infrastructure_anchor</t>
        </is>
      </c>
      <c r="I195" t="n">
        <v>32</v>
      </c>
      <c r="J195" t="n">
        <v>0</v>
      </c>
      <c r="K195" t="n">
        <v>0.1</v>
      </c>
      <c r="L195" t="n">
        <v>0.02040816</v>
      </c>
      <c r="M195" t="n">
        <v>0.12040816</v>
      </c>
      <c r="N195" t="n">
        <v>1.5502551</v>
      </c>
      <c r="O195" t="n">
        <v>49.608163</v>
      </c>
      <c r="P195" t="n">
        <v>0.25</v>
      </c>
      <c r="Q195" t="n">
        <v>0.11111111</v>
      </c>
      <c r="R195" t="n">
        <v>0.36111111</v>
      </c>
      <c r="S195" t="n">
        <v>1.16232639</v>
      </c>
      <c r="T195" t="n">
        <v>1.34234959</v>
      </c>
      <c r="U195" t="n">
        <v>42.955187</v>
      </c>
      <c r="V195" t="b">
        <v>0</v>
      </c>
      <c r="W195" t="n">
        <v>0</v>
      </c>
      <c r="X195" t="inlineStr">
        <is>
          <t>role_subrole_balanced_score = base_support_score * capped sqrt(avg_macro_multiplier * avg_subrole_multiplier); role/subrole quota constraints use inverse weights.</t>
        </is>
      </c>
    </row>
    <row r="196">
      <c r="A196" t="inlineStr">
        <is>
          <t>C0195</t>
        </is>
      </c>
      <c r="B196" t="inlineStr">
        <is>
          <t>x_0195</t>
        </is>
      </c>
      <c r="C196" t="inlineStr">
        <is>
          <t>Investitions- und Strukturbank Rheinland-Pfalz (ISB)</t>
        </is>
      </c>
      <c r="D196" t="inlineStr">
        <is>
          <t>context_actor</t>
        </is>
      </c>
      <c r="E196" t="inlineStr">
        <is>
          <t>bank_finance_anchor</t>
        </is>
      </c>
      <c r="F196" t="inlineStr">
        <is>
          <t>Landesbank Baden-Württemberg (LBBW)</t>
        </is>
      </c>
      <c r="G196" t="inlineStr">
        <is>
          <t>profit_anchor</t>
        </is>
      </c>
      <c r="H196" t="inlineStr">
        <is>
          <t>bank_finance_anchor</t>
        </is>
      </c>
      <c r="I196" t="n">
        <v>32</v>
      </c>
      <c r="J196" t="n">
        <v>0</v>
      </c>
      <c r="K196" t="n">
        <v>0.03846154</v>
      </c>
      <c r="L196" t="n">
        <v>0.02040816</v>
      </c>
      <c r="M196" t="n">
        <v>0.0588697</v>
      </c>
      <c r="N196" t="n">
        <v>0.75794741</v>
      </c>
      <c r="O196" t="n">
        <v>24.254317</v>
      </c>
      <c r="P196" t="n">
        <v>0.14285714</v>
      </c>
      <c r="Q196" t="n">
        <v>0.14285714</v>
      </c>
      <c r="R196" t="n">
        <v>0.28571429</v>
      </c>
      <c r="S196" t="n">
        <v>0.91964286</v>
      </c>
      <c r="T196" t="n">
        <v>0.83488977</v>
      </c>
      <c r="U196" t="n">
        <v>26.716473</v>
      </c>
      <c r="V196" t="b">
        <v>0</v>
      </c>
      <c r="W196" t="n">
        <v>0</v>
      </c>
      <c r="X196" t="inlineStr">
        <is>
          <t>role_subrole_balanced_score = base_support_score * capped sqrt(avg_macro_multiplier * avg_subrole_multiplier); role/subrole quota constraints use inverse weights.</t>
        </is>
      </c>
    </row>
    <row r="197">
      <c r="A197" t="inlineStr">
        <is>
          <t>C0196</t>
        </is>
      </c>
      <c r="B197" t="inlineStr">
        <is>
          <t>x_0196</t>
        </is>
      </c>
      <c r="C197" t="inlineStr">
        <is>
          <t>Investitions- und Strukturbank Rheinland-Pfalz (ISB)</t>
        </is>
      </c>
      <c r="D197" t="inlineStr">
        <is>
          <t>context_actor</t>
        </is>
      </c>
      <c r="E197" t="inlineStr">
        <is>
          <t>bank_finance_anchor</t>
        </is>
      </c>
      <c r="F197" t="inlineStr">
        <is>
          <t>Ministerium für Wirtschaft, Verkehr, Landwirtschaft und Weinbau</t>
        </is>
      </c>
      <c r="G197" t="inlineStr">
        <is>
          <t>profit_anchor</t>
        </is>
      </c>
      <c r="H197" t="inlineStr">
        <is>
          <t>public_policy_anchor</t>
        </is>
      </c>
      <c r="I197" t="n">
        <v>32</v>
      </c>
      <c r="J197" t="n">
        <v>0</v>
      </c>
      <c r="K197" t="n">
        <v>0.03846154</v>
      </c>
      <c r="L197" t="n">
        <v>0.02040816</v>
      </c>
      <c r="M197" t="n">
        <v>0.0588697</v>
      </c>
      <c r="N197" t="n">
        <v>0.75794741</v>
      </c>
      <c r="O197" t="n">
        <v>24.254317</v>
      </c>
      <c r="P197" t="n">
        <v>0.14285714</v>
      </c>
      <c r="Q197" t="n">
        <v>0.16666667</v>
      </c>
      <c r="R197" t="n">
        <v>0.30952381</v>
      </c>
      <c r="S197" t="n">
        <v>0.99627976</v>
      </c>
      <c r="T197" t="n">
        <v>0.86898082</v>
      </c>
      <c r="U197" t="n">
        <v>27.807386</v>
      </c>
      <c r="V197" t="b">
        <v>0</v>
      </c>
      <c r="W197" t="n">
        <v>0</v>
      </c>
      <c r="X197" t="inlineStr">
        <is>
          <t>role_subrole_balanced_score = base_support_score * capped sqrt(avg_macro_multiplier * avg_subrole_multiplier); role/subrole quota constraints use inverse weights.</t>
        </is>
      </c>
    </row>
    <row r="198">
      <c r="A198" t="inlineStr">
        <is>
          <t>C0197</t>
        </is>
      </c>
      <c r="B198" t="inlineStr">
        <is>
          <t>x_0197</t>
        </is>
      </c>
      <c r="C198" t="inlineStr">
        <is>
          <t>Investitions- und Strukturbank Rheinland-Pfalz (ISB)</t>
        </is>
      </c>
      <c r="D198" t="inlineStr">
        <is>
          <t>context_actor</t>
        </is>
      </c>
      <c r="E198" t="inlineStr">
        <is>
          <t>bank_finance_anchor</t>
        </is>
      </c>
      <c r="F198" t="inlineStr">
        <is>
          <t>Sparkassenverband Rheinland-Pfalz</t>
        </is>
      </c>
      <c r="G198" t="inlineStr">
        <is>
          <t>profit_anchor</t>
        </is>
      </c>
      <c r="H198" t="inlineStr">
        <is>
          <t>bank_finance_anchor</t>
        </is>
      </c>
      <c r="I198" t="n">
        <v>32</v>
      </c>
      <c r="J198" t="n">
        <v>0</v>
      </c>
      <c r="K198" t="n">
        <v>0.03846154</v>
      </c>
      <c r="L198" t="n">
        <v>0.02040816</v>
      </c>
      <c r="M198" t="n">
        <v>0.0588697</v>
      </c>
      <c r="N198" t="n">
        <v>0.75794741</v>
      </c>
      <c r="O198" t="n">
        <v>24.254317</v>
      </c>
      <c r="P198" t="n">
        <v>0.14285714</v>
      </c>
      <c r="Q198" t="n">
        <v>0.14285714</v>
      </c>
      <c r="R198" t="n">
        <v>0.28571429</v>
      </c>
      <c r="S198" t="n">
        <v>0.91964286</v>
      </c>
      <c r="T198" t="n">
        <v>0.83488977</v>
      </c>
      <c r="U198" t="n">
        <v>26.716473</v>
      </c>
      <c r="V198" t="b">
        <v>0</v>
      </c>
      <c r="W198" t="n">
        <v>0</v>
      </c>
      <c r="X198" t="inlineStr">
        <is>
          <t>role_subrole_balanced_score = base_support_score * capped sqrt(avg_macro_multiplier * avg_subrole_multiplier); role/subrole quota constraints use inverse weights.</t>
        </is>
      </c>
    </row>
    <row r="199">
      <c r="A199" t="inlineStr">
        <is>
          <t>C0198</t>
        </is>
      </c>
      <c r="B199" t="inlineStr">
        <is>
          <t>x_0198</t>
        </is>
      </c>
      <c r="C199" t="inlineStr">
        <is>
          <t>AOK Rheinland-Pfalz/Saarland</t>
        </is>
      </c>
      <c r="D199" t="inlineStr">
        <is>
          <t>context_actor</t>
        </is>
      </c>
      <c r="E199" t="inlineStr">
        <is>
          <t>health_social_anchor</t>
        </is>
      </c>
      <c r="F199" t="inlineStr">
        <is>
          <t>Landesärztekammer Rheinland-Pfalz</t>
        </is>
      </c>
      <c r="G199" t="inlineStr">
        <is>
          <t>implementation_anchor</t>
        </is>
      </c>
      <c r="H199" t="inlineStr">
        <is>
          <t>health_social_anchor</t>
        </is>
      </c>
      <c r="I199" t="n">
        <v>32</v>
      </c>
      <c r="J199" t="n">
        <v>0</v>
      </c>
      <c r="K199" t="n">
        <v>0.03846154</v>
      </c>
      <c r="L199" t="n">
        <v>0.1</v>
      </c>
      <c r="M199" t="n">
        <v>0.13846154</v>
      </c>
      <c r="N199" t="n">
        <v>1.78269231</v>
      </c>
      <c r="O199" t="n">
        <v>57.046154</v>
      </c>
      <c r="P199" t="n">
        <v>0.08333333</v>
      </c>
      <c r="Q199" t="n">
        <v>0.08333333</v>
      </c>
      <c r="R199" t="n">
        <v>0.16666667</v>
      </c>
      <c r="S199" t="n">
        <v>0.53645833</v>
      </c>
      <c r="T199" t="n">
        <v>0.97792645</v>
      </c>
      <c r="U199" t="n">
        <v>31.293646</v>
      </c>
      <c r="V199" t="b">
        <v>0</v>
      </c>
      <c r="W199" t="n">
        <v>0</v>
      </c>
      <c r="X199" t="inlineStr">
        <is>
          <t>role_subrole_balanced_score = base_support_score * capped sqrt(avg_macro_multiplier * avg_subrole_multiplier); role/subrole quota constraints use inverse weights.</t>
        </is>
      </c>
    </row>
    <row r="200">
      <c r="A200" t="inlineStr">
        <is>
          <t>C0199</t>
        </is>
      </c>
      <c r="B200" t="inlineStr">
        <is>
          <t>x_0199</t>
        </is>
      </c>
      <c r="C200" t="inlineStr">
        <is>
          <t>Hochschule für Wirtschaft und Gesellschaft Ludwigshafen</t>
        </is>
      </c>
      <c r="D200" t="inlineStr">
        <is>
          <t>academic_support</t>
        </is>
      </c>
      <c r="E200" t="inlineStr">
        <is>
          <t>university_applied_sciences</t>
        </is>
      </c>
      <c r="F200" t="inlineStr">
        <is>
          <t>Landesärztekammer Rheinland-Pfalz</t>
        </is>
      </c>
      <c r="G200" t="inlineStr">
        <is>
          <t>implementation_anchor</t>
        </is>
      </c>
      <c r="H200" t="inlineStr">
        <is>
          <t>health_social_anchor</t>
        </is>
      </c>
      <c r="I200" t="n">
        <v>32</v>
      </c>
      <c r="J200" t="n">
        <v>0</v>
      </c>
      <c r="K200" t="n">
        <v>0.05555556</v>
      </c>
      <c r="L200" t="n">
        <v>0.1</v>
      </c>
      <c r="M200" t="n">
        <v>0.15555556</v>
      </c>
      <c r="N200" t="n">
        <v>2.00277778</v>
      </c>
      <c r="O200" t="n">
        <v>64.08888899999999</v>
      </c>
      <c r="P200" t="n">
        <v>0.09090909</v>
      </c>
      <c r="Q200" t="n">
        <v>0.08333333</v>
      </c>
      <c r="R200" t="n">
        <v>0.17424242</v>
      </c>
      <c r="S200" t="n">
        <v>0.5608428</v>
      </c>
      <c r="T200" t="n">
        <v>1.05983183</v>
      </c>
      <c r="U200" t="n">
        <v>33.914618</v>
      </c>
      <c r="V200" t="b">
        <v>1</v>
      </c>
      <c r="W200" t="n">
        <v>1</v>
      </c>
      <c r="X200" t="inlineStr">
        <is>
          <t>role_subrole_balanced_score = base_support_score * capped sqrt(avg_macro_multiplier * avg_subrole_multiplier); role/subrole quota constraints use inverse weights.</t>
        </is>
      </c>
    </row>
    <row r="201">
      <c r="A201" t="inlineStr">
        <is>
          <t>C0200</t>
        </is>
      </c>
      <c r="B201" t="inlineStr">
        <is>
          <t>x_0200</t>
        </is>
      </c>
      <c r="C201" t="inlineStr">
        <is>
          <t>IKK Südwest</t>
        </is>
      </c>
      <c r="D201" t="inlineStr">
        <is>
          <t>context_actor</t>
        </is>
      </c>
      <c r="E201" t="inlineStr">
        <is>
          <t>health_social_anchor</t>
        </is>
      </c>
      <c r="F201" t="inlineStr">
        <is>
          <t>Landesärztekammer Rheinland-Pfalz</t>
        </is>
      </c>
      <c r="G201" t="inlineStr">
        <is>
          <t>implementation_anchor</t>
        </is>
      </c>
      <c r="H201" t="inlineStr">
        <is>
          <t>health_social_anchor</t>
        </is>
      </c>
      <c r="I201" t="n">
        <v>32</v>
      </c>
      <c r="J201" t="n">
        <v>0</v>
      </c>
      <c r="K201" t="n">
        <v>0.03846154</v>
      </c>
      <c r="L201" t="n">
        <v>0.1</v>
      </c>
      <c r="M201" t="n">
        <v>0.13846154</v>
      </c>
      <c r="N201" t="n">
        <v>1.78269231</v>
      </c>
      <c r="O201" t="n">
        <v>57.046154</v>
      </c>
      <c r="P201" t="n">
        <v>0.08333333</v>
      </c>
      <c r="Q201" t="n">
        <v>0.08333333</v>
      </c>
      <c r="R201" t="n">
        <v>0.16666667</v>
      </c>
      <c r="S201" t="n">
        <v>0.53645833</v>
      </c>
      <c r="T201" t="n">
        <v>0.97792645</v>
      </c>
      <c r="U201" t="n">
        <v>31.293646</v>
      </c>
      <c r="V201" t="b">
        <v>0</v>
      </c>
      <c r="W201" t="n">
        <v>0</v>
      </c>
      <c r="X201" t="inlineStr">
        <is>
          <t>role_subrole_balanced_score = base_support_score * capped sqrt(avg_macro_multiplier * avg_subrole_multiplier); role/subrole quota constraints use inverse weights.</t>
        </is>
      </c>
    </row>
    <row r="202">
      <c r="A202" t="inlineStr">
        <is>
          <t>C0201</t>
        </is>
      </c>
      <c r="B202" t="inlineStr">
        <is>
          <t>x_0201</t>
        </is>
      </c>
      <c r="C202" t="inlineStr">
        <is>
          <t>Kassenärztliche Vereinigung Rheinland-Pfalz</t>
        </is>
      </c>
      <c r="D202" t="inlineStr">
        <is>
          <t>context_actor</t>
        </is>
      </c>
      <c r="E202" t="inlineStr">
        <is>
          <t>health_social_anchor</t>
        </is>
      </c>
      <c r="F202" t="inlineStr">
        <is>
          <t>Landesärztekammer Rheinland-Pfalz</t>
        </is>
      </c>
      <c r="G202" t="inlineStr">
        <is>
          <t>implementation_anchor</t>
        </is>
      </c>
      <c r="H202" t="inlineStr">
        <is>
          <t>health_social_anchor</t>
        </is>
      </c>
      <c r="I202" t="n">
        <v>32</v>
      </c>
      <c r="J202" t="n">
        <v>0</v>
      </c>
      <c r="K202" t="n">
        <v>0.03846154</v>
      </c>
      <c r="L202" t="n">
        <v>0.1</v>
      </c>
      <c r="M202" t="n">
        <v>0.13846154</v>
      </c>
      <c r="N202" t="n">
        <v>1.78269231</v>
      </c>
      <c r="O202" t="n">
        <v>57.046154</v>
      </c>
      <c r="P202" t="n">
        <v>0.08333333</v>
      </c>
      <c r="Q202" t="n">
        <v>0.08333333</v>
      </c>
      <c r="R202" t="n">
        <v>0.16666667</v>
      </c>
      <c r="S202" t="n">
        <v>0.53645833</v>
      </c>
      <c r="T202" t="n">
        <v>0.97792645</v>
      </c>
      <c r="U202" t="n">
        <v>31.293646</v>
      </c>
      <c r="V202" t="b">
        <v>0</v>
      </c>
      <c r="W202" t="n">
        <v>0</v>
      </c>
      <c r="X202" t="inlineStr">
        <is>
          <t>role_subrole_balanced_score = base_support_score * capped sqrt(avg_macro_multiplier * avg_subrole_multiplier); role/subrole quota constraints use inverse weights.</t>
        </is>
      </c>
    </row>
    <row r="203">
      <c r="A203" t="inlineStr">
        <is>
          <t>C0202</t>
        </is>
      </c>
      <c r="B203" t="inlineStr">
        <is>
          <t>x_0202</t>
        </is>
      </c>
      <c r="C203" t="inlineStr">
        <is>
          <t>Landesärztekammer Rheinland-Pfalz</t>
        </is>
      </c>
      <c r="D203" t="inlineStr">
        <is>
          <t>implementation_anchor</t>
        </is>
      </c>
      <c r="E203" t="inlineStr">
        <is>
          <t>health_social_anchor</t>
        </is>
      </c>
      <c r="F203" t="inlineStr">
        <is>
          <t>Techniker Krankenkasse</t>
        </is>
      </c>
      <c r="G203" t="inlineStr">
        <is>
          <t>context_actor</t>
        </is>
      </c>
      <c r="H203" t="inlineStr">
        <is>
          <t>health_social_anchor</t>
        </is>
      </c>
      <c r="I203" t="n">
        <v>32</v>
      </c>
      <c r="J203" t="n">
        <v>0</v>
      </c>
      <c r="K203" t="n">
        <v>0.1</v>
      </c>
      <c r="L203" t="n">
        <v>0.03846154</v>
      </c>
      <c r="M203" t="n">
        <v>0.13846154</v>
      </c>
      <c r="N203" t="n">
        <v>1.78269231</v>
      </c>
      <c r="O203" t="n">
        <v>57.046154</v>
      </c>
      <c r="P203" t="n">
        <v>0.08333333</v>
      </c>
      <c r="Q203" t="n">
        <v>0.08333333</v>
      </c>
      <c r="R203" t="n">
        <v>0.16666667</v>
      </c>
      <c r="S203" t="n">
        <v>0.53645833</v>
      </c>
      <c r="T203" t="n">
        <v>0.97792645</v>
      </c>
      <c r="U203" t="n">
        <v>31.293646</v>
      </c>
      <c r="V203" t="b">
        <v>0</v>
      </c>
      <c r="W203" t="n">
        <v>0</v>
      </c>
      <c r="X203" t="inlineStr">
        <is>
          <t>role_subrole_balanced_score = base_support_score * capped sqrt(avg_macro_multiplier * avg_subrole_multiplier); role/subrole quota constraints use inverse weights.</t>
        </is>
      </c>
    </row>
    <row r="204">
      <c r="A204" t="inlineStr">
        <is>
          <t>C0203</t>
        </is>
      </c>
      <c r="B204" t="inlineStr">
        <is>
          <t>x_0203</t>
        </is>
      </c>
      <c r="C204" t="inlineStr">
        <is>
          <t>Duale Hochschule Rheinland-Pfalz</t>
        </is>
      </c>
      <c r="D204" t="inlineStr">
        <is>
          <t>academic_support</t>
        </is>
      </c>
      <c r="E204" t="inlineStr">
        <is>
          <t>university_applied_sciences</t>
        </is>
      </c>
      <c r="F204" t="inlineStr">
        <is>
          <t>Handwerkskammern Rheinland-Pfalz</t>
        </is>
      </c>
      <c r="G204" t="inlineStr">
        <is>
          <t>implementation_anchor</t>
        </is>
      </c>
      <c r="H204" t="inlineStr">
        <is>
          <t>chamber_association_anchor</t>
        </is>
      </c>
      <c r="I204" t="n">
        <v>32</v>
      </c>
      <c r="J204" t="n">
        <v>0</v>
      </c>
      <c r="K204" t="n">
        <v>0.05555556</v>
      </c>
      <c r="L204" t="n">
        <v>0.1</v>
      </c>
      <c r="M204" t="n">
        <v>0.15555556</v>
      </c>
      <c r="N204" t="n">
        <v>2.00277778</v>
      </c>
      <c r="O204" t="n">
        <v>64.08888899999999</v>
      </c>
      <c r="P204" t="n">
        <v>0.09090909</v>
      </c>
      <c r="Q204" t="n">
        <v>0.25</v>
      </c>
      <c r="R204" t="n">
        <v>0.34090909</v>
      </c>
      <c r="S204" t="n">
        <v>1.09730114</v>
      </c>
      <c r="T204" t="n">
        <v>1.48244741</v>
      </c>
      <c r="U204" t="n">
        <v>47.438317</v>
      </c>
      <c r="V204" t="b">
        <v>1</v>
      </c>
      <c r="W204" t="n">
        <v>1</v>
      </c>
      <c r="X204" t="inlineStr">
        <is>
          <t>role_subrole_balanced_score = base_support_score * capped sqrt(avg_macro_multiplier * avg_subrole_multiplier); role/subrole quota constraints use inverse weights.</t>
        </is>
      </c>
    </row>
    <row r="205">
      <c r="A205" t="inlineStr">
        <is>
          <t>C0204</t>
        </is>
      </c>
      <c r="B205" t="inlineStr">
        <is>
          <t>x_0204</t>
        </is>
      </c>
      <c r="C205" t="inlineStr">
        <is>
          <t>Handwerkskammern Rheinland-Pfalz</t>
        </is>
      </c>
      <c r="D205" t="inlineStr">
        <is>
          <t>implementation_anchor</t>
        </is>
      </c>
      <c r="E205" t="inlineStr">
        <is>
          <t>chamber_association_anchor</t>
        </is>
      </c>
      <c r="F205" t="inlineStr">
        <is>
          <t>Hochschule Kaiserslautern</t>
        </is>
      </c>
      <c r="G205" t="inlineStr">
        <is>
          <t>academic_support</t>
        </is>
      </c>
      <c r="H205" t="inlineStr">
        <is>
          <t>university_applied_sciences</t>
        </is>
      </c>
      <c r="I205" t="n">
        <v>32</v>
      </c>
      <c r="J205" t="n">
        <v>0</v>
      </c>
      <c r="K205" t="n">
        <v>0.1</v>
      </c>
      <c r="L205" t="n">
        <v>0.05555556</v>
      </c>
      <c r="M205" t="n">
        <v>0.15555556</v>
      </c>
      <c r="N205" t="n">
        <v>2.00277778</v>
      </c>
      <c r="O205" t="n">
        <v>64.08888899999999</v>
      </c>
      <c r="P205" t="n">
        <v>0.25</v>
      </c>
      <c r="Q205" t="n">
        <v>0.09090909</v>
      </c>
      <c r="R205" t="n">
        <v>0.34090909</v>
      </c>
      <c r="S205" t="n">
        <v>1.09730114</v>
      </c>
      <c r="T205" t="n">
        <v>1.48244741</v>
      </c>
      <c r="U205" t="n">
        <v>47.438317</v>
      </c>
      <c r="V205" t="b">
        <v>1</v>
      </c>
      <c r="W205" t="n">
        <v>1</v>
      </c>
      <c r="X205" t="inlineStr">
        <is>
          <t>role_subrole_balanced_score = base_support_score * capped sqrt(avg_macro_multiplier * avg_subrole_multiplier); role/subrole quota constraints use inverse weights.</t>
        </is>
      </c>
    </row>
    <row r="206">
      <c r="A206" t="inlineStr">
        <is>
          <t>C0205</t>
        </is>
      </c>
      <c r="B206" t="inlineStr">
        <is>
          <t>x_0205</t>
        </is>
      </c>
      <c r="C206" t="inlineStr">
        <is>
          <t>Handwerkskammern Rheinland-Pfalz</t>
        </is>
      </c>
      <c r="D206" t="inlineStr">
        <is>
          <t>implementation_anchor</t>
        </is>
      </c>
      <c r="E206" t="inlineStr">
        <is>
          <t>chamber_association_anchor</t>
        </is>
      </c>
      <c r="F206" t="inlineStr">
        <is>
          <t>Hochschule Koblenz</t>
        </is>
      </c>
      <c r="G206" t="inlineStr">
        <is>
          <t>academic_support</t>
        </is>
      </c>
      <c r="H206" t="inlineStr">
        <is>
          <t>university_applied_sciences</t>
        </is>
      </c>
      <c r="I206" t="n">
        <v>32</v>
      </c>
      <c r="J206" t="n">
        <v>0</v>
      </c>
      <c r="K206" t="n">
        <v>0.1</v>
      </c>
      <c r="L206" t="n">
        <v>0.05555556</v>
      </c>
      <c r="M206" t="n">
        <v>0.15555556</v>
      </c>
      <c r="N206" t="n">
        <v>2.00277778</v>
      </c>
      <c r="O206" t="n">
        <v>64.08888899999999</v>
      </c>
      <c r="P206" t="n">
        <v>0.25</v>
      </c>
      <c r="Q206" t="n">
        <v>0.09090909</v>
      </c>
      <c r="R206" t="n">
        <v>0.34090909</v>
      </c>
      <c r="S206" t="n">
        <v>1.09730114</v>
      </c>
      <c r="T206" t="n">
        <v>1.48244741</v>
      </c>
      <c r="U206" t="n">
        <v>47.438317</v>
      </c>
      <c r="V206" t="b">
        <v>1</v>
      </c>
      <c r="W206" t="n">
        <v>1</v>
      </c>
      <c r="X206" t="inlineStr">
        <is>
          <t>role_subrole_balanced_score = base_support_score * capped sqrt(avg_macro_multiplier * avg_subrole_multiplier); role/subrole quota constraints use inverse weights.</t>
        </is>
      </c>
    </row>
    <row r="207">
      <c r="A207" t="inlineStr">
        <is>
          <t>C0206</t>
        </is>
      </c>
      <c r="B207" t="inlineStr">
        <is>
          <t>x_0206</t>
        </is>
      </c>
      <c r="C207" t="inlineStr">
        <is>
          <t>Handwerkskammern Rheinland-Pfalz</t>
        </is>
      </c>
      <c r="D207" t="inlineStr">
        <is>
          <t>implementation_anchor</t>
        </is>
      </c>
      <c r="E207" t="inlineStr">
        <is>
          <t>chamber_association_anchor</t>
        </is>
      </c>
      <c r="F207" t="inlineStr">
        <is>
          <t>Hochschule Mainz</t>
        </is>
      </c>
      <c r="G207" t="inlineStr">
        <is>
          <t>academic_support</t>
        </is>
      </c>
      <c r="H207" t="inlineStr">
        <is>
          <t>university_applied_sciences</t>
        </is>
      </c>
      <c r="I207" t="n">
        <v>32</v>
      </c>
      <c r="J207" t="n">
        <v>0</v>
      </c>
      <c r="K207" t="n">
        <v>0.1</v>
      </c>
      <c r="L207" t="n">
        <v>0.05555556</v>
      </c>
      <c r="M207" t="n">
        <v>0.15555556</v>
      </c>
      <c r="N207" t="n">
        <v>2.00277778</v>
      </c>
      <c r="O207" t="n">
        <v>64.08888899999999</v>
      </c>
      <c r="P207" t="n">
        <v>0.25</v>
      </c>
      <c r="Q207" t="n">
        <v>0.09090909</v>
      </c>
      <c r="R207" t="n">
        <v>0.34090909</v>
      </c>
      <c r="S207" t="n">
        <v>1.09730114</v>
      </c>
      <c r="T207" t="n">
        <v>1.48244741</v>
      </c>
      <c r="U207" t="n">
        <v>47.438317</v>
      </c>
      <c r="V207" t="b">
        <v>1</v>
      </c>
      <c r="W207" t="n">
        <v>1</v>
      </c>
      <c r="X207" t="inlineStr">
        <is>
          <t>role_subrole_balanced_score = base_support_score * capped sqrt(avg_macro_multiplier * avg_subrole_multiplier); role/subrole quota constraints use inverse weights.</t>
        </is>
      </c>
    </row>
    <row r="208">
      <c r="A208" t="inlineStr">
        <is>
          <t>C0207</t>
        </is>
      </c>
      <c r="B208" t="inlineStr">
        <is>
          <t>x_0207</t>
        </is>
      </c>
      <c r="C208" t="inlineStr">
        <is>
          <t>Handwerkskammern Rheinland-Pfalz</t>
        </is>
      </c>
      <c r="D208" t="inlineStr">
        <is>
          <t>implementation_anchor</t>
        </is>
      </c>
      <c r="E208" t="inlineStr">
        <is>
          <t>chamber_association_anchor</t>
        </is>
      </c>
      <c r="F208" t="inlineStr">
        <is>
          <t>Hochschule Trier</t>
        </is>
      </c>
      <c r="G208" t="inlineStr">
        <is>
          <t>academic_support</t>
        </is>
      </c>
      <c r="H208" t="inlineStr">
        <is>
          <t>university_applied_sciences</t>
        </is>
      </c>
      <c r="I208" t="n">
        <v>32</v>
      </c>
      <c r="J208" t="n">
        <v>0</v>
      </c>
      <c r="K208" t="n">
        <v>0.1</v>
      </c>
      <c r="L208" t="n">
        <v>0.05555556</v>
      </c>
      <c r="M208" t="n">
        <v>0.15555556</v>
      </c>
      <c r="N208" t="n">
        <v>2.00277778</v>
      </c>
      <c r="O208" t="n">
        <v>64.08888899999999</v>
      </c>
      <c r="P208" t="n">
        <v>0.25</v>
      </c>
      <c r="Q208" t="n">
        <v>0.09090909</v>
      </c>
      <c r="R208" t="n">
        <v>0.34090909</v>
      </c>
      <c r="S208" t="n">
        <v>1.09730114</v>
      </c>
      <c r="T208" t="n">
        <v>1.48244741</v>
      </c>
      <c r="U208" t="n">
        <v>47.438317</v>
      </c>
      <c r="V208" t="b">
        <v>1</v>
      </c>
      <c r="W208" t="n">
        <v>1</v>
      </c>
      <c r="X208" t="inlineStr">
        <is>
          <t>role_subrole_balanced_score = base_support_score * capped sqrt(avg_macro_multiplier * avg_subrole_multiplier); role/subrole quota constraints use inverse weights.</t>
        </is>
      </c>
    </row>
    <row r="209">
      <c r="A209" t="inlineStr">
        <is>
          <t>C0208</t>
        </is>
      </c>
      <c r="B209" t="inlineStr">
        <is>
          <t>x_0208</t>
        </is>
      </c>
      <c r="C209" t="inlineStr">
        <is>
          <t>Handwerkskammern Rheinland-Pfalz</t>
        </is>
      </c>
      <c r="D209" t="inlineStr">
        <is>
          <t>implementation_anchor</t>
        </is>
      </c>
      <c r="E209" t="inlineStr">
        <is>
          <t>chamber_association_anchor</t>
        </is>
      </c>
      <c r="F209" t="inlineStr">
        <is>
          <t>Hochschule Worms</t>
        </is>
      </c>
      <c r="G209" t="inlineStr">
        <is>
          <t>academic_support</t>
        </is>
      </c>
      <c r="H209" t="inlineStr">
        <is>
          <t>university_applied_sciences</t>
        </is>
      </c>
      <c r="I209" t="n">
        <v>32</v>
      </c>
      <c r="J209" t="n">
        <v>0</v>
      </c>
      <c r="K209" t="n">
        <v>0.1</v>
      </c>
      <c r="L209" t="n">
        <v>0.05555556</v>
      </c>
      <c r="M209" t="n">
        <v>0.15555556</v>
      </c>
      <c r="N209" t="n">
        <v>2.00277778</v>
      </c>
      <c r="O209" t="n">
        <v>64.08888899999999</v>
      </c>
      <c r="P209" t="n">
        <v>0.25</v>
      </c>
      <c r="Q209" t="n">
        <v>0.09090909</v>
      </c>
      <c r="R209" t="n">
        <v>0.34090909</v>
      </c>
      <c r="S209" t="n">
        <v>1.09730114</v>
      </c>
      <c r="T209" t="n">
        <v>1.48244741</v>
      </c>
      <c r="U209" t="n">
        <v>47.438317</v>
      </c>
      <c r="V209" t="b">
        <v>1</v>
      </c>
      <c r="W209" t="n">
        <v>1</v>
      </c>
      <c r="X209" t="inlineStr">
        <is>
          <t>role_subrole_balanced_score = base_support_score * capped sqrt(avg_macro_multiplier * avg_subrole_multiplier); role/subrole quota constraints use inverse weights.</t>
        </is>
      </c>
    </row>
    <row r="210">
      <c r="A210" t="inlineStr">
        <is>
          <t>C0209</t>
        </is>
      </c>
      <c r="B210" t="inlineStr">
        <is>
          <t>x_0209</t>
        </is>
      </c>
      <c r="C210" t="inlineStr">
        <is>
          <t>Handwerkskammern Rheinland-Pfalz</t>
        </is>
      </c>
      <c r="D210" t="inlineStr">
        <is>
          <t>implementation_anchor</t>
        </is>
      </c>
      <c r="E210" t="inlineStr">
        <is>
          <t>chamber_association_anchor</t>
        </is>
      </c>
      <c r="F210" t="inlineStr">
        <is>
          <t>Hochschule für Wirtschaft und Gesellschaft Ludwigshafen</t>
        </is>
      </c>
      <c r="G210" t="inlineStr">
        <is>
          <t>academic_support</t>
        </is>
      </c>
      <c r="H210" t="inlineStr">
        <is>
          <t>university_applied_sciences</t>
        </is>
      </c>
      <c r="I210" t="n">
        <v>32</v>
      </c>
      <c r="J210" t="n">
        <v>0</v>
      </c>
      <c r="K210" t="n">
        <v>0.1</v>
      </c>
      <c r="L210" t="n">
        <v>0.05555556</v>
      </c>
      <c r="M210" t="n">
        <v>0.15555556</v>
      </c>
      <c r="N210" t="n">
        <v>2.00277778</v>
      </c>
      <c r="O210" t="n">
        <v>64.08888899999999</v>
      </c>
      <c r="P210" t="n">
        <v>0.25</v>
      </c>
      <c r="Q210" t="n">
        <v>0.09090909</v>
      </c>
      <c r="R210" t="n">
        <v>0.34090909</v>
      </c>
      <c r="S210" t="n">
        <v>1.09730114</v>
      </c>
      <c r="T210" t="n">
        <v>1.48244741</v>
      </c>
      <c r="U210" t="n">
        <v>47.438317</v>
      </c>
      <c r="V210" t="b">
        <v>1</v>
      </c>
      <c r="W210" t="n">
        <v>1</v>
      </c>
      <c r="X210" t="inlineStr">
        <is>
          <t>role_subrole_balanced_score = base_support_score * capped sqrt(avg_macro_multiplier * avg_subrole_multiplier); role/subrole quota constraints use inverse weights.</t>
        </is>
      </c>
    </row>
    <row r="211">
      <c r="A211" t="inlineStr">
        <is>
          <t>C0210</t>
        </is>
      </c>
      <c r="B211" t="inlineStr">
        <is>
          <t>x_0210</t>
        </is>
      </c>
      <c r="C211" t="inlineStr">
        <is>
          <t>Handwerkskammern Rheinland-Pfalz</t>
        </is>
      </c>
      <c r="D211" t="inlineStr">
        <is>
          <t>implementation_anchor</t>
        </is>
      </c>
      <c r="E211" t="inlineStr">
        <is>
          <t>chamber_association_anchor</t>
        </is>
      </c>
      <c r="F211" t="inlineStr">
        <is>
          <t>Technische Hochschule Bingen</t>
        </is>
      </c>
      <c r="G211" t="inlineStr">
        <is>
          <t>academic_support</t>
        </is>
      </c>
      <c r="H211" t="inlineStr">
        <is>
          <t>university_applied_sciences</t>
        </is>
      </c>
      <c r="I211" t="n">
        <v>32</v>
      </c>
      <c r="J211" t="n">
        <v>0</v>
      </c>
      <c r="K211" t="n">
        <v>0.1</v>
      </c>
      <c r="L211" t="n">
        <v>0.05555556</v>
      </c>
      <c r="M211" t="n">
        <v>0.15555556</v>
      </c>
      <c r="N211" t="n">
        <v>2.00277778</v>
      </c>
      <c r="O211" t="n">
        <v>64.08888899999999</v>
      </c>
      <c r="P211" t="n">
        <v>0.25</v>
      </c>
      <c r="Q211" t="n">
        <v>0.09090909</v>
      </c>
      <c r="R211" t="n">
        <v>0.34090909</v>
      </c>
      <c r="S211" t="n">
        <v>1.09730114</v>
      </c>
      <c r="T211" t="n">
        <v>1.48244741</v>
      </c>
      <c r="U211" t="n">
        <v>47.438317</v>
      </c>
      <c r="V211" t="b">
        <v>1</v>
      </c>
      <c r="W211" t="n">
        <v>1</v>
      </c>
      <c r="X211" t="inlineStr">
        <is>
          <t>role_subrole_balanced_score = base_support_score * capped sqrt(avg_macro_multiplier * avg_subrole_multiplier); role/subrole quota constraints use inverse weights.</t>
        </is>
      </c>
    </row>
    <row r="212">
      <c r="A212" t="inlineStr">
        <is>
          <t>C0211</t>
        </is>
      </c>
      <c r="B212" t="inlineStr">
        <is>
          <t>x_0211</t>
        </is>
      </c>
      <c r="C212" t="inlineStr">
        <is>
          <t>Handwerkskammern Rheinland-Pfalz</t>
        </is>
      </c>
      <c r="D212" t="inlineStr">
        <is>
          <t>implementation_anchor</t>
        </is>
      </c>
      <c r="E212" t="inlineStr">
        <is>
          <t>chamber_association_anchor</t>
        </is>
      </c>
      <c r="F212" t="inlineStr">
        <is>
          <t>Universität Koblenz</t>
        </is>
      </c>
      <c r="G212" t="inlineStr">
        <is>
          <t>academic_support</t>
        </is>
      </c>
      <c r="H212" t="inlineStr">
        <is>
          <t>university_research</t>
        </is>
      </c>
      <c r="I212" t="n">
        <v>32</v>
      </c>
      <c r="J212" t="n">
        <v>0</v>
      </c>
      <c r="K212" t="n">
        <v>0.1</v>
      </c>
      <c r="L212" t="n">
        <v>0.05555556</v>
      </c>
      <c r="M212" t="n">
        <v>0.15555556</v>
      </c>
      <c r="N212" t="n">
        <v>2.00277778</v>
      </c>
      <c r="O212" t="n">
        <v>64.08888899999999</v>
      </c>
      <c r="P212" t="n">
        <v>0.25</v>
      </c>
      <c r="Q212" t="n">
        <v>0.14285714</v>
      </c>
      <c r="R212" t="n">
        <v>0.39285714</v>
      </c>
      <c r="S212" t="n">
        <v>1.26450893</v>
      </c>
      <c r="T212" t="n">
        <v>1.59139259</v>
      </c>
      <c r="U212" t="n">
        <v>50.924563</v>
      </c>
      <c r="V212" t="b">
        <v>1</v>
      </c>
      <c r="W212" t="n">
        <v>1</v>
      </c>
      <c r="X212" t="inlineStr">
        <is>
          <t>role_subrole_balanced_score = base_support_score * capped sqrt(avg_macro_multiplier * avg_subrole_multiplier); role/subrole quota constraints use inverse weights.</t>
        </is>
      </c>
    </row>
    <row r="213">
      <c r="A213" t="inlineStr">
        <is>
          <t>C0212</t>
        </is>
      </c>
      <c r="B213" t="inlineStr">
        <is>
          <t>x_0212</t>
        </is>
      </c>
      <c r="C213" t="inlineStr">
        <is>
          <t>Handwerkskammern Rheinland-Pfalz</t>
        </is>
      </c>
      <c r="D213" t="inlineStr">
        <is>
          <t>implementation_anchor</t>
        </is>
      </c>
      <c r="E213" t="inlineStr">
        <is>
          <t>chamber_association_anchor</t>
        </is>
      </c>
      <c r="F213" t="inlineStr">
        <is>
          <t>Universität Trier</t>
        </is>
      </c>
      <c r="G213" t="inlineStr">
        <is>
          <t>academic_support</t>
        </is>
      </c>
      <c r="H213" t="inlineStr">
        <is>
          <t>university_research</t>
        </is>
      </c>
      <c r="I213" t="n">
        <v>32</v>
      </c>
      <c r="J213" t="n">
        <v>0</v>
      </c>
      <c r="K213" t="n">
        <v>0.1</v>
      </c>
      <c r="L213" t="n">
        <v>0.05555556</v>
      </c>
      <c r="M213" t="n">
        <v>0.15555556</v>
      </c>
      <c r="N213" t="n">
        <v>2.00277778</v>
      </c>
      <c r="O213" t="n">
        <v>64.08888899999999</v>
      </c>
      <c r="P213" t="n">
        <v>0.25</v>
      </c>
      <c r="Q213" t="n">
        <v>0.14285714</v>
      </c>
      <c r="R213" t="n">
        <v>0.39285714</v>
      </c>
      <c r="S213" t="n">
        <v>1.26450893</v>
      </c>
      <c r="T213" t="n">
        <v>1.59139259</v>
      </c>
      <c r="U213" t="n">
        <v>50.924563</v>
      </c>
      <c r="V213" t="b">
        <v>1</v>
      </c>
      <c r="W213" t="n">
        <v>1</v>
      </c>
      <c r="X213" t="inlineStr">
        <is>
          <t>role_subrole_balanced_score = base_support_score * capped sqrt(avg_macro_multiplier * avg_subrole_multiplier); role/subrole quota constraints use inverse weights.</t>
        </is>
      </c>
    </row>
    <row r="214">
      <c r="A214" t="inlineStr">
        <is>
          <t>C0213</t>
        </is>
      </c>
      <c r="B214" t="inlineStr">
        <is>
          <t>x_0213</t>
        </is>
      </c>
      <c r="C214" t="inlineStr">
        <is>
          <t>Continental Automotive Technologies GmbH, Safety and Motion (SAM), Standort Rheinböllen</t>
        </is>
      </c>
      <c r="D214" t="inlineStr">
        <is>
          <t>profit_anchor</t>
        </is>
      </c>
      <c r="E214" t="inlineStr">
        <is>
          <t>industry_anchor</t>
        </is>
      </c>
      <c r="F214" t="inlineStr">
        <is>
          <t>Rheinland-Pfälzische Technische Universität Kaiserslautern-Landau (RPTU)</t>
        </is>
      </c>
      <c r="G214" t="inlineStr">
        <is>
          <t>academic_support</t>
        </is>
      </c>
      <c r="H214" t="inlineStr">
        <is>
          <t>university_research</t>
        </is>
      </c>
      <c r="I214" t="n">
        <v>32</v>
      </c>
      <c r="J214" t="n">
        <v>0</v>
      </c>
      <c r="K214" t="n">
        <v>0.02040816</v>
      </c>
      <c r="L214" t="n">
        <v>0.05555556</v>
      </c>
      <c r="M214" t="n">
        <v>0.07596372</v>
      </c>
      <c r="N214" t="n">
        <v>0.97803288</v>
      </c>
      <c r="O214" t="n">
        <v>31.297052</v>
      </c>
      <c r="P214" t="n">
        <v>0.09090909</v>
      </c>
      <c r="Q214" t="n">
        <v>0.14285714</v>
      </c>
      <c r="R214" t="n">
        <v>0.23376623</v>
      </c>
      <c r="S214" t="n">
        <v>0.75243506</v>
      </c>
      <c r="T214" t="n">
        <v>0.85784977</v>
      </c>
      <c r="U214" t="n">
        <v>27.451193</v>
      </c>
      <c r="V214" t="b">
        <v>1</v>
      </c>
      <c r="W214" t="n">
        <v>1</v>
      </c>
      <c r="X214" t="inlineStr">
        <is>
          <t>role_subrole_balanced_score = base_support_score * capped sqrt(avg_macro_multiplier * avg_subrole_multiplier); role/subrole quota constraints use inverse weights.</t>
        </is>
      </c>
    </row>
    <row r="215">
      <c r="A215" t="inlineStr">
        <is>
          <t>C0214</t>
        </is>
      </c>
      <c r="B215" t="inlineStr">
        <is>
          <t>x_0214</t>
        </is>
      </c>
      <c r="C215" t="inlineStr">
        <is>
          <t>Continental Automotive Technologies GmbH, Safety and Motion (SAM), Standort Rheinböllen</t>
        </is>
      </c>
      <c r="D215" t="inlineStr">
        <is>
          <t>profit_anchor</t>
        </is>
      </c>
      <c r="E215" t="inlineStr">
        <is>
          <t>industry_anchor</t>
        </is>
      </c>
      <c r="F215" t="inlineStr">
        <is>
          <t>SmartFactory KL e.V.</t>
        </is>
      </c>
      <c r="G215" t="inlineStr">
        <is>
          <t>context_actor</t>
        </is>
      </c>
      <c r="H215" t="inlineStr">
        <is>
          <t>technology_digital_anchor</t>
        </is>
      </c>
      <c r="I215" t="n">
        <v>32</v>
      </c>
      <c r="J215" t="n">
        <v>0</v>
      </c>
      <c r="K215" t="n">
        <v>0.02040816</v>
      </c>
      <c r="L215" t="n">
        <v>0.03846154</v>
      </c>
      <c r="M215" t="n">
        <v>0.0588697</v>
      </c>
      <c r="N215" t="n">
        <v>0.75794741</v>
      </c>
      <c r="O215" t="n">
        <v>24.254317</v>
      </c>
      <c r="P215" t="n">
        <v>0.09090909</v>
      </c>
      <c r="Q215" t="n">
        <v>0.11111111</v>
      </c>
      <c r="R215" t="n">
        <v>0.2020202</v>
      </c>
      <c r="S215" t="n">
        <v>0.6502525300000001</v>
      </c>
      <c r="T215" t="n">
        <v>0.7020379</v>
      </c>
      <c r="U215" t="n">
        <v>22.465213</v>
      </c>
      <c r="V215" t="b">
        <v>0</v>
      </c>
      <c r="W215" t="n">
        <v>0</v>
      </c>
      <c r="X215" t="inlineStr">
        <is>
          <t>role_subrole_balanced_score = base_support_score * capped sqrt(avg_macro_multiplier * avg_subrole_multiplier); role/subrole quota constraints use inverse weights.</t>
        </is>
      </c>
    </row>
    <row r="216">
      <c r="A216" t="inlineStr">
        <is>
          <t>C0215</t>
        </is>
      </c>
      <c r="B216" t="inlineStr">
        <is>
          <t>x_0215</t>
        </is>
      </c>
      <c r="C216" t="inlineStr">
        <is>
          <t>ITK Engineering GmbH</t>
        </is>
      </c>
      <c r="D216" t="inlineStr">
        <is>
          <t>profit_anchor</t>
        </is>
      </c>
      <c r="E216" t="inlineStr">
        <is>
          <t>technology_digital_anchor</t>
        </is>
      </c>
      <c r="F216" t="inlineStr">
        <is>
          <t>Rheinland-Pfälzische Technische Universität Kaiserslautern-Landau (RPTU)</t>
        </is>
      </c>
      <c r="G216" t="inlineStr">
        <is>
          <t>academic_support</t>
        </is>
      </c>
      <c r="H216" t="inlineStr">
        <is>
          <t>university_research</t>
        </is>
      </c>
      <c r="I216" t="n">
        <v>32</v>
      </c>
      <c r="J216" t="n">
        <v>0</v>
      </c>
      <c r="K216" t="n">
        <v>0.02040816</v>
      </c>
      <c r="L216" t="n">
        <v>0.05555556</v>
      </c>
      <c r="M216" t="n">
        <v>0.07596372</v>
      </c>
      <c r="N216" t="n">
        <v>0.97803288</v>
      </c>
      <c r="O216" t="n">
        <v>31.297052</v>
      </c>
      <c r="P216" t="n">
        <v>0.11111111</v>
      </c>
      <c r="Q216" t="n">
        <v>0.14285714</v>
      </c>
      <c r="R216" t="n">
        <v>0.25396825</v>
      </c>
      <c r="S216" t="n">
        <v>0.81746032</v>
      </c>
      <c r="T216" t="n">
        <v>0.89414935</v>
      </c>
      <c r="U216" t="n">
        <v>28.612779</v>
      </c>
      <c r="V216" t="b">
        <v>1</v>
      </c>
      <c r="W216" t="n">
        <v>1</v>
      </c>
      <c r="X216" t="inlineStr">
        <is>
          <t>role_subrole_balanced_score = base_support_score * capped sqrt(avg_macro_multiplier * avg_subrole_multiplier); role/subrole quota constraints use inverse weights.</t>
        </is>
      </c>
    </row>
    <row r="217">
      <c r="A217" t="inlineStr">
        <is>
          <t>C0216</t>
        </is>
      </c>
      <c r="B217" t="inlineStr">
        <is>
          <t>x_0216</t>
        </is>
      </c>
      <c r="C217" t="inlineStr">
        <is>
          <t>ITK Engineering GmbH</t>
        </is>
      </c>
      <c r="D217" t="inlineStr">
        <is>
          <t>profit_anchor</t>
        </is>
      </c>
      <c r="E217" t="inlineStr">
        <is>
          <t>technology_digital_anchor</t>
        </is>
      </c>
      <c r="F217" t="inlineStr">
        <is>
          <t>SmartFactory KL e.V.</t>
        </is>
      </c>
      <c r="G217" t="inlineStr">
        <is>
          <t>context_actor</t>
        </is>
      </c>
      <c r="H217" t="inlineStr">
        <is>
          <t>technology_digital_anchor</t>
        </is>
      </c>
      <c r="I217" t="n">
        <v>32</v>
      </c>
      <c r="J217" t="n">
        <v>0</v>
      </c>
      <c r="K217" t="n">
        <v>0.02040816</v>
      </c>
      <c r="L217" t="n">
        <v>0.03846154</v>
      </c>
      <c r="M217" t="n">
        <v>0.0588697</v>
      </c>
      <c r="N217" t="n">
        <v>0.75794741</v>
      </c>
      <c r="O217" t="n">
        <v>24.254317</v>
      </c>
      <c r="P217" t="n">
        <v>0.11111111</v>
      </c>
      <c r="Q217" t="n">
        <v>0.11111111</v>
      </c>
      <c r="R217" t="n">
        <v>0.22222222</v>
      </c>
      <c r="S217" t="n">
        <v>0.71527778</v>
      </c>
      <c r="T217" t="n">
        <v>0.73630356</v>
      </c>
      <c r="U217" t="n">
        <v>23.561714</v>
      </c>
      <c r="V217" t="b">
        <v>0</v>
      </c>
      <c r="W217" t="n">
        <v>0</v>
      </c>
      <c r="X217" t="inlineStr">
        <is>
          <t>role_subrole_balanced_score = base_support_score * capped sqrt(avg_macro_multiplier * avg_subrole_multiplier); role/subrole quota constraints use inverse weights.</t>
        </is>
      </c>
    </row>
    <row r="218">
      <c r="A218" t="inlineStr">
        <is>
          <t>C0217</t>
        </is>
      </c>
      <c r="B218" t="inlineStr">
        <is>
          <t>x_0217</t>
        </is>
      </c>
      <c r="C218" t="inlineStr">
        <is>
          <t>Joseph Vögele AG</t>
        </is>
      </c>
      <c r="D218" t="inlineStr">
        <is>
          <t>profit_anchor</t>
        </is>
      </c>
      <c r="E218" t="inlineStr">
        <is>
          <t>construction_planning_anchor</t>
        </is>
      </c>
      <c r="F218" t="inlineStr">
        <is>
          <t>Rheinland-Pfälzische Technische Universität Kaiserslautern-Landau (RPTU)</t>
        </is>
      </c>
      <c r="G218" t="inlineStr">
        <is>
          <t>academic_support</t>
        </is>
      </c>
      <c r="H218" t="inlineStr">
        <is>
          <t>university_research</t>
        </is>
      </c>
      <c r="I218" t="n">
        <v>32</v>
      </c>
      <c r="J218" t="n">
        <v>0</v>
      </c>
      <c r="K218" t="n">
        <v>0.02040816</v>
      </c>
      <c r="L218" t="n">
        <v>0.05555556</v>
      </c>
      <c r="M218" t="n">
        <v>0.07596372</v>
      </c>
      <c r="N218" t="n">
        <v>0.97803288</v>
      </c>
      <c r="O218" t="n">
        <v>31.297052</v>
      </c>
      <c r="P218" t="n">
        <v>0.125</v>
      </c>
      <c r="Q218" t="n">
        <v>0.14285714</v>
      </c>
      <c r="R218" t="n">
        <v>0.26785714</v>
      </c>
      <c r="S218" t="n">
        <v>0.86216518</v>
      </c>
      <c r="T218" t="n">
        <v>0.9182733199999999</v>
      </c>
      <c r="U218" t="n">
        <v>29.384746</v>
      </c>
      <c r="V218" t="b">
        <v>1</v>
      </c>
      <c r="W218" t="n">
        <v>1</v>
      </c>
      <c r="X218" t="inlineStr">
        <is>
          <t>role_subrole_balanced_score = base_support_score * capped sqrt(avg_macro_multiplier * avg_subrole_multiplier); role/subrole quota constraints use inverse weights.</t>
        </is>
      </c>
    </row>
    <row r="219">
      <c r="A219" t="inlineStr">
        <is>
          <t>C0218</t>
        </is>
      </c>
      <c r="B219" t="inlineStr">
        <is>
          <t>x_0218</t>
        </is>
      </c>
      <c r="C219" t="inlineStr">
        <is>
          <t>Joseph Vögele AG</t>
        </is>
      </c>
      <c r="D219" t="inlineStr">
        <is>
          <t>profit_anchor</t>
        </is>
      </c>
      <c r="E219" t="inlineStr">
        <is>
          <t>construction_planning_anchor</t>
        </is>
      </c>
      <c r="F219" t="inlineStr">
        <is>
          <t>SmartFactory KL e.V.</t>
        </is>
      </c>
      <c r="G219" t="inlineStr">
        <is>
          <t>context_actor</t>
        </is>
      </c>
      <c r="H219" t="inlineStr">
        <is>
          <t>technology_digital_anchor</t>
        </is>
      </c>
      <c r="I219" t="n">
        <v>32</v>
      </c>
      <c r="J219" t="n">
        <v>0</v>
      </c>
      <c r="K219" t="n">
        <v>0.02040816</v>
      </c>
      <c r="L219" t="n">
        <v>0.03846154</v>
      </c>
      <c r="M219" t="n">
        <v>0.0588697</v>
      </c>
      <c r="N219" t="n">
        <v>0.75794741</v>
      </c>
      <c r="O219" t="n">
        <v>24.254317</v>
      </c>
      <c r="P219" t="n">
        <v>0.125</v>
      </c>
      <c r="Q219" t="n">
        <v>0.11111111</v>
      </c>
      <c r="R219" t="n">
        <v>0.23611111</v>
      </c>
      <c r="S219" t="n">
        <v>0.75998264</v>
      </c>
      <c r="T219" t="n">
        <v>0.75896434</v>
      </c>
      <c r="U219" t="n">
        <v>24.286859</v>
      </c>
      <c r="V219" t="b">
        <v>0</v>
      </c>
      <c r="W219" t="n">
        <v>0</v>
      </c>
      <c r="X219" t="inlineStr">
        <is>
          <t>role_subrole_balanced_score = base_support_score * capped sqrt(avg_macro_multiplier * avg_subrole_multiplier); role/subrole quota constraints use inverse weights.</t>
        </is>
      </c>
    </row>
    <row r="220">
      <c r="A220" t="inlineStr">
        <is>
          <t>C0219</t>
        </is>
      </c>
      <c r="B220" t="inlineStr">
        <is>
          <t>x_0219</t>
        </is>
      </c>
      <c r="C220" t="inlineStr">
        <is>
          <t>PFAFF Industriesysteme und Maschinen GmbH</t>
        </is>
      </c>
      <c r="D220" t="inlineStr">
        <is>
          <t>profit_anchor</t>
        </is>
      </c>
      <c r="E220" t="inlineStr">
        <is>
          <t>industry_anchor</t>
        </is>
      </c>
      <c r="F220" t="inlineStr">
        <is>
          <t>Rheinland-Pfälzische Technische Universität Kaiserslautern-Landau (RPTU)</t>
        </is>
      </c>
      <c r="G220" t="inlineStr">
        <is>
          <t>academic_support</t>
        </is>
      </c>
      <c r="H220" t="inlineStr">
        <is>
          <t>university_research</t>
        </is>
      </c>
      <c r="I220" t="n">
        <v>32</v>
      </c>
      <c r="J220" t="n">
        <v>0</v>
      </c>
      <c r="K220" t="n">
        <v>0.02040816</v>
      </c>
      <c r="L220" t="n">
        <v>0.05555556</v>
      </c>
      <c r="M220" t="n">
        <v>0.07596372</v>
      </c>
      <c r="N220" t="n">
        <v>0.97803288</v>
      </c>
      <c r="O220" t="n">
        <v>31.297052</v>
      </c>
      <c r="P220" t="n">
        <v>0.09090909</v>
      </c>
      <c r="Q220" t="n">
        <v>0.14285714</v>
      </c>
      <c r="R220" t="n">
        <v>0.23376623</v>
      </c>
      <c r="S220" t="n">
        <v>0.75243506</v>
      </c>
      <c r="T220" t="n">
        <v>0.85784977</v>
      </c>
      <c r="U220" t="n">
        <v>27.451193</v>
      </c>
      <c r="V220" t="b">
        <v>1</v>
      </c>
      <c r="W220" t="n">
        <v>1</v>
      </c>
      <c r="X220" t="inlineStr">
        <is>
          <t>role_subrole_balanced_score = base_support_score * capped sqrt(avg_macro_multiplier * avg_subrole_multiplier); role/subrole quota constraints use inverse weights.</t>
        </is>
      </c>
    </row>
    <row r="221">
      <c r="A221" t="inlineStr">
        <is>
          <t>C0220</t>
        </is>
      </c>
      <c r="B221" t="inlineStr">
        <is>
          <t>x_0220</t>
        </is>
      </c>
      <c r="C221" t="inlineStr">
        <is>
          <t>PFAFF Industriesysteme und Maschinen GmbH</t>
        </is>
      </c>
      <c r="D221" t="inlineStr">
        <is>
          <t>profit_anchor</t>
        </is>
      </c>
      <c r="E221" t="inlineStr">
        <is>
          <t>industry_anchor</t>
        </is>
      </c>
      <c r="F221" t="inlineStr">
        <is>
          <t>SmartFactory KL e.V.</t>
        </is>
      </c>
      <c r="G221" t="inlineStr">
        <is>
          <t>context_actor</t>
        </is>
      </c>
      <c r="H221" t="inlineStr">
        <is>
          <t>technology_digital_anchor</t>
        </is>
      </c>
      <c r="I221" t="n">
        <v>32</v>
      </c>
      <c r="J221" t="n">
        <v>0</v>
      </c>
      <c r="K221" t="n">
        <v>0.02040816</v>
      </c>
      <c r="L221" t="n">
        <v>0.03846154</v>
      </c>
      <c r="M221" t="n">
        <v>0.0588697</v>
      </c>
      <c r="N221" t="n">
        <v>0.75794741</v>
      </c>
      <c r="O221" t="n">
        <v>24.254317</v>
      </c>
      <c r="P221" t="n">
        <v>0.09090909</v>
      </c>
      <c r="Q221" t="n">
        <v>0.11111111</v>
      </c>
      <c r="R221" t="n">
        <v>0.2020202</v>
      </c>
      <c r="S221" t="n">
        <v>0.6502525300000001</v>
      </c>
      <c r="T221" t="n">
        <v>0.7020379</v>
      </c>
      <c r="U221" t="n">
        <v>22.465213</v>
      </c>
      <c r="V221" t="b">
        <v>0</v>
      </c>
      <c r="W221" t="n">
        <v>0</v>
      </c>
      <c r="X221" t="inlineStr">
        <is>
          <t>role_subrole_balanced_score = base_support_score * capped sqrt(avg_macro_multiplier * avg_subrole_multiplier); role/subrole quota constraints use inverse weights.</t>
        </is>
      </c>
    </row>
    <row r="222">
      <c r="A222" t="inlineStr">
        <is>
          <t>C0221</t>
        </is>
      </c>
      <c r="B222" t="inlineStr">
        <is>
          <t>x_0221</t>
        </is>
      </c>
      <c r="C222" t="inlineStr">
        <is>
          <t>BRICKMAKERS AG</t>
        </is>
      </c>
      <c r="D222" t="inlineStr">
        <is>
          <t>profit_anchor</t>
        </is>
      </c>
      <c r="E222" t="inlineStr">
        <is>
          <t>technology_digital_anchor</t>
        </is>
      </c>
      <c r="F222" t="inlineStr">
        <is>
          <t>Deutsche Universität für Verwaltungswissenschaften Speyer</t>
        </is>
      </c>
      <c r="G222" t="inlineStr">
        <is>
          <t>academic_support</t>
        </is>
      </c>
      <c r="H222" t="inlineStr">
        <is>
          <t>university_research</t>
        </is>
      </c>
      <c r="I222" t="n">
        <v>32</v>
      </c>
      <c r="J222" t="n">
        <v>0</v>
      </c>
      <c r="K222" t="n">
        <v>0.02040816</v>
      </c>
      <c r="L222" t="n">
        <v>0.05555556</v>
      </c>
      <c r="M222" t="n">
        <v>0.07596372</v>
      </c>
      <c r="N222" t="n">
        <v>0.97803288</v>
      </c>
      <c r="O222" t="n">
        <v>31.297052</v>
      </c>
      <c r="P222" t="n">
        <v>0.11111111</v>
      </c>
      <c r="Q222" t="n">
        <v>0.14285714</v>
      </c>
      <c r="R222" t="n">
        <v>0.25396825</v>
      </c>
      <c r="S222" t="n">
        <v>0.81746032</v>
      </c>
      <c r="T222" t="n">
        <v>0.89414935</v>
      </c>
      <c r="U222" t="n">
        <v>28.612779</v>
      </c>
      <c r="V222" t="b">
        <v>1</v>
      </c>
      <c r="W222" t="n">
        <v>1</v>
      </c>
      <c r="X222" t="inlineStr">
        <is>
          <t>role_subrole_balanced_score = base_support_score * capped sqrt(avg_macro_multiplier * avg_subrole_multiplier); role/subrole quota constraints use inverse weights.</t>
        </is>
      </c>
    </row>
    <row r="223">
      <c r="A223" t="inlineStr">
        <is>
          <t>C0222</t>
        </is>
      </c>
      <c r="B223" t="inlineStr">
        <is>
          <t>x_0222</t>
        </is>
      </c>
      <c r="C223" t="inlineStr">
        <is>
          <t>BRICKMAKERS AG</t>
        </is>
      </c>
      <c r="D223" t="inlineStr">
        <is>
          <t>profit_anchor</t>
        </is>
      </c>
      <c r="E223" t="inlineStr">
        <is>
          <t>technology_digital_anchor</t>
        </is>
      </c>
      <c r="F223" t="inlineStr">
        <is>
          <t>Rheinland-Pfälzische Technische Universität Kaiserslautern-Landau (RPTU)</t>
        </is>
      </c>
      <c r="G223" t="inlineStr">
        <is>
          <t>academic_support</t>
        </is>
      </c>
      <c r="H223" t="inlineStr">
        <is>
          <t>university_research</t>
        </is>
      </c>
      <c r="I223" t="n">
        <v>32</v>
      </c>
      <c r="J223" t="n">
        <v>0</v>
      </c>
      <c r="K223" t="n">
        <v>0.02040816</v>
      </c>
      <c r="L223" t="n">
        <v>0.05555556</v>
      </c>
      <c r="M223" t="n">
        <v>0.07596372</v>
      </c>
      <c r="N223" t="n">
        <v>0.97803288</v>
      </c>
      <c r="O223" t="n">
        <v>31.297052</v>
      </c>
      <c r="P223" t="n">
        <v>0.11111111</v>
      </c>
      <c r="Q223" t="n">
        <v>0.14285714</v>
      </c>
      <c r="R223" t="n">
        <v>0.25396825</v>
      </c>
      <c r="S223" t="n">
        <v>0.81746032</v>
      </c>
      <c r="T223" t="n">
        <v>0.89414935</v>
      </c>
      <c r="U223" t="n">
        <v>28.612779</v>
      </c>
      <c r="V223" t="b">
        <v>1</v>
      </c>
      <c r="W223" t="n">
        <v>1</v>
      </c>
      <c r="X223" t="inlineStr">
        <is>
          <t>role_subrole_balanced_score = base_support_score * capped sqrt(avg_macro_multiplier * avg_subrole_multiplier); role/subrole quota constraints use inverse weights.</t>
        </is>
      </c>
    </row>
    <row r="224">
      <c r="A224" t="inlineStr">
        <is>
          <t>C0223</t>
        </is>
      </c>
      <c r="B224" t="inlineStr">
        <is>
          <t>x_0223</t>
        </is>
      </c>
      <c r="C224" t="inlineStr">
        <is>
          <t>BRICKMAKERS AG</t>
        </is>
      </c>
      <c r="D224" t="inlineStr">
        <is>
          <t>profit_anchor</t>
        </is>
      </c>
      <c r="E224" t="inlineStr">
        <is>
          <t>technology_digital_anchor</t>
        </is>
      </c>
      <c r="F224" t="inlineStr">
        <is>
          <t>robotspaceship</t>
        </is>
      </c>
      <c r="G224" t="inlineStr">
        <is>
          <t>context_actor</t>
        </is>
      </c>
      <c r="H224" t="inlineStr">
        <is>
          <t>technology_digital_anchor</t>
        </is>
      </c>
      <c r="I224" t="n">
        <v>32</v>
      </c>
      <c r="J224" t="n">
        <v>0</v>
      </c>
      <c r="K224" t="n">
        <v>0.02040816</v>
      </c>
      <c r="L224" t="n">
        <v>0.03846154</v>
      </c>
      <c r="M224" t="n">
        <v>0.0588697</v>
      </c>
      <c r="N224" t="n">
        <v>0.75794741</v>
      </c>
      <c r="O224" t="n">
        <v>24.254317</v>
      </c>
      <c r="P224" t="n">
        <v>0.11111111</v>
      </c>
      <c r="Q224" t="n">
        <v>0.11111111</v>
      </c>
      <c r="R224" t="n">
        <v>0.22222222</v>
      </c>
      <c r="S224" t="n">
        <v>0.71527778</v>
      </c>
      <c r="T224" t="n">
        <v>0.73630356</v>
      </c>
      <c r="U224" t="n">
        <v>23.561714</v>
      </c>
      <c r="V224" t="b">
        <v>0</v>
      </c>
      <c r="W224" t="n">
        <v>0</v>
      </c>
      <c r="X224" t="inlineStr">
        <is>
          <t>role_subrole_balanced_score = base_support_score * capped sqrt(avg_macro_multiplier * avg_subrole_multiplier); role/subrole quota constraints use inverse weights.</t>
        </is>
      </c>
    </row>
    <row r="225">
      <c r="A225" t="inlineStr">
        <is>
          <t>C0224</t>
        </is>
      </c>
      <c r="B225" t="inlineStr">
        <is>
          <t>x_0224</t>
        </is>
      </c>
      <c r="C225" t="inlineStr">
        <is>
          <t>Deutsche Telekom AG</t>
        </is>
      </c>
      <c r="D225" t="inlineStr">
        <is>
          <t>profit_anchor</t>
        </is>
      </c>
      <c r="E225" t="inlineStr">
        <is>
          <t>technology_digital_anchor</t>
        </is>
      </c>
      <c r="F225" t="inlineStr">
        <is>
          <t>Deutsche Universität für Verwaltungswissenschaften Speyer</t>
        </is>
      </c>
      <c r="G225" t="inlineStr">
        <is>
          <t>academic_support</t>
        </is>
      </c>
      <c r="H225" t="inlineStr">
        <is>
          <t>university_research</t>
        </is>
      </c>
      <c r="I225" t="n">
        <v>32</v>
      </c>
      <c r="J225" t="n">
        <v>0</v>
      </c>
      <c r="K225" t="n">
        <v>0.02040816</v>
      </c>
      <c r="L225" t="n">
        <v>0.05555556</v>
      </c>
      <c r="M225" t="n">
        <v>0.07596372</v>
      </c>
      <c r="N225" t="n">
        <v>0.97803288</v>
      </c>
      <c r="O225" t="n">
        <v>31.297052</v>
      </c>
      <c r="P225" t="n">
        <v>0.11111111</v>
      </c>
      <c r="Q225" t="n">
        <v>0.14285714</v>
      </c>
      <c r="R225" t="n">
        <v>0.25396825</v>
      </c>
      <c r="S225" t="n">
        <v>0.81746032</v>
      </c>
      <c r="T225" t="n">
        <v>0.89414935</v>
      </c>
      <c r="U225" t="n">
        <v>28.612779</v>
      </c>
      <c r="V225" t="b">
        <v>1</v>
      </c>
      <c r="W225" t="n">
        <v>1</v>
      </c>
      <c r="X225" t="inlineStr">
        <is>
          <t>role_subrole_balanced_score = base_support_score * capped sqrt(avg_macro_multiplier * avg_subrole_multiplier); role/subrole quota constraints use inverse weights.</t>
        </is>
      </c>
    </row>
    <row r="226">
      <c r="A226" t="inlineStr">
        <is>
          <t>C0225</t>
        </is>
      </c>
      <c r="B226" t="inlineStr">
        <is>
          <t>x_0225</t>
        </is>
      </c>
      <c r="C226" t="inlineStr">
        <is>
          <t>Deutsche Telekom AG</t>
        </is>
      </c>
      <c r="D226" t="inlineStr">
        <is>
          <t>profit_anchor</t>
        </is>
      </c>
      <c r="E226" t="inlineStr">
        <is>
          <t>technology_digital_anchor</t>
        </is>
      </c>
      <c r="F226" t="inlineStr">
        <is>
          <t>Rheinland-Pfälzische Technische Universität Kaiserslautern-Landau (RPTU)</t>
        </is>
      </c>
      <c r="G226" t="inlineStr">
        <is>
          <t>academic_support</t>
        </is>
      </c>
      <c r="H226" t="inlineStr">
        <is>
          <t>university_research</t>
        </is>
      </c>
      <c r="I226" t="n">
        <v>32</v>
      </c>
      <c r="J226" t="n">
        <v>0</v>
      </c>
      <c r="K226" t="n">
        <v>0.02040816</v>
      </c>
      <c r="L226" t="n">
        <v>0.05555556</v>
      </c>
      <c r="M226" t="n">
        <v>0.07596372</v>
      </c>
      <c r="N226" t="n">
        <v>0.97803288</v>
      </c>
      <c r="O226" t="n">
        <v>31.297052</v>
      </c>
      <c r="P226" t="n">
        <v>0.11111111</v>
      </c>
      <c r="Q226" t="n">
        <v>0.14285714</v>
      </c>
      <c r="R226" t="n">
        <v>0.25396825</v>
      </c>
      <c r="S226" t="n">
        <v>0.81746032</v>
      </c>
      <c r="T226" t="n">
        <v>0.89414935</v>
      </c>
      <c r="U226" t="n">
        <v>28.612779</v>
      </c>
      <c r="V226" t="b">
        <v>1</v>
      </c>
      <c r="W226" t="n">
        <v>1</v>
      </c>
      <c r="X226" t="inlineStr">
        <is>
          <t>role_subrole_balanced_score = base_support_score * capped sqrt(avg_macro_multiplier * avg_subrole_multiplier); role/subrole quota constraints use inverse weights.</t>
        </is>
      </c>
    </row>
    <row r="227">
      <c r="A227" t="inlineStr">
        <is>
          <t>C0226</t>
        </is>
      </c>
      <c r="B227" t="inlineStr">
        <is>
          <t>x_0226</t>
        </is>
      </c>
      <c r="C227" t="inlineStr">
        <is>
          <t>Deutsche Telekom AG</t>
        </is>
      </c>
      <c r="D227" t="inlineStr">
        <is>
          <t>profit_anchor</t>
        </is>
      </c>
      <c r="E227" t="inlineStr">
        <is>
          <t>technology_digital_anchor</t>
        </is>
      </c>
      <c r="F227" t="inlineStr">
        <is>
          <t>robotspaceship</t>
        </is>
      </c>
      <c r="G227" t="inlineStr">
        <is>
          <t>context_actor</t>
        </is>
      </c>
      <c r="H227" t="inlineStr">
        <is>
          <t>technology_digital_anchor</t>
        </is>
      </c>
      <c r="I227" t="n">
        <v>32</v>
      </c>
      <c r="J227" t="n">
        <v>0</v>
      </c>
      <c r="K227" t="n">
        <v>0.02040816</v>
      </c>
      <c r="L227" t="n">
        <v>0.03846154</v>
      </c>
      <c r="M227" t="n">
        <v>0.0588697</v>
      </c>
      <c r="N227" t="n">
        <v>0.75794741</v>
      </c>
      <c r="O227" t="n">
        <v>24.254317</v>
      </c>
      <c r="P227" t="n">
        <v>0.11111111</v>
      </c>
      <c r="Q227" t="n">
        <v>0.11111111</v>
      </c>
      <c r="R227" t="n">
        <v>0.22222222</v>
      </c>
      <c r="S227" t="n">
        <v>0.71527778</v>
      </c>
      <c r="T227" t="n">
        <v>0.73630356</v>
      </c>
      <c r="U227" t="n">
        <v>23.561714</v>
      </c>
      <c r="V227" t="b">
        <v>0</v>
      </c>
      <c r="W227" t="n">
        <v>0</v>
      </c>
      <c r="X227" t="inlineStr">
        <is>
          <t>role_subrole_balanced_score = base_support_score * capped sqrt(avg_macro_multiplier * avg_subrole_multiplier); role/subrole quota constraints use inverse weights.</t>
        </is>
      </c>
    </row>
    <row r="228">
      <c r="A228" t="inlineStr">
        <is>
          <t>C0227</t>
        </is>
      </c>
      <c r="B228" t="inlineStr">
        <is>
          <t>x_0227</t>
        </is>
      </c>
      <c r="C228" t="inlineStr">
        <is>
          <t>Deutsche Universität für Verwaltungswissenschaften Speyer</t>
        </is>
      </c>
      <c r="D228" t="inlineStr">
        <is>
          <t>academic_support</t>
        </is>
      </c>
      <c r="E228" t="inlineStr">
        <is>
          <t>university_research</t>
        </is>
      </c>
      <c r="F228" t="inlineStr">
        <is>
          <t>Empolis Information Management GmbH</t>
        </is>
      </c>
      <c r="G228" t="inlineStr">
        <is>
          <t>profit_anchor</t>
        </is>
      </c>
      <c r="H228" t="inlineStr">
        <is>
          <t>technology_digital_anchor</t>
        </is>
      </c>
      <c r="I228" t="n">
        <v>32</v>
      </c>
      <c r="J228" t="n">
        <v>0</v>
      </c>
      <c r="K228" t="n">
        <v>0.05555556</v>
      </c>
      <c r="L228" t="n">
        <v>0.02040816</v>
      </c>
      <c r="M228" t="n">
        <v>0.07596372</v>
      </c>
      <c r="N228" t="n">
        <v>0.97803288</v>
      </c>
      <c r="O228" t="n">
        <v>31.297052</v>
      </c>
      <c r="P228" t="n">
        <v>0.14285714</v>
      </c>
      <c r="Q228" t="n">
        <v>0.11111111</v>
      </c>
      <c r="R228" t="n">
        <v>0.25396825</v>
      </c>
      <c r="S228" t="n">
        <v>0.81746032</v>
      </c>
      <c r="T228" t="n">
        <v>0.89414935</v>
      </c>
      <c r="U228" t="n">
        <v>28.612779</v>
      </c>
      <c r="V228" t="b">
        <v>1</v>
      </c>
      <c r="W228" t="n">
        <v>1</v>
      </c>
      <c r="X228" t="inlineStr">
        <is>
          <t>role_subrole_balanced_score = base_support_score * capped sqrt(avg_macro_multiplier * avg_subrole_multiplier); role/subrole quota constraints use inverse weights.</t>
        </is>
      </c>
    </row>
    <row r="229">
      <c r="A229" t="inlineStr">
        <is>
          <t>C0228</t>
        </is>
      </c>
      <c r="B229" t="inlineStr">
        <is>
          <t>x_0228</t>
        </is>
      </c>
      <c r="C229" t="inlineStr">
        <is>
          <t>Empolis Information Management GmbH</t>
        </is>
      </c>
      <c r="D229" t="inlineStr">
        <is>
          <t>profit_anchor</t>
        </is>
      </c>
      <c r="E229" t="inlineStr">
        <is>
          <t>technology_digital_anchor</t>
        </is>
      </c>
      <c r="F229" t="inlineStr">
        <is>
          <t>Rheinland-Pfälzische Technische Universität Kaiserslautern-Landau (RPTU)</t>
        </is>
      </c>
      <c r="G229" t="inlineStr">
        <is>
          <t>academic_support</t>
        </is>
      </c>
      <c r="H229" t="inlineStr">
        <is>
          <t>university_research</t>
        </is>
      </c>
      <c r="I229" t="n">
        <v>32</v>
      </c>
      <c r="J229" t="n">
        <v>0</v>
      </c>
      <c r="K229" t="n">
        <v>0.02040816</v>
      </c>
      <c r="L229" t="n">
        <v>0.05555556</v>
      </c>
      <c r="M229" t="n">
        <v>0.07596372</v>
      </c>
      <c r="N229" t="n">
        <v>0.97803288</v>
      </c>
      <c r="O229" t="n">
        <v>31.297052</v>
      </c>
      <c r="P229" t="n">
        <v>0.11111111</v>
      </c>
      <c r="Q229" t="n">
        <v>0.14285714</v>
      </c>
      <c r="R229" t="n">
        <v>0.25396825</v>
      </c>
      <c r="S229" t="n">
        <v>0.81746032</v>
      </c>
      <c r="T229" t="n">
        <v>0.89414935</v>
      </c>
      <c r="U229" t="n">
        <v>28.612779</v>
      </c>
      <c r="V229" t="b">
        <v>1</v>
      </c>
      <c r="W229" t="n">
        <v>1</v>
      </c>
      <c r="X229" t="inlineStr">
        <is>
          <t>role_subrole_balanced_score = base_support_score * capped sqrt(avg_macro_multiplier * avg_subrole_multiplier); role/subrole quota constraints use inverse weights.</t>
        </is>
      </c>
    </row>
    <row r="230">
      <c r="A230" t="inlineStr">
        <is>
          <t>C0229</t>
        </is>
      </c>
      <c r="B230" t="inlineStr">
        <is>
          <t>x_0229</t>
        </is>
      </c>
      <c r="C230" t="inlineStr">
        <is>
          <t>Empolis Information Management GmbH</t>
        </is>
      </c>
      <c r="D230" t="inlineStr">
        <is>
          <t>profit_anchor</t>
        </is>
      </c>
      <c r="E230" t="inlineStr">
        <is>
          <t>technology_digital_anchor</t>
        </is>
      </c>
      <c r="F230" t="inlineStr">
        <is>
          <t>robotspaceship</t>
        </is>
      </c>
      <c r="G230" t="inlineStr">
        <is>
          <t>context_actor</t>
        </is>
      </c>
      <c r="H230" t="inlineStr">
        <is>
          <t>technology_digital_anchor</t>
        </is>
      </c>
      <c r="I230" t="n">
        <v>32</v>
      </c>
      <c r="J230" t="n">
        <v>0</v>
      </c>
      <c r="K230" t="n">
        <v>0.02040816</v>
      </c>
      <c r="L230" t="n">
        <v>0.03846154</v>
      </c>
      <c r="M230" t="n">
        <v>0.0588697</v>
      </c>
      <c r="N230" t="n">
        <v>0.75794741</v>
      </c>
      <c r="O230" t="n">
        <v>24.254317</v>
      </c>
      <c r="P230" t="n">
        <v>0.11111111</v>
      </c>
      <c r="Q230" t="n">
        <v>0.11111111</v>
      </c>
      <c r="R230" t="n">
        <v>0.22222222</v>
      </c>
      <c r="S230" t="n">
        <v>0.71527778</v>
      </c>
      <c r="T230" t="n">
        <v>0.73630356</v>
      </c>
      <c r="U230" t="n">
        <v>23.561714</v>
      </c>
      <c r="V230" t="b">
        <v>0</v>
      </c>
      <c r="W230" t="n">
        <v>0</v>
      </c>
      <c r="X230" t="inlineStr">
        <is>
          <t>role_subrole_balanced_score = base_support_score * capped sqrt(avg_macro_multiplier * avg_subrole_multiplier); role/subrole quota constraints use inverse weights.</t>
        </is>
      </c>
    </row>
    <row r="231">
      <c r="A231" t="inlineStr">
        <is>
          <t>C0230</t>
        </is>
      </c>
      <c r="B231" t="inlineStr">
        <is>
          <t>x_0230</t>
        </is>
      </c>
      <c r="C231" t="inlineStr">
        <is>
          <t>Architektenkammer Rheinland-Pfalz</t>
        </is>
      </c>
      <c r="D231" t="inlineStr">
        <is>
          <t>implementation_anchor</t>
        </is>
      </c>
      <c r="E231" t="inlineStr">
        <is>
          <t>construction_planning_anchor</t>
        </is>
      </c>
      <c r="F231" t="inlineStr">
        <is>
          <t>Hochschule für Gesellschaftsgestaltung (HfGG)</t>
        </is>
      </c>
      <c r="G231" t="inlineStr">
        <is>
          <t>academic_support</t>
        </is>
      </c>
      <c r="H231" t="inlineStr">
        <is>
          <t>university_applied_sciences</t>
        </is>
      </c>
      <c r="I231" t="n">
        <v>32</v>
      </c>
      <c r="J231" t="n">
        <v>0</v>
      </c>
      <c r="K231" t="n">
        <v>0.1</v>
      </c>
      <c r="L231" t="n">
        <v>0.05555556</v>
      </c>
      <c r="M231" t="n">
        <v>0.15555556</v>
      </c>
      <c r="N231" t="n">
        <v>2.00277778</v>
      </c>
      <c r="O231" t="n">
        <v>64.08888899999999</v>
      </c>
      <c r="P231" t="n">
        <v>0.125</v>
      </c>
      <c r="Q231" t="n">
        <v>0.09090909</v>
      </c>
      <c r="R231" t="n">
        <v>0.21590909</v>
      </c>
      <c r="S231" t="n">
        <v>0.69495739</v>
      </c>
      <c r="T231" t="n">
        <v>1.1797649</v>
      </c>
      <c r="U231" t="n">
        <v>37.752477</v>
      </c>
      <c r="V231" t="b">
        <v>1</v>
      </c>
      <c r="W231" t="n">
        <v>1</v>
      </c>
      <c r="X231" t="inlineStr">
        <is>
          <t>role_subrole_balanced_score = base_support_score * capped sqrt(avg_macro_multiplier * avg_subrole_multiplier); role/subrole quota constraints use inverse weights.</t>
        </is>
      </c>
    </row>
    <row r="232">
      <c r="A232" t="inlineStr">
        <is>
          <t>C0231</t>
        </is>
      </c>
      <c r="B232" t="inlineStr">
        <is>
          <t>x_0231</t>
        </is>
      </c>
      <c r="C232" t="inlineStr">
        <is>
          <t>Architektenkammer Rheinland-Pfalz</t>
        </is>
      </c>
      <c r="D232" t="inlineStr">
        <is>
          <t>implementation_anchor</t>
        </is>
      </c>
      <c r="E232" t="inlineStr">
        <is>
          <t>construction_planning_anchor</t>
        </is>
      </c>
      <c r="F232" t="inlineStr">
        <is>
          <t>Technische Hochschule Bingen</t>
        </is>
      </c>
      <c r="G232" t="inlineStr">
        <is>
          <t>academic_support</t>
        </is>
      </c>
      <c r="H232" t="inlineStr">
        <is>
          <t>university_applied_sciences</t>
        </is>
      </c>
      <c r="I232" t="n">
        <v>32</v>
      </c>
      <c r="J232" t="n">
        <v>0</v>
      </c>
      <c r="K232" t="n">
        <v>0.1</v>
      </c>
      <c r="L232" t="n">
        <v>0.05555556</v>
      </c>
      <c r="M232" t="n">
        <v>0.15555556</v>
      </c>
      <c r="N232" t="n">
        <v>2.00277778</v>
      </c>
      <c r="O232" t="n">
        <v>64.08888899999999</v>
      </c>
      <c r="P232" t="n">
        <v>0.125</v>
      </c>
      <c r="Q232" t="n">
        <v>0.09090909</v>
      </c>
      <c r="R232" t="n">
        <v>0.21590909</v>
      </c>
      <c r="S232" t="n">
        <v>0.69495739</v>
      </c>
      <c r="T232" t="n">
        <v>1.1797649</v>
      </c>
      <c r="U232" t="n">
        <v>37.752477</v>
      </c>
      <c r="V232" t="b">
        <v>1</v>
      </c>
      <c r="W232" t="n">
        <v>1</v>
      </c>
      <c r="X232" t="inlineStr">
        <is>
          <t>role_subrole_balanced_score = base_support_score * capped sqrt(avg_macro_multiplier * avg_subrole_multiplier); role/subrole quota constraints use inverse weights.</t>
        </is>
      </c>
    </row>
    <row r="233">
      <c r="A233" t="inlineStr">
        <is>
          <t>C0232</t>
        </is>
      </c>
      <c r="B233" t="inlineStr">
        <is>
          <t>x_0232</t>
        </is>
      </c>
      <c r="C233" t="inlineStr">
        <is>
          <t>Bauern- und Winzerverband Rheinland-Pfalz Süd e.V.</t>
        </is>
      </c>
      <c r="D233" t="inlineStr">
        <is>
          <t>implementation_anchor</t>
        </is>
      </c>
      <c r="E233" t="inlineStr">
        <is>
          <t>agriculture_wine_anchor</t>
        </is>
      </c>
      <c r="F233" t="inlineStr">
        <is>
          <t>Landkreistag Rheinland-Pfalz</t>
        </is>
      </c>
      <c r="G233" t="inlineStr">
        <is>
          <t>context_actor</t>
        </is>
      </c>
      <c r="H233" t="inlineStr">
        <is>
          <t>public_policy_anchor</t>
        </is>
      </c>
      <c r="I233" t="n">
        <v>32</v>
      </c>
      <c r="J233" t="n">
        <v>0</v>
      </c>
      <c r="K233" t="n">
        <v>0.1</v>
      </c>
      <c r="L233" t="n">
        <v>0.03846154</v>
      </c>
      <c r="M233" t="n">
        <v>0.13846154</v>
      </c>
      <c r="N233" t="n">
        <v>1.78269231</v>
      </c>
      <c r="O233" t="n">
        <v>57.046154</v>
      </c>
      <c r="P233" t="n">
        <v>1</v>
      </c>
      <c r="Q233" t="n">
        <v>0.16666667</v>
      </c>
      <c r="R233" t="n">
        <v>1.16666667</v>
      </c>
      <c r="S233" t="n">
        <v>3.75520833</v>
      </c>
      <c r="T233" t="n">
        <v>2.58735019</v>
      </c>
      <c r="U233" t="n">
        <v>82.79520599999999</v>
      </c>
      <c r="V233" t="b">
        <v>0</v>
      </c>
      <c r="W233" t="n">
        <v>0</v>
      </c>
      <c r="X233" t="inlineStr">
        <is>
          <t>role_subrole_balanced_score = base_support_score * capped sqrt(avg_macro_multiplier * avg_subrole_multiplier); role/subrole quota constraints use inverse weights.</t>
        </is>
      </c>
    </row>
    <row r="234">
      <c r="A234" t="inlineStr">
        <is>
          <t>C0233</t>
        </is>
      </c>
      <c r="B234" t="inlineStr">
        <is>
          <t>x_0233</t>
        </is>
      </c>
      <c r="C234" t="inlineStr">
        <is>
          <t>Bauern- und Winzerverband Rheinland-Pfalz Süd e.V.</t>
        </is>
      </c>
      <c r="D234" t="inlineStr">
        <is>
          <t>implementation_anchor</t>
        </is>
      </c>
      <c r="E234" t="inlineStr">
        <is>
          <t>agriculture_wine_anchor</t>
        </is>
      </c>
      <c r="F234" t="inlineStr">
        <is>
          <t>Städtetag Rheinland-Pfalz</t>
        </is>
      </c>
      <c r="G234" t="inlineStr">
        <is>
          <t>context_actor</t>
        </is>
      </c>
      <c r="H234" t="inlineStr">
        <is>
          <t>public_policy_anchor</t>
        </is>
      </c>
      <c r="I234" t="n">
        <v>32</v>
      </c>
      <c r="J234" t="n">
        <v>0</v>
      </c>
      <c r="K234" t="n">
        <v>0.1</v>
      </c>
      <c r="L234" t="n">
        <v>0.03846154</v>
      </c>
      <c r="M234" t="n">
        <v>0.13846154</v>
      </c>
      <c r="N234" t="n">
        <v>1.78269231</v>
      </c>
      <c r="O234" t="n">
        <v>57.046154</v>
      </c>
      <c r="P234" t="n">
        <v>1</v>
      </c>
      <c r="Q234" t="n">
        <v>0.16666667</v>
      </c>
      <c r="R234" t="n">
        <v>1.16666667</v>
      </c>
      <c r="S234" t="n">
        <v>3.75520833</v>
      </c>
      <c r="T234" t="n">
        <v>2.58735019</v>
      </c>
      <c r="U234" t="n">
        <v>82.79520599999999</v>
      </c>
      <c r="V234" t="b">
        <v>0</v>
      </c>
      <c r="W234" t="n">
        <v>0</v>
      </c>
      <c r="X234" t="inlineStr">
        <is>
          <t>role_subrole_balanced_score = base_support_score * capped sqrt(avg_macro_multiplier * avg_subrole_multiplier); role/subrole quota constraints use inverse weights.</t>
        </is>
      </c>
    </row>
    <row r="235">
      <c r="A235" t="inlineStr">
        <is>
          <t>C0234</t>
        </is>
      </c>
      <c r="B235" t="inlineStr">
        <is>
          <t>x_0234</t>
        </is>
      </c>
      <c r="C235" t="inlineStr">
        <is>
          <t>Hochschule für Gesellschaftsgestaltung (HfGG)</t>
        </is>
      </c>
      <c r="D235" t="inlineStr">
        <is>
          <t>academic_support</t>
        </is>
      </c>
      <c r="E235" t="inlineStr">
        <is>
          <t>university_applied_sciences</t>
        </is>
      </c>
      <c r="F235" t="inlineStr">
        <is>
          <t>Ingenieurkammer Rheinland-Pfalz</t>
        </is>
      </c>
      <c r="G235" t="inlineStr">
        <is>
          <t>implementation_anchor</t>
        </is>
      </c>
      <c r="H235" t="inlineStr">
        <is>
          <t>construction_planning_anchor</t>
        </is>
      </c>
      <c r="I235" t="n">
        <v>32</v>
      </c>
      <c r="J235" t="n">
        <v>0</v>
      </c>
      <c r="K235" t="n">
        <v>0.05555556</v>
      </c>
      <c r="L235" t="n">
        <v>0.1</v>
      </c>
      <c r="M235" t="n">
        <v>0.15555556</v>
      </c>
      <c r="N235" t="n">
        <v>2.00277778</v>
      </c>
      <c r="O235" t="n">
        <v>64.08888899999999</v>
      </c>
      <c r="P235" t="n">
        <v>0.09090909</v>
      </c>
      <c r="Q235" t="n">
        <v>0.125</v>
      </c>
      <c r="R235" t="n">
        <v>0.21590909</v>
      </c>
      <c r="S235" t="n">
        <v>0.69495739</v>
      </c>
      <c r="T235" t="n">
        <v>1.1797649</v>
      </c>
      <c r="U235" t="n">
        <v>37.752477</v>
      </c>
      <c r="V235" t="b">
        <v>1</v>
      </c>
      <c r="W235" t="n">
        <v>1</v>
      </c>
      <c r="X235" t="inlineStr">
        <is>
          <t>role_subrole_balanced_score = base_support_score * capped sqrt(avg_macro_multiplier * avg_subrole_multiplier); role/subrole quota constraints use inverse weights.</t>
        </is>
      </c>
    </row>
    <row r="236">
      <c r="A236" t="inlineStr">
        <is>
          <t>C0235</t>
        </is>
      </c>
      <c r="B236" t="inlineStr">
        <is>
          <t>x_0235</t>
        </is>
      </c>
      <c r="C236" t="inlineStr">
        <is>
          <t>Ingenieurkammer Rheinland-Pfalz</t>
        </is>
      </c>
      <c r="D236" t="inlineStr">
        <is>
          <t>implementation_anchor</t>
        </is>
      </c>
      <c r="E236" t="inlineStr">
        <is>
          <t>construction_planning_anchor</t>
        </is>
      </c>
      <c r="F236" t="inlineStr">
        <is>
          <t>Technische Hochschule Bingen</t>
        </is>
      </c>
      <c r="G236" t="inlineStr">
        <is>
          <t>academic_support</t>
        </is>
      </c>
      <c r="H236" t="inlineStr">
        <is>
          <t>university_applied_sciences</t>
        </is>
      </c>
      <c r="I236" t="n">
        <v>32</v>
      </c>
      <c r="J236" t="n">
        <v>0</v>
      </c>
      <c r="K236" t="n">
        <v>0.1</v>
      </c>
      <c r="L236" t="n">
        <v>0.05555556</v>
      </c>
      <c r="M236" t="n">
        <v>0.15555556</v>
      </c>
      <c r="N236" t="n">
        <v>2.00277778</v>
      </c>
      <c r="O236" t="n">
        <v>64.08888899999999</v>
      </c>
      <c r="P236" t="n">
        <v>0.125</v>
      </c>
      <c r="Q236" t="n">
        <v>0.09090909</v>
      </c>
      <c r="R236" t="n">
        <v>0.21590909</v>
      </c>
      <c r="S236" t="n">
        <v>0.69495739</v>
      </c>
      <c r="T236" t="n">
        <v>1.1797649</v>
      </c>
      <c r="U236" t="n">
        <v>37.752477</v>
      </c>
      <c r="V236" t="b">
        <v>1</v>
      </c>
      <c r="W236" t="n">
        <v>1</v>
      </c>
      <c r="X236" t="inlineStr">
        <is>
          <t>role_subrole_balanced_score = base_support_score * capped sqrt(avg_macro_multiplier * avg_subrole_multiplier); role/subrole quota constraints use inverse weights.</t>
        </is>
      </c>
    </row>
    <row r="237">
      <c r="A237" t="inlineStr">
        <is>
          <t>C0236</t>
        </is>
      </c>
      <c r="B237" t="inlineStr">
        <is>
          <t>x_0236</t>
        </is>
      </c>
      <c r="C237" t="inlineStr">
        <is>
          <t>Entwicklungsagentur Rheinland-Pfalz e.V.</t>
        </is>
      </c>
      <c r="D237" t="inlineStr">
        <is>
          <t>implementation_anchor</t>
        </is>
      </c>
      <c r="E237" t="inlineStr">
        <is>
          <t>public_policy_anchor</t>
        </is>
      </c>
      <c r="F237" t="inlineStr">
        <is>
          <t>Erster FC Kaiserslautern GmbH &amp; Co. KGaA</t>
        </is>
      </c>
      <c r="G237" t="inlineStr">
        <is>
          <t>profit_anchor</t>
        </is>
      </c>
      <c r="H237" t="inlineStr">
        <is>
          <t>sports_regional_identity_anchor</t>
        </is>
      </c>
      <c r="I237" t="n">
        <v>32</v>
      </c>
      <c r="J237" t="n">
        <v>0</v>
      </c>
      <c r="K237" t="n">
        <v>0.1</v>
      </c>
      <c r="L237" t="n">
        <v>0.02040816</v>
      </c>
      <c r="M237" t="n">
        <v>0.12040816</v>
      </c>
      <c r="N237" t="n">
        <v>1.5502551</v>
      </c>
      <c r="O237" t="n">
        <v>49.608163</v>
      </c>
      <c r="P237" t="n">
        <v>0.16666667</v>
      </c>
      <c r="Q237" t="n">
        <v>0.5</v>
      </c>
      <c r="R237" t="n">
        <v>0.66666667</v>
      </c>
      <c r="S237" t="n">
        <v>2.14583333</v>
      </c>
      <c r="T237" t="n">
        <v>1.82389393</v>
      </c>
      <c r="U237" t="n">
        <v>58.364606</v>
      </c>
      <c r="V237" t="b">
        <v>0</v>
      </c>
      <c r="W237" t="n">
        <v>0</v>
      </c>
      <c r="X237" t="inlineStr">
        <is>
          <t>role_subrole_balanced_score = base_support_score * capped sqrt(avg_macro_multiplier * avg_subrole_multiplier); role/subrole quota constraints use inverse weights.</t>
        </is>
      </c>
    </row>
    <row r="238">
      <c r="A238" t="inlineStr">
        <is>
          <t>C0237</t>
        </is>
      </c>
      <c r="B238" t="inlineStr">
        <is>
          <t>x_0237</t>
        </is>
      </c>
      <c r="C238" t="inlineStr">
        <is>
          <t>Entwicklungsagentur Rheinland-Pfalz e.V.</t>
        </is>
      </c>
      <c r="D238" t="inlineStr">
        <is>
          <t>implementation_anchor</t>
        </is>
      </c>
      <c r="E238" t="inlineStr">
        <is>
          <t>public_policy_anchor</t>
        </is>
      </c>
      <c r="F238" t="inlineStr">
        <is>
          <t>Hochschule Mainz</t>
        </is>
      </c>
      <c r="G238" t="inlineStr">
        <is>
          <t>academic_support</t>
        </is>
      </c>
      <c r="H238" t="inlineStr">
        <is>
          <t>university_applied_sciences</t>
        </is>
      </c>
      <c r="I238" t="n">
        <v>32</v>
      </c>
      <c r="J238" t="n">
        <v>0</v>
      </c>
      <c r="K238" t="n">
        <v>0.1</v>
      </c>
      <c r="L238" t="n">
        <v>0.05555556</v>
      </c>
      <c r="M238" t="n">
        <v>0.15555556</v>
      </c>
      <c r="N238" t="n">
        <v>2.00277778</v>
      </c>
      <c r="O238" t="n">
        <v>64.08888899999999</v>
      </c>
      <c r="P238" t="n">
        <v>0.16666667</v>
      </c>
      <c r="Q238" t="n">
        <v>0.09090909</v>
      </c>
      <c r="R238" t="n">
        <v>0.25757576</v>
      </c>
      <c r="S238" t="n">
        <v>0.82907197</v>
      </c>
      <c r="T238" t="n">
        <v>1.2885833</v>
      </c>
      <c r="U238" t="n">
        <v>41.234666</v>
      </c>
      <c r="V238" t="b">
        <v>1</v>
      </c>
      <c r="W238" t="n">
        <v>1</v>
      </c>
      <c r="X238" t="inlineStr">
        <is>
          <t>role_subrole_balanced_score = base_support_score * capped sqrt(avg_macro_multiplier * avg_subrole_multiplier); role/subrole quota constraints use inverse weights.</t>
        </is>
      </c>
    </row>
    <row r="239">
      <c r="A239" t="inlineStr">
        <is>
          <t>C0238</t>
        </is>
      </c>
      <c r="B239" t="inlineStr">
        <is>
          <t>x_0238</t>
        </is>
      </c>
      <c r="C239" t="inlineStr">
        <is>
          <t>Bauwirtschaft Rheinland-Pfalz e.V.</t>
        </is>
      </c>
      <c r="D239" t="inlineStr">
        <is>
          <t>context_actor</t>
        </is>
      </c>
      <c r="E239" t="inlineStr">
        <is>
          <t>construction_planning_anchor</t>
        </is>
      </c>
      <c r="F239" t="inlineStr">
        <is>
          <t>vero – Verband der Bau- und Rohstoffindustrie</t>
        </is>
      </c>
      <c r="G239" t="inlineStr">
        <is>
          <t>profit_anchor</t>
        </is>
      </c>
      <c r="H239" t="inlineStr">
        <is>
          <t>construction_planning_anchor</t>
        </is>
      </c>
      <c r="I239" t="n">
        <v>32</v>
      </c>
      <c r="J239" t="n">
        <v>0</v>
      </c>
      <c r="K239" t="n">
        <v>0.03846154</v>
      </c>
      <c r="L239" t="n">
        <v>0.02040816</v>
      </c>
      <c r="M239" t="n">
        <v>0.0588697</v>
      </c>
      <c r="N239" t="n">
        <v>0.75794741</v>
      </c>
      <c r="O239" t="n">
        <v>24.254317</v>
      </c>
      <c r="P239" t="n">
        <v>0.125</v>
      </c>
      <c r="Q239" t="n">
        <v>0.125</v>
      </c>
      <c r="R239" t="n">
        <v>0.25</v>
      </c>
      <c r="S239" t="n">
        <v>0.8046875</v>
      </c>
      <c r="T239" t="n">
        <v>0.78096787</v>
      </c>
      <c r="U239" t="n">
        <v>24.990972</v>
      </c>
      <c r="V239" t="b">
        <v>0</v>
      </c>
      <c r="W239" t="n">
        <v>0</v>
      </c>
      <c r="X239" t="inlineStr">
        <is>
          <t>role_subrole_balanced_score = base_support_score * capped sqrt(avg_macro_multiplier * avg_subrole_multiplier); role/subrole quota constraints use inverse weights.</t>
        </is>
      </c>
    </row>
    <row r="240">
      <c r="A240" t="inlineStr">
        <is>
          <t>C0239</t>
        </is>
      </c>
      <c r="B240" t="inlineStr">
        <is>
          <t>x_0239</t>
        </is>
      </c>
      <c r="C240" t="inlineStr">
        <is>
          <t>Landkreistag Rheinland-Pfalz</t>
        </is>
      </c>
      <c r="D240" t="inlineStr">
        <is>
          <t>context_actor</t>
        </is>
      </c>
      <c r="E240" t="inlineStr">
        <is>
          <t>public_policy_anchor</t>
        </is>
      </c>
      <c r="F240" t="inlineStr">
        <is>
          <t>vero – Verband der Bau- und Rohstoffindustrie</t>
        </is>
      </c>
      <c r="G240" t="inlineStr">
        <is>
          <t>profit_anchor</t>
        </is>
      </c>
      <c r="H240" t="inlineStr">
        <is>
          <t>construction_planning_anchor</t>
        </is>
      </c>
      <c r="I240" t="n">
        <v>32</v>
      </c>
      <c r="J240" t="n">
        <v>0</v>
      </c>
      <c r="K240" t="n">
        <v>0.03846154</v>
      </c>
      <c r="L240" t="n">
        <v>0.02040816</v>
      </c>
      <c r="M240" t="n">
        <v>0.0588697</v>
      </c>
      <c r="N240" t="n">
        <v>0.75794741</v>
      </c>
      <c r="O240" t="n">
        <v>24.254317</v>
      </c>
      <c r="P240" t="n">
        <v>0.16666667</v>
      </c>
      <c r="Q240" t="n">
        <v>0.125</v>
      </c>
      <c r="R240" t="n">
        <v>0.29166667</v>
      </c>
      <c r="S240" t="n">
        <v>0.93880208</v>
      </c>
      <c r="T240" t="n">
        <v>0.8435416999999999</v>
      </c>
      <c r="U240" t="n">
        <v>26.993335</v>
      </c>
      <c r="V240" t="b">
        <v>0</v>
      </c>
      <c r="W240" t="n">
        <v>0</v>
      </c>
      <c r="X240" t="inlineStr">
        <is>
          <t>role_subrole_balanced_score = base_support_score * capped sqrt(avg_macro_multiplier * avg_subrole_multiplier); role/subrole quota constraints use inverse weights.</t>
        </is>
      </c>
    </row>
    <row r="241">
      <c r="A241" t="inlineStr">
        <is>
          <t>C0240</t>
        </is>
      </c>
      <c r="B241" t="inlineStr">
        <is>
          <t>x_0240</t>
        </is>
      </c>
      <c r="C241" t="inlineStr">
        <is>
          <t>Städtetag Rheinland-Pfalz</t>
        </is>
      </c>
      <c r="D241" t="inlineStr">
        <is>
          <t>context_actor</t>
        </is>
      </c>
      <c r="E241" t="inlineStr">
        <is>
          <t>public_policy_anchor</t>
        </is>
      </c>
      <c r="F241" t="inlineStr">
        <is>
          <t>vero – Verband der Bau- und Rohstoffindustrie</t>
        </is>
      </c>
      <c r="G241" t="inlineStr">
        <is>
          <t>profit_anchor</t>
        </is>
      </c>
      <c r="H241" t="inlineStr">
        <is>
          <t>construction_planning_anchor</t>
        </is>
      </c>
      <c r="I241" t="n">
        <v>32</v>
      </c>
      <c r="J241" t="n">
        <v>0</v>
      </c>
      <c r="K241" t="n">
        <v>0.03846154</v>
      </c>
      <c r="L241" t="n">
        <v>0.02040816</v>
      </c>
      <c r="M241" t="n">
        <v>0.0588697</v>
      </c>
      <c r="N241" t="n">
        <v>0.75794741</v>
      </c>
      <c r="O241" t="n">
        <v>24.254317</v>
      </c>
      <c r="P241" t="n">
        <v>0.16666667</v>
      </c>
      <c r="Q241" t="n">
        <v>0.125</v>
      </c>
      <c r="R241" t="n">
        <v>0.29166667</v>
      </c>
      <c r="S241" t="n">
        <v>0.93880208</v>
      </c>
      <c r="T241" t="n">
        <v>0.8435416999999999</v>
      </c>
      <c r="U241" t="n">
        <v>26.993335</v>
      </c>
      <c r="V241" t="b">
        <v>0</v>
      </c>
      <c r="W241" t="n">
        <v>0</v>
      </c>
      <c r="X241" t="inlineStr">
        <is>
          <t>role_subrole_balanced_score = base_support_score * capped sqrt(avg_macro_multiplier * avg_subrole_multiplier); role/subrole quota constraints use inverse weights.</t>
        </is>
      </c>
    </row>
    <row r="242">
      <c r="A242" t="inlineStr">
        <is>
          <t>C0241</t>
        </is>
      </c>
      <c r="B242" t="inlineStr">
        <is>
          <t>x_0241</t>
        </is>
      </c>
      <c r="C242" t="inlineStr">
        <is>
          <t>Entwicklungsagentur Rheinland-Pfalz e.V.</t>
        </is>
      </c>
      <c r="D242" t="inlineStr">
        <is>
          <t>implementation_anchor</t>
        </is>
      </c>
      <c r="E242" t="inlineStr">
        <is>
          <t>public_policy_anchor</t>
        </is>
      </c>
      <c r="F242" t="inlineStr">
        <is>
          <t>SWR – Südwestrundfunk</t>
        </is>
      </c>
      <c r="G242" t="inlineStr">
        <is>
          <t>context_actor</t>
        </is>
      </c>
      <c r="H242" t="inlineStr">
        <is>
          <t>media_publicity_anchor</t>
        </is>
      </c>
      <c r="I242" t="n">
        <v>32</v>
      </c>
      <c r="J242" t="n">
        <v>0</v>
      </c>
      <c r="K242" t="n">
        <v>0.1</v>
      </c>
      <c r="L242" t="n">
        <v>0.03846154</v>
      </c>
      <c r="M242" t="n">
        <v>0.13846154</v>
      </c>
      <c r="N242" t="n">
        <v>1.78269231</v>
      </c>
      <c r="O242" t="n">
        <v>57.046154</v>
      </c>
      <c r="P242" t="n">
        <v>0.16666667</v>
      </c>
      <c r="Q242" t="n">
        <v>0.33333333</v>
      </c>
      <c r="R242" t="n">
        <v>0.5</v>
      </c>
      <c r="S242" t="n">
        <v>1.609375</v>
      </c>
      <c r="T242" t="n">
        <v>1.6938183</v>
      </c>
      <c r="U242" t="n">
        <v>54.202186</v>
      </c>
      <c r="V242" t="b">
        <v>0</v>
      </c>
      <c r="W242" t="n">
        <v>0</v>
      </c>
      <c r="X242" t="inlineStr">
        <is>
          <t>role_subrole_balanced_score = base_support_score * capped sqrt(avg_macro_multiplier * avg_subrole_multiplier); role/subrole quota constraints use inverse weights.</t>
        </is>
      </c>
    </row>
    <row r="243">
      <c r="A243" t="inlineStr">
        <is>
          <t>C0242</t>
        </is>
      </c>
      <c r="B243" t="inlineStr">
        <is>
          <t>x_0242</t>
        </is>
      </c>
      <c r="C243" t="inlineStr">
        <is>
          <t>Entwicklungsagentur Rheinland-Pfalz e.V.</t>
        </is>
      </c>
      <c r="D243" t="inlineStr">
        <is>
          <t>implementation_anchor</t>
        </is>
      </c>
      <c r="E243" t="inlineStr">
        <is>
          <t>public_policy_anchor</t>
        </is>
      </c>
      <c r="F243" t="inlineStr">
        <is>
          <t>Städtetag Rheinland-Pfalz</t>
        </is>
      </c>
      <c r="G243" t="inlineStr">
        <is>
          <t>context_actor</t>
        </is>
      </c>
      <c r="H243" t="inlineStr">
        <is>
          <t>public_policy_anchor</t>
        </is>
      </c>
      <c r="I243" t="n">
        <v>32</v>
      </c>
      <c r="J243" t="n">
        <v>0</v>
      </c>
      <c r="K243" t="n">
        <v>0.1</v>
      </c>
      <c r="L243" t="n">
        <v>0.03846154</v>
      </c>
      <c r="M243" t="n">
        <v>0.13846154</v>
      </c>
      <c r="N243" t="n">
        <v>1.78269231</v>
      </c>
      <c r="O243" t="n">
        <v>57.046154</v>
      </c>
      <c r="P243" t="n">
        <v>0.16666667</v>
      </c>
      <c r="Q243" t="n">
        <v>0.16666667</v>
      </c>
      <c r="R243" t="n">
        <v>0.33333333</v>
      </c>
      <c r="S243" t="n">
        <v>1.07291667</v>
      </c>
      <c r="T243" t="n">
        <v>1.38299685</v>
      </c>
      <c r="U243" t="n">
        <v>44.255899</v>
      </c>
      <c r="V243" t="b">
        <v>0</v>
      </c>
      <c r="W243" t="n">
        <v>0</v>
      </c>
      <c r="X243" t="inlineStr">
        <is>
          <t>role_subrole_balanced_score = base_support_score * capped sqrt(avg_macro_multiplier * avg_subrole_multiplier); role/subrole quota constraints use inverse weights.</t>
        </is>
      </c>
    </row>
    <row r="244">
      <c r="A244" t="inlineStr">
        <is>
          <t>C0243</t>
        </is>
      </c>
      <c r="B244" t="inlineStr">
        <is>
          <t>x_0243</t>
        </is>
      </c>
      <c r="C244" t="inlineStr">
        <is>
          <t>Entwicklungsagentur Rheinland-Pfalz e.V.</t>
        </is>
      </c>
      <c r="D244" t="inlineStr">
        <is>
          <t>implementation_anchor</t>
        </is>
      </c>
      <c r="E244" t="inlineStr">
        <is>
          <t>public_policy_anchor</t>
        </is>
      </c>
      <c r="F244" t="inlineStr">
        <is>
          <t>Villa Musica Rheinland-Pfalz</t>
        </is>
      </c>
      <c r="G244" t="inlineStr">
        <is>
          <t>context_actor</t>
        </is>
      </c>
      <c r="H244" t="inlineStr">
        <is>
          <t>culture_foundation_anchor</t>
        </is>
      </c>
      <c r="I244" t="n">
        <v>32</v>
      </c>
      <c r="J244" t="n">
        <v>0</v>
      </c>
      <c r="K244" t="n">
        <v>0.1</v>
      </c>
      <c r="L244" t="n">
        <v>0.03846154</v>
      </c>
      <c r="M244" t="n">
        <v>0.13846154</v>
      </c>
      <c r="N244" t="n">
        <v>1.78269231</v>
      </c>
      <c r="O244" t="n">
        <v>57.046154</v>
      </c>
      <c r="P244" t="n">
        <v>0.16666667</v>
      </c>
      <c r="Q244" t="n">
        <v>0.33333333</v>
      </c>
      <c r="R244" t="n">
        <v>0.5</v>
      </c>
      <c r="S244" t="n">
        <v>1.609375</v>
      </c>
      <c r="T244" t="n">
        <v>1.6938183</v>
      </c>
      <c r="U244" t="n">
        <v>54.202186</v>
      </c>
      <c r="V244" t="b">
        <v>0</v>
      </c>
      <c r="W244" t="n">
        <v>0</v>
      </c>
      <c r="X244" t="inlineStr">
        <is>
          <t>role_subrole_balanced_score = base_support_score * capped sqrt(avg_macro_multiplier * avg_subrole_multiplier); role/subrole quota constraints use inverse weights.</t>
        </is>
      </c>
    </row>
    <row r="245">
      <c r="A245" t="inlineStr">
        <is>
          <t>C0244</t>
        </is>
      </c>
      <c r="B245" t="inlineStr">
        <is>
          <t>x_0244</t>
        </is>
      </c>
      <c r="C245" t="inlineStr">
        <is>
          <t>Entwicklungsagentur Rheinland-Pfalz e.V.</t>
        </is>
      </c>
      <c r="D245" t="inlineStr">
        <is>
          <t>implementation_anchor</t>
        </is>
      </c>
      <c r="E245" t="inlineStr">
        <is>
          <t>public_policy_anchor</t>
        </is>
      </c>
      <c r="F245" t="inlineStr">
        <is>
          <t>ZDF – Zweites Deutsches Fernsehen</t>
        </is>
      </c>
      <c r="G245" t="inlineStr">
        <is>
          <t>context_actor</t>
        </is>
      </c>
      <c r="H245" t="inlineStr">
        <is>
          <t>media_publicity_anchor</t>
        </is>
      </c>
      <c r="I245" t="n">
        <v>32</v>
      </c>
      <c r="J245" t="n">
        <v>0</v>
      </c>
      <c r="K245" t="n">
        <v>0.1</v>
      </c>
      <c r="L245" t="n">
        <v>0.03846154</v>
      </c>
      <c r="M245" t="n">
        <v>0.13846154</v>
      </c>
      <c r="N245" t="n">
        <v>1.78269231</v>
      </c>
      <c r="O245" t="n">
        <v>57.046154</v>
      </c>
      <c r="P245" t="n">
        <v>0.16666667</v>
      </c>
      <c r="Q245" t="n">
        <v>0.33333333</v>
      </c>
      <c r="R245" t="n">
        <v>0.5</v>
      </c>
      <c r="S245" t="n">
        <v>1.609375</v>
      </c>
      <c r="T245" t="n">
        <v>1.6938183</v>
      </c>
      <c r="U245" t="n">
        <v>54.202186</v>
      </c>
      <c r="V245" t="b">
        <v>0</v>
      </c>
      <c r="W245" t="n">
        <v>0</v>
      </c>
      <c r="X245" t="inlineStr">
        <is>
          <t>role_subrole_balanced_score = base_support_score * capped sqrt(avg_macro_multiplier * avg_subrole_multiplier); role/subrole quota constraints use inverse weights.</t>
        </is>
      </c>
    </row>
    <row r="246">
      <c r="A246" t="inlineStr">
        <is>
          <t>C0245</t>
        </is>
      </c>
      <c r="B246" t="inlineStr">
        <is>
          <t>x_0245</t>
        </is>
      </c>
      <c r="C246" t="inlineStr">
        <is>
          <t>BRICKMAKERS AG</t>
        </is>
      </c>
      <c r="D246" t="inlineStr">
        <is>
          <t>profit_anchor</t>
        </is>
      </c>
      <c r="E246" t="inlineStr">
        <is>
          <t>technology_digital_anchor</t>
        </is>
      </c>
      <c r="F246" t="inlineStr">
        <is>
          <t>Rheinland-Pfälzische Technische Universität Kaiserslautern-Landau (RPTU)</t>
        </is>
      </c>
      <c r="G246" t="inlineStr">
        <is>
          <t>academic_support</t>
        </is>
      </c>
      <c r="H246" t="inlineStr">
        <is>
          <t>university_research</t>
        </is>
      </c>
      <c r="I246" t="n">
        <v>32</v>
      </c>
      <c r="J246" t="n">
        <v>0</v>
      </c>
      <c r="K246" t="n">
        <v>0.02040816</v>
      </c>
      <c r="L246" t="n">
        <v>0.05555556</v>
      </c>
      <c r="M246" t="n">
        <v>0.07596372</v>
      </c>
      <c r="N246" t="n">
        <v>0.97803288</v>
      </c>
      <c r="O246" t="n">
        <v>31.297052</v>
      </c>
      <c r="P246" t="n">
        <v>0.11111111</v>
      </c>
      <c r="Q246" t="n">
        <v>0.14285714</v>
      </c>
      <c r="R246" t="n">
        <v>0.25396825</v>
      </c>
      <c r="S246" t="n">
        <v>0.81746032</v>
      </c>
      <c r="T246" t="n">
        <v>0.89414935</v>
      </c>
      <c r="U246" t="n">
        <v>28.612779</v>
      </c>
      <c r="V246" t="b">
        <v>1</v>
      </c>
      <c r="W246" t="n">
        <v>1</v>
      </c>
      <c r="X246" t="inlineStr">
        <is>
          <t>role_subrole_balanced_score = base_support_score * capped sqrt(avg_macro_multiplier * avg_subrole_multiplier); role/subrole quota constraints use inverse weights.</t>
        </is>
      </c>
    </row>
    <row r="247">
      <c r="A247" t="inlineStr">
        <is>
          <t>C0246</t>
        </is>
      </c>
      <c r="B247" t="inlineStr">
        <is>
          <t>x_0246</t>
        </is>
      </c>
      <c r="C247" t="inlineStr">
        <is>
          <t>BRICKMAKERS AG</t>
        </is>
      </c>
      <c r="D247" t="inlineStr">
        <is>
          <t>profit_anchor</t>
        </is>
      </c>
      <c r="E247" t="inlineStr">
        <is>
          <t>technology_digital_anchor</t>
        </is>
      </c>
      <c r="F247" t="inlineStr">
        <is>
          <t>SmartFactory KL e.V.</t>
        </is>
      </c>
      <c r="G247" t="inlineStr">
        <is>
          <t>context_actor</t>
        </is>
      </c>
      <c r="H247" t="inlineStr">
        <is>
          <t>technology_digital_anchor</t>
        </is>
      </c>
      <c r="I247" t="n">
        <v>32</v>
      </c>
      <c r="J247" t="n">
        <v>0</v>
      </c>
      <c r="K247" t="n">
        <v>0.02040816</v>
      </c>
      <c r="L247" t="n">
        <v>0.03846154</v>
      </c>
      <c r="M247" t="n">
        <v>0.0588697</v>
      </c>
      <c r="N247" t="n">
        <v>0.75794741</v>
      </c>
      <c r="O247" t="n">
        <v>24.254317</v>
      </c>
      <c r="P247" t="n">
        <v>0.11111111</v>
      </c>
      <c r="Q247" t="n">
        <v>0.11111111</v>
      </c>
      <c r="R247" t="n">
        <v>0.22222222</v>
      </c>
      <c r="S247" t="n">
        <v>0.71527778</v>
      </c>
      <c r="T247" t="n">
        <v>0.73630356</v>
      </c>
      <c r="U247" t="n">
        <v>23.561714</v>
      </c>
      <c r="V247" t="b">
        <v>0</v>
      </c>
      <c r="W247" t="n">
        <v>0</v>
      </c>
      <c r="X247" t="inlineStr">
        <is>
          <t>role_subrole_balanced_score = base_support_score * capped sqrt(avg_macro_multiplier * avg_subrole_multiplier); role/subrole quota constraints use inverse weights.</t>
        </is>
      </c>
    </row>
    <row r="248">
      <c r="A248" t="inlineStr">
        <is>
          <t>C0247</t>
        </is>
      </c>
      <c r="B248" t="inlineStr">
        <is>
          <t>x_0247</t>
        </is>
      </c>
      <c r="C248" t="inlineStr">
        <is>
          <t>BRICKMAKERS AG</t>
        </is>
      </c>
      <c r="D248" t="inlineStr">
        <is>
          <t>profit_anchor</t>
        </is>
      </c>
      <c r="E248" t="inlineStr">
        <is>
          <t>technology_digital_anchor</t>
        </is>
      </c>
      <c r="F248" t="inlineStr">
        <is>
          <t>robotspaceship</t>
        </is>
      </c>
      <c r="G248" t="inlineStr">
        <is>
          <t>context_actor</t>
        </is>
      </c>
      <c r="H248" t="inlineStr">
        <is>
          <t>technology_digital_anchor</t>
        </is>
      </c>
      <c r="I248" t="n">
        <v>32</v>
      </c>
      <c r="J248" t="n">
        <v>0</v>
      </c>
      <c r="K248" t="n">
        <v>0.02040816</v>
      </c>
      <c r="L248" t="n">
        <v>0.03846154</v>
      </c>
      <c r="M248" t="n">
        <v>0.0588697</v>
      </c>
      <c r="N248" t="n">
        <v>0.75794741</v>
      </c>
      <c r="O248" t="n">
        <v>24.254317</v>
      </c>
      <c r="P248" t="n">
        <v>0.11111111</v>
      </c>
      <c r="Q248" t="n">
        <v>0.11111111</v>
      </c>
      <c r="R248" t="n">
        <v>0.22222222</v>
      </c>
      <c r="S248" t="n">
        <v>0.71527778</v>
      </c>
      <c r="T248" t="n">
        <v>0.73630356</v>
      </c>
      <c r="U248" t="n">
        <v>23.561714</v>
      </c>
      <c r="V248" t="b">
        <v>0</v>
      </c>
      <c r="W248" t="n">
        <v>0</v>
      </c>
      <c r="X248" t="inlineStr">
        <is>
          <t>role_subrole_balanced_score = base_support_score * capped sqrt(avg_macro_multiplier * avg_subrole_multiplier); role/subrole quota constraints use inverse weights.</t>
        </is>
      </c>
    </row>
    <row r="249">
      <c r="A249" t="inlineStr">
        <is>
          <t>C0248</t>
        </is>
      </c>
      <c r="B249" t="inlineStr">
        <is>
          <t>x_0248</t>
        </is>
      </c>
      <c r="C249" t="inlineStr">
        <is>
          <t>Deutsche Telekom AG</t>
        </is>
      </c>
      <c r="D249" t="inlineStr">
        <is>
          <t>profit_anchor</t>
        </is>
      </c>
      <c r="E249" t="inlineStr">
        <is>
          <t>technology_digital_anchor</t>
        </is>
      </c>
      <c r="F249" t="inlineStr">
        <is>
          <t>Rheinland-Pfälzische Technische Universität Kaiserslautern-Landau (RPTU)</t>
        </is>
      </c>
      <c r="G249" t="inlineStr">
        <is>
          <t>academic_support</t>
        </is>
      </c>
      <c r="H249" t="inlineStr">
        <is>
          <t>university_research</t>
        </is>
      </c>
      <c r="I249" t="n">
        <v>32</v>
      </c>
      <c r="J249" t="n">
        <v>0</v>
      </c>
      <c r="K249" t="n">
        <v>0.02040816</v>
      </c>
      <c r="L249" t="n">
        <v>0.05555556</v>
      </c>
      <c r="M249" t="n">
        <v>0.07596372</v>
      </c>
      <c r="N249" t="n">
        <v>0.97803288</v>
      </c>
      <c r="O249" t="n">
        <v>31.297052</v>
      </c>
      <c r="P249" t="n">
        <v>0.11111111</v>
      </c>
      <c r="Q249" t="n">
        <v>0.14285714</v>
      </c>
      <c r="R249" t="n">
        <v>0.25396825</v>
      </c>
      <c r="S249" t="n">
        <v>0.81746032</v>
      </c>
      <c r="T249" t="n">
        <v>0.89414935</v>
      </c>
      <c r="U249" t="n">
        <v>28.612779</v>
      </c>
      <c r="V249" t="b">
        <v>1</v>
      </c>
      <c r="W249" t="n">
        <v>1</v>
      </c>
      <c r="X249" t="inlineStr">
        <is>
          <t>role_subrole_balanced_score = base_support_score * capped sqrt(avg_macro_multiplier * avg_subrole_multiplier); role/subrole quota constraints use inverse weights.</t>
        </is>
      </c>
    </row>
    <row r="250">
      <c r="A250" t="inlineStr">
        <is>
          <t>C0249</t>
        </is>
      </c>
      <c r="B250" t="inlineStr">
        <is>
          <t>x_0249</t>
        </is>
      </c>
      <c r="C250" t="inlineStr">
        <is>
          <t>Deutsche Telekom AG</t>
        </is>
      </c>
      <c r="D250" t="inlineStr">
        <is>
          <t>profit_anchor</t>
        </is>
      </c>
      <c r="E250" t="inlineStr">
        <is>
          <t>technology_digital_anchor</t>
        </is>
      </c>
      <c r="F250" t="inlineStr">
        <is>
          <t>SmartFactory KL e.V.</t>
        </is>
      </c>
      <c r="G250" t="inlineStr">
        <is>
          <t>context_actor</t>
        </is>
      </c>
      <c r="H250" t="inlineStr">
        <is>
          <t>technology_digital_anchor</t>
        </is>
      </c>
      <c r="I250" t="n">
        <v>32</v>
      </c>
      <c r="J250" t="n">
        <v>0</v>
      </c>
      <c r="K250" t="n">
        <v>0.02040816</v>
      </c>
      <c r="L250" t="n">
        <v>0.03846154</v>
      </c>
      <c r="M250" t="n">
        <v>0.0588697</v>
      </c>
      <c r="N250" t="n">
        <v>0.75794741</v>
      </c>
      <c r="O250" t="n">
        <v>24.254317</v>
      </c>
      <c r="P250" t="n">
        <v>0.11111111</v>
      </c>
      <c r="Q250" t="n">
        <v>0.11111111</v>
      </c>
      <c r="R250" t="n">
        <v>0.22222222</v>
      </c>
      <c r="S250" t="n">
        <v>0.71527778</v>
      </c>
      <c r="T250" t="n">
        <v>0.73630356</v>
      </c>
      <c r="U250" t="n">
        <v>23.561714</v>
      </c>
      <c r="V250" t="b">
        <v>0</v>
      </c>
      <c r="W250" t="n">
        <v>0</v>
      </c>
      <c r="X250" t="inlineStr">
        <is>
          <t>role_subrole_balanced_score = base_support_score * capped sqrt(avg_macro_multiplier * avg_subrole_multiplier); role/subrole quota constraints use inverse weights.</t>
        </is>
      </c>
    </row>
    <row r="251">
      <c r="A251" t="inlineStr">
        <is>
          <t>C0250</t>
        </is>
      </c>
      <c r="B251" t="inlineStr">
        <is>
          <t>x_0250</t>
        </is>
      </c>
      <c r="C251" t="inlineStr">
        <is>
          <t>Deutsche Telekom AG</t>
        </is>
      </c>
      <c r="D251" t="inlineStr">
        <is>
          <t>profit_anchor</t>
        </is>
      </c>
      <c r="E251" t="inlineStr">
        <is>
          <t>technology_digital_anchor</t>
        </is>
      </c>
      <c r="F251" t="inlineStr">
        <is>
          <t>robotspaceship</t>
        </is>
      </c>
      <c r="G251" t="inlineStr">
        <is>
          <t>context_actor</t>
        </is>
      </c>
      <c r="H251" t="inlineStr">
        <is>
          <t>technology_digital_anchor</t>
        </is>
      </c>
      <c r="I251" t="n">
        <v>32</v>
      </c>
      <c r="J251" t="n">
        <v>0</v>
      </c>
      <c r="K251" t="n">
        <v>0.02040816</v>
      </c>
      <c r="L251" t="n">
        <v>0.03846154</v>
      </c>
      <c r="M251" t="n">
        <v>0.0588697</v>
      </c>
      <c r="N251" t="n">
        <v>0.75794741</v>
      </c>
      <c r="O251" t="n">
        <v>24.254317</v>
      </c>
      <c r="P251" t="n">
        <v>0.11111111</v>
      </c>
      <c r="Q251" t="n">
        <v>0.11111111</v>
      </c>
      <c r="R251" t="n">
        <v>0.22222222</v>
      </c>
      <c r="S251" t="n">
        <v>0.71527778</v>
      </c>
      <c r="T251" t="n">
        <v>0.73630356</v>
      </c>
      <c r="U251" t="n">
        <v>23.561714</v>
      </c>
      <c r="V251" t="b">
        <v>0</v>
      </c>
      <c r="W251" t="n">
        <v>0</v>
      </c>
      <c r="X251" t="inlineStr">
        <is>
          <t>role_subrole_balanced_score = base_support_score * capped sqrt(avg_macro_multiplier * avg_subrole_multiplier); role/subrole quota constraints use inverse weights.</t>
        </is>
      </c>
    </row>
    <row r="252">
      <c r="A252" t="inlineStr">
        <is>
          <t>C0251</t>
        </is>
      </c>
      <c r="B252" t="inlineStr">
        <is>
          <t>x_0251</t>
        </is>
      </c>
      <c r="C252" t="inlineStr">
        <is>
          <t>Empolis Information Management GmbH</t>
        </is>
      </c>
      <c r="D252" t="inlineStr">
        <is>
          <t>profit_anchor</t>
        </is>
      </c>
      <c r="E252" t="inlineStr">
        <is>
          <t>technology_digital_anchor</t>
        </is>
      </c>
      <c r="F252" t="inlineStr">
        <is>
          <t>Rheinland-Pfälzische Technische Universität Kaiserslautern-Landau (RPTU)</t>
        </is>
      </c>
      <c r="G252" t="inlineStr">
        <is>
          <t>academic_support</t>
        </is>
      </c>
      <c r="H252" t="inlineStr">
        <is>
          <t>university_research</t>
        </is>
      </c>
      <c r="I252" t="n">
        <v>32</v>
      </c>
      <c r="J252" t="n">
        <v>0</v>
      </c>
      <c r="K252" t="n">
        <v>0.02040816</v>
      </c>
      <c r="L252" t="n">
        <v>0.05555556</v>
      </c>
      <c r="M252" t="n">
        <v>0.07596372</v>
      </c>
      <c r="N252" t="n">
        <v>0.97803288</v>
      </c>
      <c r="O252" t="n">
        <v>31.297052</v>
      </c>
      <c r="P252" t="n">
        <v>0.11111111</v>
      </c>
      <c r="Q252" t="n">
        <v>0.14285714</v>
      </c>
      <c r="R252" t="n">
        <v>0.25396825</v>
      </c>
      <c r="S252" t="n">
        <v>0.81746032</v>
      </c>
      <c r="T252" t="n">
        <v>0.89414935</v>
      </c>
      <c r="U252" t="n">
        <v>28.612779</v>
      </c>
      <c r="V252" t="b">
        <v>1</v>
      </c>
      <c r="W252" t="n">
        <v>1</v>
      </c>
      <c r="X252" t="inlineStr">
        <is>
          <t>role_subrole_balanced_score = base_support_score * capped sqrt(avg_macro_multiplier * avg_subrole_multiplier); role/subrole quota constraints use inverse weights.</t>
        </is>
      </c>
    </row>
    <row r="253">
      <c r="A253" t="inlineStr">
        <is>
          <t>C0252</t>
        </is>
      </c>
      <c r="B253" t="inlineStr">
        <is>
          <t>x_0252</t>
        </is>
      </c>
      <c r="C253" t="inlineStr">
        <is>
          <t>Empolis Information Management GmbH</t>
        </is>
      </c>
      <c r="D253" t="inlineStr">
        <is>
          <t>profit_anchor</t>
        </is>
      </c>
      <c r="E253" t="inlineStr">
        <is>
          <t>technology_digital_anchor</t>
        </is>
      </c>
      <c r="F253" t="inlineStr">
        <is>
          <t>SmartFactory KL e.V.</t>
        </is>
      </c>
      <c r="G253" t="inlineStr">
        <is>
          <t>context_actor</t>
        </is>
      </c>
      <c r="H253" t="inlineStr">
        <is>
          <t>technology_digital_anchor</t>
        </is>
      </c>
      <c r="I253" t="n">
        <v>32</v>
      </c>
      <c r="J253" t="n">
        <v>0</v>
      </c>
      <c r="K253" t="n">
        <v>0.02040816</v>
      </c>
      <c r="L253" t="n">
        <v>0.03846154</v>
      </c>
      <c r="M253" t="n">
        <v>0.0588697</v>
      </c>
      <c r="N253" t="n">
        <v>0.75794741</v>
      </c>
      <c r="O253" t="n">
        <v>24.254317</v>
      </c>
      <c r="P253" t="n">
        <v>0.11111111</v>
      </c>
      <c r="Q253" t="n">
        <v>0.11111111</v>
      </c>
      <c r="R253" t="n">
        <v>0.22222222</v>
      </c>
      <c r="S253" t="n">
        <v>0.71527778</v>
      </c>
      <c r="T253" t="n">
        <v>0.73630356</v>
      </c>
      <c r="U253" t="n">
        <v>23.561714</v>
      </c>
      <c r="V253" t="b">
        <v>0</v>
      </c>
      <c r="W253" t="n">
        <v>0</v>
      </c>
      <c r="X253" t="inlineStr">
        <is>
          <t>role_subrole_balanced_score = base_support_score * capped sqrt(avg_macro_multiplier * avg_subrole_multiplier); role/subrole quota constraints use inverse weights.</t>
        </is>
      </c>
    </row>
    <row r="254">
      <c r="A254" t="inlineStr">
        <is>
          <t>C0253</t>
        </is>
      </c>
      <c r="B254" t="inlineStr">
        <is>
          <t>x_0253</t>
        </is>
      </c>
      <c r="C254" t="inlineStr">
        <is>
          <t>Empolis Information Management GmbH</t>
        </is>
      </c>
      <c r="D254" t="inlineStr">
        <is>
          <t>profit_anchor</t>
        </is>
      </c>
      <c r="E254" t="inlineStr">
        <is>
          <t>technology_digital_anchor</t>
        </is>
      </c>
      <c r="F254" t="inlineStr">
        <is>
          <t>robotspaceship</t>
        </is>
      </c>
      <c r="G254" t="inlineStr">
        <is>
          <t>context_actor</t>
        </is>
      </c>
      <c r="H254" t="inlineStr">
        <is>
          <t>technology_digital_anchor</t>
        </is>
      </c>
      <c r="I254" t="n">
        <v>32</v>
      </c>
      <c r="J254" t="n">
        <v>0</v>
      </c>
      <c r="K254" t="n">
        <v>0.02040816</v>
      </c>
      <c r="L254" t="n">
        <v>0.03846154</v>
      </c>
      <c r="M254" t="n">
        <v>0.0588697</v>
      </c>
      <c r="N254" t="n">
        <v>0.75794741</v>
      </c>
      <c r="O254" t="n">
        <v>24.254317</v>
      </c>
      <c r="P254" t="n">
        <v>0.11111111</v>
      </c>
      <c r="Q254" t="n">
        <v>0.11111111</v>
      </c>
      <c r="R254" t="n">
        <v>0.22222222</v>
      </c>
      <c r="S254" t="n">
        <v>0.71527778</v>
      </c>
      <c r="T254" t="n">
        <v>0.73630356</v>
      </c>
      <c r="U254" t="n">
        <v>23.561714</v>
      </c>
      <c r="V254" t="b">
        <v>0</v>
      </c>
      <c r="W254" t="n">
        <v>0</v>
      </c>
      <c r="X254" t="inlineStr">
        <is>
          <t>role_subrole_balanced_score = base_support_score * capped sqrt(avg_macro_multiplier * avg_subrole_multiplier); role/subrole quota constraints use inverse weights.</t>
        </is>
      </c>
    </row>
    <row r="255">
      <c r="A255" t="inlineStr">
        <is>
          <t>C0254</t>
        </is>
      </c>
      <c r="B255" t="inlineStr">
        <is>
          <t>x_0254</t>
        </is>
      </c>
      <c r="C255" t="inlineStr">
        <is>
          <t>Handwerkskammern Rheinland-Pfalz</t>
        </is>
      </c>
      <c r="D255" t="inlineStr">
        <is>
          <t>implementation_anchor</t>
        </is>
      </c>
      <c r="E255" t="inlineStr">
        <is>
          <t>chamber_association_anchor</t>
        </is>
      </c>
      <c r="F255" t="inlineStr">
        <is>
          <t>Hochschule Kaiserslautern</t>
        </is>
      </c>
      <c r="G255" t="inlineStr">
        <is>
          <t>academic_support</t>
        </is>
      </c>
      <c r="H255" t="inlineStr">
        <is>
          <t>university_applied_sciences</t>
        </is>
      </c>
      <c r="I255" t="n">
        <v>32</v>
      </c>
      <c r="J255" t="n">
        <v>0</v>
      </c>
      <c r="K255" t="n">
        <v>0.1</v>
      </c>
      <c r="L255" t="n">
        <v>0.05555556</v>
      </c>
      <c r="M255" t="n">
        <v>0.15555556</v>
      </c>
      <c r="N255" t="n">
        <v>2.00277778</v>
      </c>
      <c r="O255" t="n">
        <v>64.08888899999999</v>
      </c>
      <c r="P255" t="n">
        <v>0.25</v>
      </c>
      <c r="Q255" t="n">
        <v>0.09090909</v>
      </c>
      <c r="R255" t="n">
        <v>0.34090909</v>
      </c>
      <c r="S255" t="n">
        <v>1.09730114</v>
      </c>
      <c r="T255" t="n">
        <v>1.48244741</v>
      </c>
      <c r="U255" t="n">
        <v>47.438317</v>
      </c>
      <c r="V255" t="b">
        <v>1</v>
      </c>
      <c r="W255" t="n">
        <v>1</v>
      </c>
      <c r="X255" t="inlineStr">
        <is>
          <t>role_subrole_balanced_score = base_support_score * capped sqrt(avg_macro_multiplier * avg_subrole_multiplier); role/subrole quota constraints use inverse weights.</t>
        </is>
      </c>
    </row>
    <row r="256">
      <c r="A256" t="inlineStr">
        <is>
          <t>C0255</t>
        </is>
      </c>
      <c r="B256" t="inlineStr">
        <is>
          <t>x_0255</t>
        </is>
      </c>
      <c r="C256" t="inlineStr">
        <is>
          <t>Handwerkskammern Rheinland-Pfalz</t>
        </is>
      </c>
      <c r="D256" t="inlineStr">
        <is>
          <t>implementation_anchor</t>
        </is>
      </c>
      <c r="E256" t="inlineStr">
        <is>
          <t>chamber_association_anchor</t>
        </is>
      </c>
      <c r="F256" t="inlineStr">
        <is>
          <t>WHU – Otto Beisheim School of Management</t>
        </is>
      </c>
      <c r="G256" t="inlineStr">
        <is>
          <t>academic_support</t>
        </is>
      </c>
      <c r="H256" t="inlineStr">
        <is>
          <t>university_research</t>
        </is>
      </c>
      <c r="I256" t="n">
        <v>32</v>
      </c>
      <c r="J256" t="n">
        <v>0</v>
      </c>
      <c r="K256" t="n">
        <v>0.1</v>
      </c>
      <c r="L256" t="n">
        <v>0.05555556</v>
      </c>
      <c r="M256" t="n">
        <v>0.15555556</v>
      </c>
      <c r="N256" t="n">
        <v>2.00277778</v>
      </c>
      <c r="O256" t="n">
        <v>64.08888899999999</v>
      </c>
      <c r="P256" t="n">
        <v>0.25</v>
      </c>
      <c r="Q256" t="n">
        <v>0.14285714</v>
      </c>
      <c r="R256" t="n">
        <v>0.39285714</v>
      </c>
      <c r="S256" t="n">
        <v>1.26450893</v>
      </c>
      <c r="T256" t="n">
        <v>1.59139259</v>
      </c>
      <c r="U256" t="n">
        <v>50.924563</v>
      </c>
      <c r="V256" t="b">
        <v>1</v>
      </c>
      <c r="W256" t="n">
        <v>1</v>
      </c>
      <c r="X256" t="inlineStr">
        <is>
          <t>role_subrole_balanced_score = base_support_score * capped sqrt(avg_macro_multiplier * avg_subrole_multiplier); role/subrole quota constraints use inverse weights.</t>
        </is>
      </c>
    </row>
    <row r="257">
      <c r="A257" t="inlineStr">
        <is>
          <t>C0256</t>
        </is>
      </c>
      <c r="B257" t="inlineStr">
        <is>
          <t>x_0256</t>
        </is>
      </c>
      <c r="C257" t="inlineStr">
        <is>
          <t>ITK Engineering GmbH</t>
        </is>
      </c>
      <c r="D257" t="inlineStr">
        <is>
          <t>profit_anchor</t>
        </is>
      </c>
      <c r="E257" t="inlineStr">
        <is>
          <t>technology_digital_anchor</t>
        </is>
      </c>
      <c r="F257" t="inlineStr">
        <is>
          <t>Rheinland-Pfälzische Technische Universität Kaiserslautern-Landau (RPTU)</t>
        </is>
      </c>
      <c r="G257" t="inlineStr">
        <is>
          <t>academic_support</t>
        </is>
      </c>
      <c r="H257" t="inlineStr">
        <is>
          <t>university_research</t>
        </is>
      </c>
      <c r="I257" t="n">
        <v>32</v>
      </c>
      <c r="J257" t="n">
        <v>0</v>
      </c>
      <c r="K257" t="n">
        <v>0.02040816</v>
      </c>
      <c r="L257" t="n">
        <v>0.05555556</v>
      </c>
      <c r="M257" t="n">
        <v>0.07596372</v>
      </c>
      <c r="N257" t="n">
        <v>0.97803288</v>
      </c>
      <c r="O257" t="n">
        <v>31.297052</v>
      </c>
      <c r="P257" t="n">
        <v>0.11111111</v>
      </c>
      <c r="Q257" t="n">
        <v>0.14285714</v>
      </c>
      <c r="R257" t="n">
        <v>0.25396825</v>
      </c>
      <c r="S257" t="n">
        <v>0.81746032</v>
      </c>
      <c r="T257" t="n">
        <v>0.89414935</v>
      </c>
      <c r="U257" t="n">
        <v>28.612779</v>
      </c>
      <c r="V257" t="b">
        <v>1</v>
      </c>
      <c r="W257" t="n">
        <v>1</v>
      </c>
      <c r="X257" t="inlineStr">
        <is>
          <t>role_subrole_balanced_score = base_support_score * capped sqrt(avg_macro_multiplier * avg_subrole_multiplier); role/subrole quota constraints use inverse weights.</t>
        </is>
      </c>
    </row>
    <row r="258">
      <c r="A258" t="inlineStr">
        <is>
          <t>C0257</t>
        </is>
      </c>
      <c r="B258" t="inlineStr">
        <is>
          <t>x_0257</t>
        </is>
      </c>
      <c r="C258" t="inlineStr">
        <is>
          <t>ITK Engineering GmbH</t>
        </is>
      </c>
      <c r="D258" t="inlineStr">
        <is>
          <t>profit_anchor</t>
        </is>
      </c>
      <c r="E258" t="inlineStr">
        <is>
          <t>technology_digital_anchor</t>
        </is>
      </c>
      <c r="F258" t="inlineStr">
        <is>
          <t>SmartFactory KL e.V.</t>
        </is>
      </c>
      <c r="G258" t="inlineStr">
        <is>
          <t>context_actor</t>
        </is>
      </c>
      <c r="H258" t="inlineStr">
        <is>
          <t>technology_digital_anchor</t>
        </is>
      </c>
      <c r="I258" t="n">
        <v>32</v>
      </c>
      <c r="J258" t="n">
        <v>0</v>
      </c>
      <c r="K258" t="n">
        <v>0.02040816</v>
      </c>
      <c r="L258" t="n">
        <v>0.03846154</v>
      </c>
      <c r="M258" t="n">
        <v>0.0588697</v>
      </c>
      <c r="N258" t="n">
        <v>0.75794741</v>
      </c>
      <c r="O258" t="n">
        <v>24.254317</v>
      </c>
      <c r="P258" t="n">
        <v>0.11111111</v>
      </c>
      <c r="Q258" t="n">
        <v>0.11111111</v>
      </c>
      <c r="R258" t="n">
        <v>0.22222222</v>
      </c>
      <c r="S258" t="n">
        <v>0.71527778</v>
      </c>
      <c r="T258" t="n">
        <v>0.73630356</v>
      </c>
      <c r="U258" t="n">
        <v>23.561714</v>
      </c>
      <c r="V258" t="b">
        <v>0</v>
      </c>
      <c r="W258" t="n">
        <v>0</v>
      </c>
      <c r="X258" t="inlineStr">
        <is>
          <t>role_subrole_balanced_score = base_support_score * capped sqrt(avg_macro_multiplier * avg_subrole_multiplier); role/subrole quota constraints use inverse weights.</t>
        </is>
      </c>
    </row>
    <row r="259">
      <c r="A259" t="inlineStr">
        <is>
          <t>C0258</t>
        </is>
      </c>
      <c r="B259" t="inlineStr">
        <is>
          <t>x_0258</t>
        </is>
      </c>
      <c r="C259" t="inlineStr">
        <is>
          <t>ITK Engineering GmbH</t>
        </is>
      </c>
      <c r="D259" t="inlineStr">
        <is>
          <t>profit_anchor</t>
        </is>
      </c>
      <c r="E259" t="inlineStr">
        <is>
          <t>technology_digital_anchor</t>
        </is>
      </c>
      <c r="F259" t="inlineStr">
        <is>
          <t>robotspaceship</t>
        </is>
      </c>
      <c r="G259" t="inlineStr">
        <is>
          <t>context_actor</t>
        </is>
      </c>
      <c r="H259" t="inlineStr">
        <is>
          <t>technology_digital_anchor</t>
        </is>
      </c>
      <c r="I259" t="n">
        <v>32</v>
      </c>
      <c r="J259" t="n">
        <v>0</v>
      </c>
      <c r="K259" t="n">
        <v>0.02040816</v>
      </c>
      <c r="L259" t="n">
        <v>0.03846154</v>
      </c>
      <c r="M259" t="n">
        <v>0.0588697</v>
      </c>
      <c r="N259" t="n">
        <v>0.75794741</v>
      </c>
      <c r="O259" t="n">
        <v>24.254317</v>
      </c>
      <c r="P259" t="n">
        <v>0.11111111</v>
      </c>
      <c r="Q259" t="n">
        <v>0.11111111</v>
      </c>
      <c r="R259" t="n">
        <v>0.22222222</v>
      </c>
      <c r="S259" t="n">
        <v>0.71527778</v>
      </c>
      <c r="T259" t="n">
        <v>0.73630356</v>
      </c>
      <c r="U259" t="n">
        <v>23.561714</v>
      </c>
      <c r="V259" t="b">
        <v>0</v>
      </c>
      <c r="W259" t="n">
        <v>0</v>
      </c>
      <c r="X259" t="inlineStr">
        <is>
          <t>role_subrole_balanced_score = base_support_score * capped sqrt(avg_macro_multiplier * avg_subrole_multiplier); role/subrole quota constraints use inverse weights.</t>
        </is>
      </c>
    </row>
    <row r="260">
      <c r="A260" t="inlineStr">
        <is>
          <t>C0259</t>
        </is>
      </c>
      <c r="B260" t="inlineStr">
        <is>
          <t>x_0259</t>
        </is>
      </c>
      <c r="C260" t="inlineStr">
        <is>
          <t>Barmherzige Brüder Trier gGmbH</t>
        </is>
      </c>
      <c r="D260" t="inlineStr">
        <is>
          <t>context_actor</t>
        </is>
      </c>
      <c r="E260" t="inlineStr">
        <is>
          <t>health_social_anchor</t>
        </is>
      </c>
      <c r="F260" t="inlineStr">
        <is>
          <t>Bundesagentur für Arbeit, Regionaldirektion Rheinland-Pfalz-Saarland</t>
        </is>
      </c>
      <c r="G260" t="inlineStr">
        <is>
          <t>implementation_anchor</t>
        </is>
      </c>
      <c r="H260" t="inlineStr">
        <is>
          <t>public_policy_anchor</t>
        </is>
      </c>
      <c r="I260" t="n">
        <v>32</v>
      </c>
      <c r="J260" t="n">
        <v>0</v>
      </c>
      <c r="K260" t="n">
        <v>0.03846154</v>
      </c>
      <c r="L260" t="n">
        <v>0.1</v>
      </c>
      <c r="M260" t="n">
        <v>0.13846154</v>
      </c>
      <c r="N260" t="n">
        <v>1.78269231</v>
      </c>
      <c r="O260" t="n">
        <v>57.046154</v>
      </c>
      <c r="P260" t="n">
        <v>0.08333333</v>
      </c>
      <c r="Q260" t="n">
        <v>0.16666667</v>
      </c>
      <c r="R260" t="n">
        <v>0.25</v>
      </c>
      <c r="S260" t="n">
        <v>0.8046875</v>
      </c>
      <c r="T260" t="n">
        <v>1.19771041</v>
      </c>
      <c r="U260" t="n">
        <v>38.326733</v>
      </c>
      <c r="V260" t="b">
        <v>0</v>
      </c>
      <c r="W260" t="n">
        <v>0</v>
      </c>
      <c r="X260" t="inlineStr">
        <is>
          <t>role_subrole_balanced_score = base_support_score * capped sqrt(avg_macro_multiplier * avg_subrole_multiplier); role/subrole quota constraints use inverse weights.</t>
        </is>
      </c>
    </row>
    <row r="261">
      <c r="A261" t="inlineStr">
        <is>
          <t>C0260</t>
        </is>
      </c>
      <c r="B261" t="inlineStr">
        <is>
          <t>x_0260</t>
        </is>
      </c>
      <c r="C261" t="inlineStr">
        <is>
          <t>Barmherzige Brüder Trier gGmbH</t>
        </is>
      </c>
      <c r="D261" t="inlineStr">
        <is>
          <t>context_actor</t>
        </is>
      </c>
      <c r="E261" t="inlineStr">
        <is>
          <t>health_social_anchor</t>
        </is>
      </c>
      <c r="F261" t="inlineStr">
        <is>
          <t>Caritasverband für die Diözese Speyer e.V.</t>
        </is>
      </c>
      <c r="G261" t="inlineStr">
        <is>
          <t>implementation_anchor</t>
        </is>
      </c>
      <c r="H261" t="inlineStr">
        <is>
          <t>health_social_anchor</t>
        </is>
      </c>
      <c r="I261" t="n">
        <v>32</v>
      </c>
      <c r="J261" t="n">
        <v>0</v>
      </c>
      <c r="K261" t="n">
        <v>0.03846154</v>
      </c>
      <c r="L261" t="n">
        <v>0.1</v>
      </c>
      <c r="M261" t="n">
        <v>0.13846154</v>
      </c>
      <c r="N261" t="n">
        <v>1.78269231</v>
      </c>
      <c r="O261" t="n">
        <v>57.046154</v>
      </c>
      <c r="P261" t="n">
        <v>0.08333333</v>
      </c>
      <c r="Q261" t="n">
        <v>0.08333333</v>
      </c>
      <c r="R261" t="n">
        <v>0.16666667</v>
      </c>
      <c r="S261" t="n">
        <v>0.53645833</v>
      </c>
      <c r="T261" t="n">
        <v>0.97792645</v>
      </c>
      <c r="U261" t="n">
        <v>31.293646</v>
      </c>
      <c r="V261" t="b">
        <v>0</v>
      </c>
      <c r="W261" t="n">
        <v>0</v>
      </c>
      <c r="X261" t="inlineStr">
        <is>
          <t>role_subrole_balanced_score = base_support_score * capped sqrt(avg_macro_multiplier * avg_subrole_multiplier); role/subrole quota constraints use inverse weights.</t>
        </is>
      </c>
    </row>
    <row r="262">
      <c r="A262" t="inlineStr">
        <is>
          <t>C0261</t>
        </is>
      </c>
      <c r="B262" t="inlineStr">
        <is>
          <t>x_0261</t>
        </is>
      </c>
      <c r="C262" t="inlineStr">
        <is>
          <t>Bundesagentur für Arbeit, Regionaldirektion Rheinland-Pfalz-Saarland</t>
        </is>
      </c>
      <c r="D262" t="inlineStr">
        <is>
          <t>implementation_anchor</t>
        </is>
      </c>
      <c r="E262" t="inlineStr">
        <is>
          <t>public_policy_anchor</t>
        </is>
      </c>
      <c r="F262" t="inlineStr">
        <is>
          <t>in.betrieb gGmbH</t>
        </is>
      </c>
      <c r="G262" t="inlineStr">
        <is>
          <t>context_actor</t>
        </is>
      </c>
      <c r="H262" t="inlineStr">
        <is>
          <t>health_social_anchor</t>
        </is>
      </c>
      <c r="I262" t="n">
        <v>32</v>
      </c>
      <c r="J262" t="n">
        <v>0</v>
      </c>
      <c r="K262" t="n">
        <v>0.1</v>
      </c>
      <c r="L262" t="n">
        <v>0.03846154</v>
      </c>
      <c r="M262" t="n">
        <v>0.13846154</v>
      </c>
      <c r="N262" t="n">
        <v>1.78269231</v>
      </c>
      <c r="O262" t="n">
        <v>57.046154</v>
      </c>
      <c r="P262" t="n">
        <v>0.16666667</v>
      </c>
      <c r="Q262" t="n">
        <v>0.08333333</v>
      </c>
      <c r="R262" t="n">
        <v>0.25</v>
      </c>
      <c r="S262" t="n">
        <v>0.8046875</v>
      </c>
      <c r="T262" t="n">
        <v>1.19771041</v>
      </c>
      <c r="U262" t="n">
        <v>38.326733</v>
      </c>
      <c r="V262" t="b">
        <v>0</v>
      </c>
      <c r="W262" t="n">
        <v>0</v>
      </c>
      <c r="X262" t="inlineStr">
        <is>
          <t>role_subrole_balanced_score = base_support_score * capped sqrt(avg_macro_multiplier * avg_subrole_multiplier); role/subrole quota constraints use inverse weights.</t>
        </is>
      </c>
    </row>
    <row r="263">
      <c r="A263" t="inlineStr">
        <is>
          <t>C0262</t>
        </is>
      </c>
      <c r="B263" t="inlineStr">
        <is>
          <t>x_0262</t>
        </is>
      </c>
      <c r="C263" t="inlineStr">
        <is>
          <t>Caritasverband für die Diözese Speyer e.V.</t>
        </is>
      </c>
      <c r="D263" t="inlineStr">
        <is>
          <t>implementation_anchor</t>
        </is>
      </c>
      <c r="E263" t="inlineStr">
        <is>
          <t>health_social_anchor</t>
        </is>
      </c>
      <c r="F263" t="inlineStr">
        <is>
          <t>in.betrieb gGmbH</t>
        </is>
      </c>
      <c r="G263" t="inlineStr">
        <is>
          <t>context_actor</t>
        </is>
      </c>
      <c r="H263" t="inlineStr">
        <is>
          <t>health_social_anchor</t>
        </is>
      </c>
      <c r="I263" t="n">
        <v>32</v>
      </c>
      <c r="J263" t="n">
        <v>0</v>
      </c>
      <c r="K263" t="n">
        <v>0.1</v>
      </c>
      <c r="L263" t="n">
        <v>0.03846154</v>
      </c>
      <c r="M263" t="n">
        <v>0.13846154</v>
      </c>
      <c r="N263" t="n">
        <v>1.78269231</v>
      </c>
      <c r="O263" t="n">
        <v>57.046154</v>
      </c>
      <c r="P263" t="n">
        <v>0.08333333</v>
      </c>
      <c r="Q263" t="n">
        <v>0.08333333</v>
      </c>
      <c r="R263" t="n">
        <v>0.16666667</v>
      </c>
      <c r="S263" t="n">
        <v>0.53645833</v>
      </c>
      <c r="T263" t="n">
        <v>0.97792645</v>
      </c>
      <c r="U263" t="n">
        <v>31.293646</v>
      </c>
      <c r="V263" t="b">
        <v>0</v>
      </c>
      <c r="W263" t="n">
        <v>0</v>
      </c>
      <c r="X263" t="inlineStr">
        <is>
          <t>role_subrole_balanced_score = base_support_score * capped sqrt(avg_macro_multiplier * avg_subrole_multiplier); role/subrole quota constraints use inverse weights.</t>
        </is>
      </c>
    </row>
    <row r="264">
      <c r="A264" t="inlineStr">
        <is>
          <t>C0263</t>
        </is>
      </c>
      <c r="B264" t="inlineStr">
        <is>
          <t>x_0263</t>
        </is>
      </c>
      <c r="C264" t="inlineStr">
        <is>
          <t>Duale Hochschule Rheinland-Pfalz</t>
        </is>
      </c>
      <c r="D264" t="inlineStr">
        <is>
          <t>academic_support</t>
        </is>
      </c>
      <c r="E264" t="inlineStr">
        <is>
          <t>university_applied_sciences</t>
        </is>
      </c>
      <c r="F264" t="inlineStr">
        <is>
          <t>LandesPsychotherapeutenKammer Rheinland-Pfalz</t>
        </is>
      </c>
      <c r="G264" t="inlineStr">
        <is>
          <t>implementation_anchor</t>
        </is>
      </c>
      <c r="H264" t="inlineStr">
        <is>
          <t>health_social_anchor</t>
        </is>
      </c>
      <c r="I264" t="n">
        <v>32</v>
      </c>
      <c r="J264" t="n">
        <v>0</v>
      </c>
      <c r="K264" t="n">
        <v>0.05555556</v>
      </c>
      <c r="L264" t="n">
        <v>0.1</v>
      </c>
      <c r="M264" t="n">
        <v>0.15555556</v>
      </c>
      <c r="N264" t="n">
        <v>2.00277778</v>
      </c>
      <c r="O264" t="n">
        <v>64.08888899999999</v>
      </c>
      <c r="P264" t="n">
        <v>0.09090909</v>
      </c>
      <c r="Q264" t="n">
        <v>0.08333333</v>
      </c>
      <c r="R264" t="n">
        <v>0.17424242</v>
      </c>
      <c r="S264" t="n">
        <v>0.5608428</v>
      </c>
      <c r="T264" t="n">
        <v>1.05983183</v>
      </c>
      <c r="U264" t="n">
        <v>33.914618</v>
      </c>
      <c r="V264" t="b">
        <v>1</v>
      </c>
      <c r="W264" t="n">
        <v>1</v>
      </c>
      <c r="X264" t="inlineStr">
        <is>
          <t>role_subrole_balanced_score = base_support_score * capped sqrt(avg_macro_multiplier * avg_subrole_multiplier); role/subrole quota constraints use inverse weights.</t>
        </is>
      </c>
    </row>
    <row r="265">
      <c r="A265" t="inlineStr">
        <is>
          <t>C0264</t>
        </is>
      </c>
      <c r="B265" t="inlineStr">
        <is>
          <t>x_0264</t>
        </is>
      </c>
      <c r="C265" t="inlineStr">
        <is>
          <t>Duale Hochschule Rheinland-Pfalz</t>
        </is>
      </c>
      <c r="D265" t="inlineStr">
        <is>
          <t>academic_support</t>
        </is>
      </c>
      <c r="E265" t="inlineStr">
        <is>
          <t>university_applied_sciences</t>
        </is>
      </c>
      <c r="F265" t="inlineStr">
        <is>
          <t>Landesärztekammer Rheinland-Pfalz</t>
        </is>
      </c>
      <c r="G265" t="inlineStr">
        <is>
          <t>implementation_anchor</t>
        </is>
      </c>
      <c r="H265" t="inlineStr">
        <is>
          <t>health_social_anchor</t>
        </is>
      </c>
      <c r="I265" t="n">
        <v>32</v>
      </c>
      <c r="J265" t="n">
        <v>0</v>
      </c>
      <c r="K265" t="n">
        <v>0.05555556</v>
      </c>
      <c r="L265" t="n">
        <v>0.1</v>
      </c>
      <c r="M265" t="n">
        <v>0.15555556</v>
      </c>
      <c r="N265" t="n">
        <v>2.00277778</v>
      </c>
      <c r="O265" t="n">
        <v>64.08888899999999</v>
      </c>
      <c r="P265" t="n">
        <v>0.09090909</v>
      </c>
      <c r="Q265" t="n">
        <v>0.08333333</v>
      </c>
      <c r="R265" t="n">
        <v>0.17424242</v>
      </c>
      <c r="S265" t="n">
        <v>0.5608428</v>
      </c>
      <c r="T265" t="n">
        <v>1.05983183</v>
      </c>
      <c r="U265" t="n">
        <v>33.914618</v>
      </c>
      <c r="V265" t="b">
        <v>1</v>
      </c>
      <c r="W265" t="n">
        <v>1</v>
      </c>
      <c r="X265" t="inlineStr">
        <is>
          <t>role_subrole_balanced_score = base_support_score * capped sqrt(avg_macro_multiplier * avg_subrole_multiplier); role/subrole quota constraints use inverse weights.</t>
        </is>
      </c>
    </row>
    <row r="266">
      <c r="A266" t="inlineStr">
        <is>
          <t>C0265</t>
        </is>
      </c>
      <c r="B266" t="inlineStr">
        <is>
          <t>x_0265</t>
        </is>
      </c>
      <c r="C266" t="inlineStr">
        <is>
          <t>LandesPsychotherapeutenKammer Rheinland-Pfalz</t>
        </is>
      </c>
      <c r="D266" t="inlineStr">
        <is>
          <t>implementation_anchor</t>
        </is>
      </c>
      <c r="E266" t="inlineStr">
        <is>
          <t>health_social_anchor</t>
        </is>
      </c>
      <c r="F266" t="inlineStr">
        <is>
          <t>Vinzenz Pallotti University gGmbH</t>
        </is>
      </c>
      <c r="G266" t="inlineStr">
        <is>
          <t>academic_support</t>
        </is>
      </c>
      <c r="H266" t="inlineStr">
        <is>
          <t>university_research</t>
        </is>
      </c>
      <c r="I266" t="n">
        <v>32</v>
      </c>
      <c r="J266" t="n">
        <v>0</v>
      </c>
      <c r="K266" t="n">
        <v>0.1</v>
      </c>
      <c r="L266" t="n">
        <v>0.05555556</v>
      </c>
      <c r="M266" t="n">
        <v>0.15555556</v>
      </c>
      <c r="N266" t="n">
        <v>2.00277778</v>
      </c>
      <c r="O266" t="n">
        <v>64.08888899999999</v>
      </c>
      <c r="P266" t="n">
        <v>0.08333333</v>
      </c>
      <c r="Q266" t="n">
        <v>0.14285714</v>
      </c>
      <c r="R266" t="n">
        <v>0.22619048</v>
      </c>
      <c r="S266" t="n">
        <v>0.7280506</v>
      </c>
      <c r="T266" t="n">
        <v>1.20752787</v>
      </c>
      <c r="U266" t="n">
        <v>38.640892</v>
      </c>
      <c r="V266" t="b">
        <v>1</v>
      </c>
      <c r="W266" t="n">
        <v>1</v>
      </c>
      <c r="X266" t="inlineStr">
        <is>
          <t>role_subrole_balanced_score = base_support_score * capped sqrt(avg_macro_multiplier * avg_subrole_multiplier); role/subrole quota constraints use inverse weights.</t>
        </is>
      </c>
    </row>
    <row r="267">
      <c r="A267" t="inlineStr">
        <is>
          <t>C0266</t>
        </is>
      </c>
      <c r="B267" t="inlineStr">
        <is>
          <t>x_0266</t>
        </is>
      </c>
      <c r="C267" t="inlineStr">
        <is>
          <t>Landesärztekammer Rheinland-Pfalz</t>
        </is>
      </c>
      <c r="D267" t="inlineStr">
        <is>
          <t>implementation_anchor</t>
        </is>
      </c>
      <c r="E267" t="inlineStr">
        <is>
          <t>health_social_anchor</t>
        </is>
      </c>
      <c r="F267" t="inlineStr">
        <is>
          <t>Vinzenz Pallotti University gGmbH</t>
        </is>
      </c>
      <c r="G267" t="inlineStr">
        <is>
          <t>academic_support</t>
        </is>
      </c>
      <c r="H267" t="inlineStr">
        <is>
          <t>university_research</t>
        </is>
      </c>
      <c r="I267" t="n">
        <v>32</v>
      </c>
      <c r="J267" t="n">
        <v>0</v>
      </c>
      <c r="K267" t="n">
        <v>0.1</v>
      </c>
      <c r="L267" t="n">
        <v>0.05555556</v>
      </c>
      <c r="M267" t="n">
        <v>0.15555556</v>
      </c>
      <c r="N267" t="n">
        <v>2.00277778</v>
      </c>
      <c r="O267" t="n">
        <v>64.08888899999999</v>
      </c>
      <c r="P267" t="n">
        <v>0.08333333</v>
      </c>
      <c r="Q267" t="n">
        <v>0.14285714</v>
      </c>
      <c r="R267" t="n">
        <v>0.22619048</v>
      </c>
      <c r="S267" t="n">
        <v>0.7280506</v>
      </c>
      <c r="T267" t="n">
        <v>1.20752787</v>
      </c>
      <c r="U267" t="n">
        <v>38.640892</v>
      </c>
      <c r="V267" t="b">
        <v>1</v>
      </c>
      <c r="W267" t="n">
        <v>1</v>
      </c>
      <c r="X267" t="inlineStr">
        <is>
          <t>role_subrole_balanced_score = base_support_score * capped sqrt(avg_macro_multiplier * avg_subrole_multiplier); role/subrole quota constraints use inverse weights.</t>
        </is>
      </c>
    </row>
    <row r="268">
      <c r="A268" t="inlineStr">
        <is>
          <t>C0267</t>
        </is>
      </c>
      <c r="B268" t="inlineStr">
        <is>
          <t>x_0267</t>
        </is>
      </c>
      <c r="C268" t="inlineStr">
        <is>
          <t>1. FSV Mainz 05 e.V.</t>
        </is>
      </c>
      <c r="D268" t="inlineStr">
        <is>
          <t>context_actor</t>
        </is>
      </c>
      <c r="E268" t="inlineStr">
        <is>
          <t>sports_regional_identity_anchor</t>
        </is>
      </c>
      <c r="F268" t="inlineStr">
        <is>
          <t>Erster FC Kaiserslautern GmbH &amp; Co. KGaA</t>
        </is>
      </c>
      <c r="G268" t="inlineStr">
        <is>
          <t>profit_anchor</t>
        </is>
      </c>
      <c r="H268" t="inlineStr">
        <is>
          <t>sports_regional_identity_anchor</t>
        </is>
      </c>
      <c r="I268" t="n">
        <v>32</v>
      </c>
      <c r="J268" t="n">
        <v>0</v>
      </c>
      <c r="K268" t="n">
        <v>0.03846154</v>
      </c>
      <c r="L268" t="n">
        <v>0.02040816</v>
      </c>
      <c r="M268" t="n">
        <v>0.0588697</v>
      </c>
      <c r="N268" t="n">
        <v>0.75794741</v>
      </c>
      <c r="O268" t="n">
        <v>24.254317</v>
      </c>
      <c r="P268" t="n">
        <v>0.5</v>
      </c>
      <c r="Q268" t="n">
        <v>0.5</v>
      </c>
      <c r="R268" t="n">
        <v>1</v>
      </c>
      <c r="S268" t="n">
        <v>3.21875</v>
      </c>
      <c r="T268" t="n">
        <v>1.56193573</v>
      </c>
      <c r="U268" t="n">
        <v>49.981943</v>
      </c>
      <c r="V268" t="b">
        <v>0</v>
      </c>
      <c r="W268" t="n">
        <v>0</v>
      </c>
      <c r="X268" t="inlineStr">
        <is>
          <t>role_subrole_balanced_score = base_support_score * capped sqrt(avg_macro_multiplier * avg_subrole_multiplier); role/subrole quota constraints use inverse weights.</t>
        </is>
      </c>
    </row>
    <row r="269">
      <c r="A269" t="inlineStr">
        <is>
          <t>C0268</t>
        </is>
      </c>
      <c r="B269" t="inlineStr">
        <is>
          <t>x_0268</t>
        </is>
      </c>
      <c r="C269" t="inlineStr">
        <is>
          <t>BASF SE</t>
        </is>
      </c>
      <c r="D269" t="inlineStr">
        <is>
          <t>profit_anchor</t>
        </is>
      </c>
      <c r="E269" t="inlineStr">
        <is>
          <t>industry_anchor</t>
        </is>
      </c>
      <c r="F269" t="inlineStr">
        <is>
          <t>Investitions- und Strukturbank Rheinland-Pfalz (ISB)</t>
        </is>
      </c>
      <c r="G269" t="inlineStr">
        <is>
          <t>context_actor</t>
        </is>
      </c>
      <c r="H269" t="inlineStr">
        <is>
          <t>bank_finance_anchor</t>
        </is>
      </c>
      <c r="I269" t="n">
        <v>32</v>
      </c>
      <c r="J269" t="n">
        <v>0</v>
      </c>
      <c r="K269" t="n">
        <v>0.02040816</v>
      </c>
      <c r="L269" t="n">
        <v>0.03846154</v>
      </c>
      <c r="M269" t="n">
        <v>0.0588697</v>
      </c>
      <c r="N269" t="n">
        <v>0.75794741</v>
      </c>
      <c r="O269" t="n">
        <v>24.254317</v>
      </c>
      <c r="P269" t="n">
        <v>0.09090909</v>
      </c>
      <c r="Q269" t="n">
        <v>0.14285714</v>
      </c>
      <c r="R269" t="n">
        <v>0.23376623</v>
      </c>
      <c r="S269" t="n">
        <v>0.75243506</v>
      </c>
      <c r="T269" t="n">
        <v>0.75518621</v>
      </c>
      <c r="U269" t="n">
        <v>24.165959</v>
      </c>
      <c r="V269" t="b">
        <v>0</v>
      </c>
      <c r="W269" t="n">
        <v>0</v>
      </c>
      <c r="X269" t="inlineStr">
        <is>
          <t>role_subrole_balanced_score = base_support_score * capped sqrt(avg_macro_multiplier * avg_subrole_multiplier); role/subrole quota constraints use inverse weights.</t>
        </is>
      </c>
    </row>
    <row r="270">
      <c r="A270" t="inlineStr">
        <is>
          <t>C0269</t>
        </is>
      </c>
      <c r="B270" t="inlineStr">
        <is>
          <t>x_0269</t>
        </is>
      </c>
      <c r="C270" t="inlineStr">
        <is>
          <t>Boehringer Ingelheim Pharma GmbH &amp; Co. KG</t>
        </is>
      </c>
      <c r="D270" t="inlineStr">
        <is>
          <t>profit_anchor</t>
        </is>
      </c>
      <c r="E270" t="inlineStr">
        <is>
          <t>health_social_anchor</t>
        </is>
      </c>
      <c r="F270" t="inlineStr">
        <is>
          <t>Investitions- und Strukturbank Rheinland-Pfalz (ISB)</t>
        </is>
      </c>
      <c r="G270" t="inlineStr">
        <is>
          <t>context_actor</t>
        </is>
      </c>
      <c r="H270" t="inlineStr">
        <is>
          <t>bank_finance_anchor</t>
        </is>
      </c>
      <c r="I270" t="n">
        <v>32</v>
      </c>
      <c r="J270" t="n">
        <v>0</v>
      </c>
      <c r="K270" t="n">
        <v>0.02040816</v>
      </c>
      <c r="L270" t="n">
        <v>0.03846154</v>
      </c>
      <c r="M270" t="n">
        <v>0.0588697</v>
      </c>
      <c r="N270" t="n">
        <v>0.75794741</v>
      </c>
      <c r="O270" t="n">
        <v>24.254317</v>
      </c>
      <c r="P270" t="n">
        <v>0.08333333</v>
      </c>
      <c r="Q270" t="n">
        <v>0.14285714</v>
      </c>
      <c r="R270" t="n">
        <v>0.22619048</v>
      </c>
      <c r="S270" t="n">
        <v>0.7280506</v>
      </c>
      <c r="T270" t="n">
        <v>0.74284861</v>
      </c>
      <c r="U270" t="n">
        <v>23.771156</v>
      </c>
      <c r="V270" t="b">
        <v>0</v>
      </c>
      <c r="W270" t="n">
        <v>0</v>
      </c>
      <c r="X270" t="inlineStr">
        <is>
          <t>role_subrole_balanced_score = base_support_score * capped sqrt(avg_macro_multiplier * avg_subrole_multiplier); role/subrole quota constraints use inverse weights.</t>
        </is>
      </c>
    </row>
    <row r="271">
      <c r="A271" t="inlineStr">
        <is>
          <t>C0270</t>
        </is>
      </c>
      <c r="B271" t="inlineStr">
        <is>
          <t>x_0270</t>
        </is>
      </c>
      <c r="C271" t="inlineStr">
        <is>
          <t>Investitions- und Strukturbank Rheinland-Pfalz (ISB)</t>
        </is>
      </c>
      <c r="D271" t="inlineStr">
        <is>
          <t>context_actor</t>
        </is>
      </c>
      <c r="E271" t="inlineStr">
        <is>
          <t>bank_finance_anchor</t>
        </is>
      </c>
      <c r="F271" t="inlineStr">
        <is>
          <t>Landesbank Baden-Württemberg (LBBW)</t>
        </is>
      </c>
      <c r="G271" t="inlineStr">
        <is>
          <t>profit_anchor</t>
        </is>
      </c>
      <c r="H271" t="inlineStr">
        <is>
          <t>bank_finance_anchor</t>
        </is>
      </c>
      <c r="I271" t="n">
        <v>32</v>
      </c>
      <c r="J271" t="n">
        <v>0</v>
      </c>
      <c r="K271" t="n">
        <v>0.03846154</v>
      </c>
      <c r="L271" t="n">
        <v>0.02040816</v>
      </c>
      <c r="M271" t="n">
        <v>0.0588697</v>
      </c>
      <c r="N271" t="n">
        <v>0.75794741</v>
      </c>
      <c r="O271" t="n">
        <v>24.254317</v>
      </c>
      <c r="P271" t="n">
        <v>0.14285714</v>
      </c>
      <c r="Q271" t="n">
        <v>0.14285714</v>
      </c>
      <c r="R271" t="n">
        <v>0.28571429</v>
      </c>
      <c r="S271" t="n">
        <v>0.91964286</v>
      </c>
      <c r="T271" t="n">
        <v>0.83488977</v>
      </c>
      <c r="U271" t="n">
        <v>26.716473</v>
      </c>
      <c r="V271" t="b">
        <v>0</v>
      </c>
      <c r="W271" t="n">
        <v>0</v>
      </c>
      <c r="X271" t="inlineStr">
        <is>
          <t>role_subrole_balanced_score = base_support_score * capped sqrt(avg_macro_multiplier * avg_subrole_multiplier); role/subrole quota constraints use inverse weights.</t>
        </is>
      </c>
    </row>
    <row r="272">
      <c r="A272" t="inlineStr">
        <is>
          <t>C0271</t>
        </is>
      </c>
      <c r="B272" t="inlineStr">
        <is>
          <t>x_0271</t>
        </is>
      </c>
      <c r="C272" t="inlineStr">
        <is>
          <t>Investitions- und Strukturbank Rheinland-Pfalz (ISB)</t>
        </is>
      </c>
      <c r="D272" t="inlineStr">
        <is>
          <t>context_actor</t>
        </is>
      </c>
      <c r="E272" t="inlineStr">
        <is>
          <t>bank_finance_anchor</t>
        </is>
      </c>
      <c r="F272" t="inlineStr">
        <is>
          <t>Ministerium für Wirtschaft, Verkehr, Landwirtschaft und Weinbau</t>
        </is>
      </c>
      <c r="G272" t="inlineStr">
        <is>
          <t>profit_anchor</t>
        </is>
      </c>
      <c r="H272" t="inlineStr">
        <is>
          <t>public_policy_anchor</t>
        </is>
      </c>
      <c r="I272" t="n">
        <v>32</v>
      </c>
      <c r="J272" t="n">
        <v>0</v>
      </c>
      <c r="K272" t="n">
        <v>0.03846154</v>
      </c>
      <c r="L272" t="n">
        <v>0.02040816</v>
      </c>
      <c r="M272" t="n">
        <v>0.0588697</v>
      </c>
      <c r="N272" t="n">
        <v>0.75794741</v>
      </c>
      <c r="O272" t="n">
        <v>24.254317</v>
      </c>
      <c r="P272" t="n">
        <v>0.14285714</v>
      </c>
      <c r="Q272" t="n">
        <v>0.16666667</v>
      </c>
      <c r="R272" t="n">
        <v>0.30952381</v>
      </c>
      <c r="S272" t="n">
        <v>0.99627976</v>
      </c>
      <c r="T272" t="n">
        <v>0.86898082</v>
      </c>
      <c r="U272" t="n">
        <v>27.807386</v>
      </c>
      <c r="V272" t="b">
        <v>0</v>
      </c>
      <c r="W272" t="n">
        <v>0</v>
      </c>
      <c r="X272" t="inlineStr">
        <is>
          <t>role_subrole_balanced_score = base_support_score * capped sqrt(avg_macro_multiplier * avg_subrole_multiplier); role/subrole quota constraints use inverse weights.</t>
        </is>
      </c>
    </row>
    <row r="273">
      <c r="A273" t="inlineStr">
        <is>
          <t>C0272</t>
        </is>
      </c>
      <c r="B273" t="inlineStr">
        <is>
          <t>x_0272</t>
        </is>
      </c>
      <c r="C273" t="inlineStr">
        <is>
          <t>Investitions- und Strukturbank Rheinland-Pfalz (ISB)</t>
        </is>
      </c>
      <c r="D273" t="inlineStr">
        <is>
          <t>context_actor</t>
        </is>
      </c>
      <c r="E273" t="inlineStr">
        <is>
          <t>bank_finance_anchor</t>
        </is>
      </c>
      <c r="F273" t="inlineStr">
        <is>
          <t>SCHOTT AG</t>
        </is>
      </c>
      <c r="G273" t="inlineStr">
        <is>
          <t>profit_anchor</t>
        </is>
      </c>
      <c r="H273" t="inlineStr">
        <is>
          <t>industry_anchor</t>
        </is>
      </c>
      <c r="I273" t="n">
        <v>32</v>
      </c>
      <c r="J273" t="n">
        <v>0</v>
      </c>
      <c r="K273" t="n">
        <v>0.03846154</v>
      </c>
      <c r="L273" t="n">
        <v>0.02040816</v>
      </c>
      <c r="M273" t="n">
        <v>0.0588697</v>
      </c>
      <c r="N273" t="n">
        <v>0.75794741</v>
      </c>
      <c r="O273" t="n">
        <v>24.254317</v>
      </c>
      <c r="P273" t="n">
        <v>0.14285714</v>
      </c>
      <c r="Q273" t="n">
        <v>0.09090909</v>
      </c>
      <c r="R273" t="n">
        <v>0.23376623</v>
      </c>
      <c r="S273" t="n">
        <v>0.75243506</v>
      </c>
      <c r="T273" t="n">
        <v>0.75518621</v>
      </c>
      <c r="U273" t="n">
        <v>24.165959</v>
      </c>
      <c r="V273" t="b">
        <v>0</v>
      </c>
      <c r="W273" t="n">
        <v>0</v>
      </c>
      <c r="X273" t="inlineStr">
        <is>
          <t>role_subrole_balanced_score = base_support_score * capped sqrt(avg_macro_multiplier * avg_subrole_multiplier); role/subrole quota constraints use inverse weights.</t>
        </is>
      </c>
    </row>
    <row r="274">
      <c r="A274" t="inlineStr">
        <is>
          <t>C0273</t>
        </is>
      </c>
      <c r="B274" t="inlineStr">
        <is>
          <t>x_0273</t>
        </is>
      </c>
      <c r="C274" t="inlineStr">
        <is>
          <t>Investitions- und Strukturbank Rheinland-Pfalz (ISB)</t>
        </is>
      </c>
      <c r="D274" t="inlineStr">
        <is>
          <t>context_actor</t>
        </is>
      </c>
      <c r="E274" t="inlineStr">
        <is>
          <t>bank_finance_anchor</t>
        </is>
      </c>
      <c r="F274" t="inlineStr">
        <is>
          <t>thyssenkrupp Rasselstein GmbH</t>
        </is>
      </c>
      <c r="G274" t="inlineStr">
        <is>
          <t>profit_anchor</t>
        </is>
      </c>
      <c r="H274" t="inlineStr">
        <is>
          <t>industry_anchor</t>
        </is>
      </c>
      <c r="I274" t="n">
        <v>32</v>
      </c>
      <c r="J274" t="n">
        <v>0</v>
      </c>
      <c r="K274" t="n">
        <v>0.03846154</v>
      </c>
      <c r="L274" t="n">
        <v>0.02040816</v>
      </c>
      <c r="M274" t="n">
        <v>0.0588697</v>
      </c>
      <c r="N274" t="n">
        <v>0.75794741</v>
      </c>
      <c r="O274" t="n">
        <v>24.254317</v>
      </c>
      <c r="P274" t="n">
        <v>0.14285714</v>
      </c>
      <c r="Q274" t="n">
        <v>0.09090909</v>
      </c>
      <c r="R274" t="n">
        <v>0.23376623</v>
      </c>
      <c r="S274" t="n">
        <v>0.75243506</v>
      </c>
      <c r="T274" t="n">
        <v>0.75518621</v>
      </c>
      <c r="U274" t="n">
        <v>24.165959</v>
      </c>
      <c r="V274" t="b">
        <v>0</v>
      </c>
      <c r="W274" t="n">
        <v>0</v>
      </c>
      <c r="X274" t="inlineStr">
        <is>
          <t>role_subrole_balanced_score = base_support_score * capped sqrt(avg_macro_multiplier * avg_subrole_multiplier); role/subrole quota constraints use inverse weights.</t>
        </is>
      </c>
    </row>
    <row r="275">
      <c r="A275" t="inlineStr">
        <is>
          <t>C0274</t>
        </is>
      </c>
      <c r="B275" t="inlineStr">
        <is>
          <t>x_0274</t>
        </is>
      </c>
      <c r="C275" t="inlineStr">
        <is>
          <t>Bundesagentur für Arbeit, Regionaldirektion Rheinland-Pfalz-Saarland</t>
        </is>
      </c>
      <c r="D275" t="inlineStr">
        <is>
          <t>implementation_anchor</t>
        </is>
      </c>
      <c r="E275" t="inlineStr">
        <is>
          <t>public_policy_anchor</t>
        </is>
      </c>
      <c r="F275" t="inlineStr">
        <is>
          <t>JOBS FOR MOMS UG</t>
        </is>
      </c>
      <c r="G275" t="inlineStr">
        <is>
          <t>context_actor</t>
        </is>
      </c>
      <c r="H275" t="inlineStr">
        <is>
          <t>professional_services_anchor</t>
        </is>
      </c>
      <c r="I275" t="n">
        <v>32</v>
      </c>
      <c r="J275" t="n">
        <v>0</v>
      </c>
      <c r="K275" t="n">
        <v>0.1</v>
      </c>
      <c r="L275" t="n">
        <v>0.03846154</v>
      </c>
      <c r="M275" t="n">
        <v>0.13846154</v>
      </c>
      <c r="N275" t="n">
        <v>1.78269231</v>
      </c>
      <c r="O275" t="n">
        <v>57.046154</v>
      </c>
      <c r="P275" t="n">
        <v>0.16666667</v>
      </c>
      <c r="Q275" t="n">
        <v>0.2</v>
      </c>
      <c r="R275" t="n">
        <v>0.36666667</v>
      </c>
      <c r="S275" t="n">
        <v>1.18020833</v>
      </c>
      <c r="T275" t="n">
        <v>1.45049933</v>
      </c>
      <c r="U275" t="n">
        <v>46.415979</v>
      </c>
      <c r="V275" t="b">
        <v>0</v>
      </c>
      <c r="W275" t="n">
        <v>0</v>
      </c>
      <c r="X275" t="inlineStr">
        <is>
          <t>role_subrole_balanced_score = base_support_score * capped sqrt(avg_macro_multiplier * avg_subrole_multiplier); role/subrole quota constraints use inverse weights.</t>
        </is>
      </c>
    </row>
    <row r="276">
      <c r="A276" t="inlineStr">
        <is>
          <t>C0275</t>
        </is>
      </c>
      <c r="B276" t="inlineStr">
        <is>
          <t>x_0275</t>
        </is>
      </c>
      <c r="C276" t="inlineStr">
        <is>
          <t>Bundesagentur für Arbeit, Regionaldirektion Rheinland-Pfalz-Saarland</t>
        </is>
      </c>
      <c r="D276" t="inlineStr">
        <is>
          <t>implementation_anchor</t>
        </is>
      </c>
      <c r="E276" t="inlineStr">
        <is>
          <t>public_policy_anchor</t>
        </is>
      </c>
      <c r="F276" t="inlineStr">
        <is>
          <t>in.betrieb gGmbH</t>
        </is>
      </c>
      <c r="G276" t="inlineStr">
        <is>
          <t>context_actor</t>
        </is>
      </c>
      <c r="H276" t="inlineStr">
        <is>
          <t>health_social_anchor</t>
        </is>
      </c>
      <c r="I276" t="n">
        <v>32</v>
      </c>
      <c r="J276" t="n">
        <v>0</v>
      </c>
      <c r="K276" t="n">
        <v>0.1</v>
      </c>
      <c r="L276" t="n">
        <v>0.03846154</v>
      </c>
      <c r="M276" t="n">
        <v>0.13846154</v>
      </c>
      <c r="N276" t="n">
        <v>1.78269231</v>
      </c>
      <c r="O276" t="n">
        <v>57.046154</v>
      </c>
      <c r="P276" t="n">
        <v>0.16666667</v>
      </c>
      <c r="Q276" t="n">
        <v>0.08333333</v>
      </c>
      <c r="R276" t="n">
        <v>0.25</v>
      </c>
      <c r="S276" t="n">
        <v>0.8046875</v>
      </c>
      <c r="T276" t="n">
        <v>1.19771041</v>
      </c>
      <c r="U276" t="n">
        <v>38.326733</v>
      </c>
      <c r="V276" t="b">
        <v>0</v>
      </c>
      <c r="W276" t="n">
        <v>0</v>
      </c>
      <c r="X276" t="inlineStr">
        <is>
          <t>role_subrole_balanced_score = base_support_score * capped sqrt(avg_macro_multiplier * avg_subrole_multiplier); role/subrole quota constraints use inverse weights.</t>
        </is>
      </c>
    </row>
    <row r="277">
      <c r="A277" t="inlineStr">
        <is>
          <t>C0276</t>
        </is>
      </c>
      <c r="B277" t="inlineStr">
        <is>
          <t>x_0276</t>
        </is>
      </c>
      <c r="C277" t="inlineStr">
        <is>
          <t>Caritasverband für die Diözese Speyer e.V.</t>
        </is>
      </c>
      <c r="D277" t="inlineStr">
        <is>
          <t>implementation_anchor</t>
        </is>
      </c>
      <c r="E277" t="inlineStr">
        <is>
          <t>health_social_anchor</t>
        </is>
      </c>
      <c r="F277" t="inlineStr">
        <is>
          <t>JOBS FOR MOMS UG</t>
        </is>
      </c>
      <c r="G277" t="inlineStr">
        <is>
          <t>context_actor</t>
        </is>
      </c>
      <c r="H277" t="inlineStr">
        <is>
          <t>professional_services_anchor</t>
        </is>
      </c>
      <c r="I277" t="n">
        <v>32</v>
      </c>
      <c r="J277" t="n">
        <v>0</v>
      </c>
      <c r="K277" t="n">
        <v>0.1</v>
      </c>
      <c r="L277" t="n">
        <v>0.03846154</v>
      </c>
      <c r="M277" t="n">
        <v>0.13846154</v>
      </c>
      <c r="N277" t="n">
        <v>1.78269231</v>
      </c>
      <c r="O277" t="n">
        <v>57.046154</v>
      </c>
      <c r="P277" t="n">
        <v>0.08333333</v>
      </c>
      <c r="Q277" t="n">
        <v>0.2</v>
      </c>
      <c r="R277" t="n">
        <v>0.28333333</v>
      </c>
      <c r="S277" t="n">
        <v>0.91197917</v>
      </c>
      <c r="T277" t="n">
        <v>1.27506009</v>
      </c>
      <c r="U277" t="n">
        <v>40.801923</v>
      </c>
      <c r="V277" t="b">
        <v>0</v>
      </c>
      <c r="W277" t="n">
        <v>0</v>
      </c>
      <c r="X277" t="inlineStr">
        <is>
          <t>role_subrole_balanced_score = base_support_score * capped sqrt(avg_macro_multiplier * avg_subrole_multiplier); role/subrole quota constraints use inverse weights.</t>
        </is>
      </c>
    </row>
    <row r="278">
      <c r="A278" t="inlineStr">
        <is>
          <t>C0277</t>
        </is>
      </c>
      <c r="B278" t="inlineStr">
        <is>
          <t>x_0277</t>
        </is>
      </c>
      <c r="C278" t="inlineStr">
        <is>
          <t>Caritasverband für die Diözese Speyer e.V.</t>
        </is>
      </c>
      <c r="D278" t="inlineStr">
        <is>
          <t>implementation_anchor</t>
        </is>
      </c>
      <c r="E278" t="inlineStr">
        <is>
          <t>health_social_anchor</t>
        </is>
      </c>
      <c r="F278" t="inlineStr">
        <is>
          <t>in.betrieb gGmbH</t>
        </is>
      </c>
      <c r="G278" t="inlineStr">
        <is>
          <t>context_actor</t>
        </is>
      </c>
      <c r="H278" t="inlineStr">
        <is>
          <t>health_social_anchor</t>
        </is>
      </c>
      <c r="I278" t="n">
        <v>32</v>
      </c>
      <c r="J278" t="n">
        <v>0</v>
      </c>
      <c r="K278" t="n">
        <v>0.1</v>
      </c>
      <c r="L278" t="n">
        <v>0.03846154</v>
      </c>
      <c r="M278" t="n">
        <v>0.13846154</v>
      </c>
      <c r="N278" t="n">
        <v>1.78269231</v>
      </c>
      <c r="O278" t="n">
        <v>57.046154</v>
      </c>
      <c r="P278" t="n">
        <v>0.08333333</v>
      </c>
      <c r="Q278" t="n">
        <v>0.08333333</v>
      </c>
      <c r="R278" t="n">
        <v>0.16666667</v>
      </c>
      <c r="S278" t="n">
        <v>0.53645833</v>
      </c>
      <c r="T278" t="n">
        <v>0.97792645</v>
      </c>
      <c r="U278" t="n">
        <v>31.293646</v>
      </c>
      <c r="V278" t="b">
        <v>0</v>
      </c>
      <c r="W278" t="n">
        <v>0</v>
      </c>
      <c r="X278" t="inlineStr">
        <is>
          <t>role_subrole_balanced_score = base_support_score * capped sqrt(avg_macro_multiplier * avg_subrole_multiplier); role/subrole quota constraints use inverse weights.</t>
        </is>
      </c>
    </row>
    <row r="279">
      <c r="A279" t="inlineStr">
        <is>
          <t>C0278</t>
        </is>
      </c>
      <c r="B279" t="inlineStr">
        <is>
          <t>x_0278</t>
        </is>
      </c>
      <c r="C279" t="inlineStr">
        <is>
          <t>Deutsche Universität für Verwaltungswissenschaften Speyer</t>
        </is>
      </c>
      <c r="D279" t="inlineStr">
        <is>
          <t>academic_support</t>
        </is>
      </c>
      <c r="E279" t="inlineStr">
        <is>
          <t>university_research</t>
        </is>
      </c>
      <c r="F279" t="inlineStr">
        <is>
          <t>Empolis Information Management GmbH</t>
        </is>
      </c>
      <c r="G279" t="inlineStr">
        <is>
          <t>profit_anchor</t>
        </is>
      </c>
      <c r="H279" t="inlineStr">
        <is>
          <t>technology_digital_anchor</t>
        </is>
      </c>
      <c r="I279" t="n">
        <v>32</v>
      </c>
      <c r="J279" t="n">
        <v>0</v>
      </c>
      <c r="K279" t="n">
        <v>0.05555556</v>
      </c>
      <c r="L279" t="n">
        <v>0.02040816</v>
      </c>
      <c r="M279" t="n">
        <v>0.07596372</v>
      </c>
      <c r="N279" t="n">
        <v>0.97803288</v>
      </c>
      <c r="O279" t="n">
        <v>31.297052</v>
      </c>
      <c r="P279" t="n">
        <v>0.14285714</v>
      </c>
      <c r="Q279" t="n">
        <v>0.11111111</v>
      </c>
      <c r="R279" t="n">
        <v>0.25396825</v>
      </c>
      <c r="S279" t="n">
        <v>0.81746032</v>
      </c>
      <c r="T279" t="n">
        <v>0.89414935</v>
      </c>
      <c r="U279" t="n">
        <v>28.612779</v>
      </c>
      <c r="V279" t="b">
        <v>1</v>
      </c>
      <c r="W279" t="n">
        <v>1</v>
      </c>
      <c r="X279" t="inlineStr">
        <is>
          <t>role_subrole_balanced_score = base_support_score * capped sqrt(avg_macro_multiplier * avg_subrole_multiplier); role/subrole quota constraints use inverse weights.</t>
        </is>
      </c>
    </row>
    <row r="280">
      <c r="A280" t="inlineStr">
        <is>
          <t>C0279</t>
        </is>
      </c>
      <c r="B280" t="inlineStr">
        <is>
          <t>x_0279</t>
        </is>
      </c>
      <c r="C280" t="inlineStr">
        <is>
          <t>Deutsche Universität für Verwaltungswissenschaften Speyer</t>
        </is>
      </c>
      <c r="D280" t="inlineStr">
        <is>
          <t>academic_support</t>
        </is>
      </c>
      <c r="E280" t="inlineStr">
        <is>
          <t>university_research</t>
        </is>
      </c>
      <c r="F280" t="inlineStr">
        <is>
          <t>Ministerium für Wirtschaft, Verkehr, Landwirtschaft und Weinbau</t>
        </is>
      </c>
      <c r="G280" t="inlineStr">
        <is>
          <t>profit_anchor</t>
        </is>
      </c>
      <c r="H280" t="inlineStr">
        <is>
          <t>public_policy_anchor</t>
        </is>
      </c>
      <c r="I280" t="n">
        <v>32</v>
      </c>
      <c r="J280" t="n">
        <v>0</v>
      </c>
      <c r="K280" t="n">
        <v>0.05555556</v>
      </c>
      <c r="L280" t="n">
        <v>0.02040816</v>
      </c>
      <c r="M280" t="n">
        <v>0.07596372</v>
      </c>
      <c r="N280" t="n">
        <v>0.97803288</v>
      </c>
      <c r="O280" t="n">
        <v>31.297052</v>
      </c>
      <c r="P280" t="n">
        <v>0.14285714</v>
      </c>
      <c r="Q280" t="n">
        <v>0.16666667</v>
      </c>
      <c r="R280" t="n">
        <v>0.30952381</v>
      </c>
      <c r="S280" t="n">
        <v>0.99627976</v>
      </c>
      <c r="T280" t="n">
        <v>0.98711416</v>
      </c>
      <c r="U280" t="n">
        <v>31.587653</v>
      </c>
      <c r="V280" t="b">
        <v>1</v>
      </c>
      <c r="W280" t="n">
        <v>1</v>
      </c>
      <c r="X280" t="inlineStr">
        <is>
          <t>role_subrole_balanced_score = base_support_score * capped sqrt(avg_macro_multiplier * avg_subrole_multiplier); role/subrole quota constraints use inverse weights.</t>
        </is>
      </c>
    </row>
    <row r="281">
      <c r="A281" t="inlineStr">
        <is>
          <t>C0280</t>
        </is>
      </c>
      <c r="B281" t="inlineStr">
        <is>
          <t>x_0280</t>
        </is>
      </c>
      <c r="C281" t="inlineStr">
        <is>
          <t>Empolis Information Management GmbH</t>
        </is>
      </c>
      <c r="D281" t="inlineStr">
        <is>
          <t>profit_anchor</t>
        </is>
      </c>
      <c r="E281" t="inlineStr">
        <is>
          <t>technology_digital_anchor</t>
        </is>
      </c>
      <c r="F281" t="inlineStr">
        <is>
          <t>Landkreistag Rheinland-Pfalz</t>
        </is>
      </c>
      <c r="G281" t="inlineStr">
        <is>
          <t>context_actor</t>
        </is>
      </c>
      <c r="H281" t="inlineStr">
        <is>
          <t>public_policy_anchor</t>
        </is>
      </c>
      <c r="I281" t="n">
        <v>32</v>
      </c>
      <c r="J281" t="n">
        <v>0</v>
      </c>
      <c r="K281" t="n">
        <v>0.02040816</v>
      </c>
      <c r="L281" t="n">
        <v>0.03846154</v>
      </c>
      <c r="M281" t="n">
        <v>0.0588697</v>
      </c>
      <c r="N281" t="n">
        <v>0.75794741</v>
      </c>
      <c r="O281" t="n">
        <v>24.254317</v>
      </c>
      <c r="P281" t="n">
        <v>0.11111111</v>
      </c>
      <c r="Q281" t="n">
        <v>0.16666667</v>
      </c>
      <c r="R281" t="n">
        <v>0.27777778</v>
      </c>
      <c r="S281" t="n">
        <v>0.89409722</v>
      </c>
      <c r="T281" t="n">
        <v>0.82321241</v>
      </c>
      <c r="U281" t="n">
        <v>26.342797</v>
      </c>
      <c r="V281" t="b">
        <v>0</v>
      </c>
      <c r="W281" t="n">
        <v>0</v>
      </c>
      <c r="X281" t="inlineStr">
        <is>
          <t>role_subrole_balanced_score = base_support_score * capped sqrt(avg_macro_multiplier * avg_subrole_multiplier); role/subrole quota constraints use inverse weights.</t>
        </is>
      </c>
    </row>
    <row r="282">
      <c r="A282" t="inlineStr">
        <is>
          <t>C0281</t>
        </is>
      </c>
      <c r="B282" t="inlineStr">
        <is>
          <t>x_0281</t>
        </is>
      </c>
      <c r="C282" t="inlineStr">
        <is>
          <t>Empolis Information Management GmbH</t>
        </is>
      </c>
      <c r="D282" t="inlineStr">
        <is>
          <t>profit_anchor</t>
        </is>
      </c>
      <c r="E282" t="inlineStr">
        <is>
          <t>technology_digital_anchor</t>
        </is>
      </c>
      <c r="F282" t="inlineStr">
        <is>
          <t>Staatskanzlei des Landes Rheinland-Pfalz</t>
        </is>
      </c>
      <c r="G282" t="inlineStr">
        <is>
          <t>context_actor</t>
        </is>
      </c>
      <c r="H282" t="inlineStr">
        <is>
          <t>public_policy_anchor</t>
        </is>
      </c>
      <c r="I282" t="n">
        <v>32</v>
      </c>
      <c r="J282" t="n">
        <v>0</v>
      </c>
      <c r="K282" t="n">
        <v>0.02040816</v>
      </c>
      <c r="L282" t="n">
        <v>0.03846154</v>
      </c>
      <c r="M282" t="n">
        <v>0.0588697</v>
      </c>
      <c r="N282" t="n">
        <v>0.75794741</v>
      </c>
      <c r="O282" t="n">
        <v>24.254317</v>
      </c>
      <c r="P282" t="n">
        <v>0.11111111</v>
      </c>
      <c r="Q282" t="n">
        <v>0.16666667</v>
      </c>
      <c r="R282" t="n">
        <v>0.27777778</v>
      </c>
      <c r="S282" t="n">
        <v>0.89409722</v>
      </c>
      <c r="T282" t="n">
        <v>0.82321241</v>
      </c>
      <c r="U282" t="n">
        <v>26.342797</v>
      </c>
      <c r="V282" t="b">
        <v>0</v>
      </c>
      <c r="W282" t="n">
        <v>0</v>
      </c>
      <c r="X282" t="inlineStr">
        <is>
          <t>role_subrole_balanced_score = base_support_score * capped sqrt(avg_macro_multiplier * avg_subrole_multiplier); role/subrole quota constraints use inverse weights.</t>
        </is>
      </c>
    </row>
    <row r="283">
      <c r="A283" t="inlineStr">
        <is>
          <t>C0282</t>
        </is>
      </c>
      <c r="B283" t="inlineStr">
        <is>
          <t>x_0282</t>
        </is>
      </c>
      <c r="C283" t="inlineStr">
        <is>
          <t>Empolis Information Management GmbH</t>
        </is>
      </c>
      <c r="D283" t="inlineStr">
        <is>
          <t>profit_anchor</t>
        </is>
      </c>
      <c r="E283" t="inlineStr">
        <is>
          <t>technology_digital_anchor</t>
        </is>
      </c>
      <c r="F283" t="inlineStr">
        <is>
          <t>Städtetag Rheinland-Pfalz</t>
        </is>
      </c>
      <c r="G283" t="inlineStr">
        <is>
          <t>context_actor</t>
        </is>
      </c>
      <c r="H283" t="inlineStr">
        <is>
          <t>public_policy_anchor</t>
        </is>
      </c>
      <c r="I283" t="n">
        <v>32</v>
      </c>
      <c r="J283" t="n">
        <v>0</v>
      </c>
      <c r="K283" t="n">
        <v>0.02040816</v>
      </c>
      <c r="L283" t="n">
        <v>0.03846154</v>
      </c>
      <c r="M283" t="n">
        <v>0.0588697</v>
      </c>
      <c r="N283" t="n">
        <v>0.75794741</v>
      </c>
      <c r="O283" t="n">
        <v>24.254317</v>
      </c>
      <c r="P283" t="n">
        <v>0.11111111</v>
      </c>
      <c r="Q283" t="n">
        <v>0.16666667</v>
      </c>
      <c r="R283" t="n">
        <v>0.27777778</v>
      </c>
      <c r="S283" t="n">
        <v>0.89409722</v>
      </c>
      <c r="T283" t="n">
        <v>0.82321241</v>
      </c>
      <c r="U283" t="n">
        <v>26.342797</v>
      </c>
      <c r="V283" t="b">
        <v>0</v>
      </c>
      <c r="W283" t="n">
        <v>0</v>
      </c>
      <c r="X283" t="inlineStr">
        <is>
          <t>role_subrole_balanced_score = base_support_score * capped sqrt(avg_macro_multiplier * avg_subrole_multiplier); role/subrole quota constraints use inverse weights.</t>
        </is>
      </c>
    </row>
    <row r="284">
      <c r="A284" t="inlineStr">
        <is>
          <t>C0283</t>
        </is>
      </c>
      <c r="B284" t="inlineStr">
        <is>
          <t>x_0283</t>
        </is>
      </c>
      <c r="C284" t="inlineStr">
        <is>
          <t>Landkreistag Rheinland-Pfalz</t>
        </is>
      </c>
      <c r="D284" t="inlineStr">
        <is>
          <t>context_actor</t>
        </is>
      </c>
      <c r="E284" t="inlineStr">
        <is>
          <t>public_policy_anchor</t>
        </is>
      </c>
      <c r="F284" t="inlineStr">
        <is>
          <t>Ministerium für Wirtschaft, Verkehr, Landwirtschaft und Weinbau</t>
        </is>
      </c>
      <c r="G284" t="inlineStr">
        <is>
          <t>profit_anchor</t>
        </is>
      </c>
      <c r="H284" t="inlineStr">
        <is>
          <t>public_policy_anchor</t>
        </is>
      </c>
      <c r="I284" t="n">
        <v>32</v>
      </c>
      <c r="J284" t="n">
        <v>0</v>
      </c>
      <c r="K284" t="n">
        <v>0.03846154</v>
      </c>
      <c r="L284" t="n">
        <v>0.02040816</v>
      </c>
      <c r="M284" t="n">
        <v>0.0588697</v>
      </c>
      <c r="N284" t="n">
        <v>0.75794741</v>
      </c>
      <c r="O284" t="n">
        <v>24.254317</v>
      </c>
      <c r="P284" t="n">
        <v>0.16666667</v>
      </c>
      <c r="Q284" t="n">
        <v>0.16666667</v>
      </c>
      <c r="R284" t="n">
        <v>0.33333333</v>
      </c>
      <c r="S284" t="n">
        <v>1.07291667</v>
      </c>
      <c r="T284" t="n">
        <v>0.90178401</v>
      </c>
      <c r="U284" t="n">
        <v>28.857088</v>
      </c>
      <c r="V284" t="b">
        <v>0</v>
      </c>
      <c r="W284" t="n">
        <v>0</v>
      </c>
      <c r="X284" t="inlineStr">
        <is>
          <t>role_subrole_balanced_score = base_support_score * capped sqrt(avg_macro_multiplier * avg_subrole_multiplier); role/subrole quota constraints use inverse weights.</t>
        </is>
      </c>
    </row>
    <row r="285">
      <c r="A285" t="inlineStr">
        <is>
          <t>C0284</t>
        </is>
      </c>
      <c r="B285" t="inlineStr">
        <is>
          <t>x_0284</t>
        </is>
      </c>
      <c r="C285" t="inlineStr">
        <is>
          <t>Ministerium für Wirtschaft, Verkehr, Landwirtschaft und Weinbau</t>
        </is>
      </c>
      <c r="D285" t="inlineStr">
        <is>
          <t>profit_anchor</t>
        </is>
      </c>
      <c r="E285" t="inlineStr">
        <is>
          <t>public_policy_anchor</t>
        </is>
      </c>
      <c r="F285" t="inlineStr">
        <is>
          <t>Staatskanzlei des Landes Rheinland-Pfalz</t>
        </is>
      </c>
      <c r="G285" t="inlineStr">
        <is>
          <t>context_actor</t>
        </is>
      </c>
      <c r="H285" t="inlineStr">
        <is>
          <t>public_policy_anchor</t>
        </is>
      </c>
      <c r="I285" t="n">
        <v>32</v>
      </c>
      <c r="J285" t="n">
        <v>0</v>
      </c>
      <c r="K285" t="n">
        <v>0.02040816</v>
      </c>
      <c r="L285" t="n">
        <v>0.03846154</v>
      </c>
      <c r="M285" t="n">
        <v>0.0588697</v>
      </c>
      <c r="N285" t="n">
        <v>0.75794741</v>
      </c>
      <c r="O285" t="n">
        <v>24.254317</v>
      </c>
      <c r="P285" t="n">
        <v>0.16666667</v>
      </c>
      <c r="Q285" t="n">
        <v>0.16666667</v>
      </c>
      <c r="R285" t="n">
        <v>0.33333333</v>
      </c>
      <c r="S285" t="n">
        <v>1.07291667</v>
      </c>
      <c r="T285" t="n">
        <v>0.90178401</v>
      </c>
      <c r="U285" t="n">
        <v>28.857088</v>
      </c>
      <c r="V285" t="b">
        <v>0</v>
      </c>
      <c r="W285" t="n">
        <v>0</v>
      </c>
      <c r="X285" t="inlineStr">
        <is>
          <t>role_subrole_balanced_score = base_support_score * capped sqrt(avg_macro_multiplier * avg_subrole_multiplier); role/subrole quota constraints use inverse weights.</t>
        </is>
      </c>
    </row>
    <row r="286">
      <c r="A286" t="inlineStr">
        <is>
          <t>C0285</t>
        </is>
      </c>
      <c r="B286" t="inlineStr">
        <is>
          <t>x_0285</t>
        </is>
      </c>
      <c r="C286" t="inlineStr">
        <is>
          <t>Ministerium für Wirtschaft, Verkehr, Landwirtschaft und Weinbau</t>
        </is>
      </c>
      <c r="D286" t="inlineStr">
        <is>
          <t>profit_anchor</t>
        </is>
      </c>
      <c r="E286" t="inlineStr">
        <is>
          <t>public_policy_anchor</t>
        </is>
      </c>
      <c r="F286" t="inlineStr">
        <is>
          <t>Städtetag Rheinland-Pfalz</t>
        </is>
      </c>
      <c r="G286" t="inlineStr">
        <is>
          <t>context_actor</t>
        </is>
      </c>
      <c r="H286" t="inlineStr">
        <is>
          <t>public_policy_anchor</t>
        </is>
      </c>
      <c r="I286" t="n">
        <v>32</v>
      </c>
      <c r="J286" t="n">
        <v>0</v>
      </c>
      <c r="K286" t="n">
        <v>0.02040816</v>
      </c>
      <c r="L286" t="n">
        <v>0.03846154</v>
      </c>
      <c r="M286" t="n">
        <v>0.0588697</v>
      </c>
      <c r="N286" t="n">
        <v>0.75794741</v>
      </c>
      <c r="O286" t="n">
        <v>24.254317</v>
      </c>
      <c r="P286" t="n">
        <v>0.16666667</v>
      </c>
      <c r="Q286" t="n">
        <v>0.16666667</v>
      </c>
      <c r="R286" t="n">
        <v>0.33333333</v>
      </c>
      <c r="S286" t="n">
        <v>1.07291667</v>
      </c>
      <c r="T286" t="n">
        <v>0.90178401</v>
      </c>
      <c r="U286" t="n">
        <v>28.857088</v>
      </c>
      <c r="V286" t="b">
        <v>0</v>
      </c>
      <c r="W286" t="n">
        <v>0</v>
      </c>
      <c r="X286" t="inlineStr">
        <is>
          <t>role_subrole_balanced_score = base_support_score * capped sqrt(avg_macro_multiplier * avg_subrole_multiplier); role/subrole quota constraints use inverse weights.</t>
        </is>
      </c>
    </row>
    <row r="287">
      <c r="A287" t="inlineStr">
        <is>
          <t>C0286</t>
        </is>
      </c>
      <c r="B287" t="inlineStr">
        <is>
          <t>x_0286</t>
        </is>
      </c>
      <c r="C287" t="inlineStr">
        <is>
          <t>Bundesagentur für Arbeit, Regionaldirektion Rheinland-Pfalz-Saarland</t>
        </is>
      </c>
      <c r="D287" t="inlineStr">
        <is>
          <t>implementation_anchor</t>
        </is>
      </c>
      <c r="E287" t="inlineStr">
        <is>
          <t>public_policy_anchor</t>
        </is>
      </c>
      <c r="F287" t="inlineStr">
        <is>
          <t>Hochschule für Gesellschaftsgestaltung (HfGG)</t>
        </is>
      </c>
      <c r="G287" t="inlineStr">
        <is>
          <t>academic_support</t>
        </is>
      </c>
      <c r="H287" t="inlineStr">
        <is>
          <t>university_applied_sciences</t>
        </is>
      </c>
      <c r="I287" t="n">
        <v>32</v>
      </c>
      <c r="J287" t="n">
        <v>0</v>
      </c>
      <c r="K287" t="n">
        <v>0.1</v>
      </c>
      <c r="L287" t="n">
        <v>0.05555556</v>
      </c>
      <c r="M287" t="n">
        <v>0.15555556</v>
      </c>
      <c r="N287" t="n">
        <v>2.00277778</v>
      </c>
      <c r="O287" t="n">
        <v>64.08888899999999</v>
      </c>
      <c r="P287" t="n">
        <v>0.16666667</v>
      </c>
      <c r="Q287" t="n">
        <v>0.09090909</v>
      </c>
      <c r="R287" t="n">
        <v>0.25757576</v>
      </c>
      <c r="S287" t="n">
        <v>0.82907197</v>
      </c>
      <c r="T287" t="n">
        <v>1.2885833</v>
      </c>
      <c r="U287" t="n">
        <v>41.234666</v>
      </c>
      <c r="V287" t="b">
        <v>1</v>
      </c>
      <c r="W287" t="n">
        <v>1</v>
      </c>
      <c r="X287" t="inlineStr">
        <is>
          <t>role_subrole_balanced_score = base_support_score * capped sqrt(avg_macro_multiplier * avg_subrole_multiplier); role/subrole quota constraints use inverse weights.</t>
        </is>
      </c>
    </row>
    <row r="288">
      <c r="A288" t="inlineStr">
        <is>
          <t>C0287</t>
        </is>
      </c>
      <c r="B288" t="inlineStr">
        <is>
          <t>x_0287</t>
        </is>
      </c>
      <c r="C288" t="inlineStr">
        <is>
          <t>Bundesagentur für Arbeit, Regionaldirektion Rheinland-Pfalz-Saarland</t>
        </is>
      </c>
      <c r="D288" t="inlineStr">
        <is>
          <t>implementation_anchor</t>
        </is>
      </c>
      <c r="E288" t="inlineStr">
        <is>
          <t>public_policy_anchor</t>
        </is>
      </c>
      <c r="F288" t="inlineStr">
        <is>
          <t>Hochschule für Musik Mainz</t>
        </is>
      </c>
      <c r="G288" t="inlineStr">
        <is>
          <t>academic_support</t>
        </is>
      </c>
      <c r="H288" t="inlineStr">
        <is>
          <t>university_applied_sciences</t>
        </is>
      </c>
      <c r="I288" t="n">
        <v>32</v>
      </c>
      <c r="J288" t="n">
        <v>0</v>
      </c>
      <c r="K288" t="n">
        <v>0.1</v>
      </c>
      <c r="L288" t="n">
        <v>0.05555556</v>
      </c>
      <c r="M288" t="n">
        <v>0.15555556</v>
      </c>
      <c r="N288" t="n">
        <v>2.00277778</v>
      </c>
      <c r="O288" t="n">
        <v>64.08888899999999</v>
      </c>
      <c r="P288" t="n">
        <v>0.16666667</v>
      </c>
      <c r="Q288" t="n">
        <v>0.09090909</v>
      </c>
      <c r="R288" t="n">
        <v>0.25757576</v>
      </c>
      <c r="S288" t="n">
        <v>0.82907197</v>
      </c>
      <c r="T288" t="n">
        <v>1.2885833</v>
      </c>
      <c r="U288" t="n">
        <v>41.234666</v>
      </c>
      <c r="V288" t="b">
        <v>1</v>
      </c>
      <c r="W288" t="n">
        <v>1</v>
      </c>
      <c r="X288" t="inlineStr">
        <is>
          <t>role_subrole_balanced_score = base_support_score * capped sqrt(avg_macro_multiplier * avg_subrole_multiplier); role/subrole quota constraints use inverse weights.</t>
        </is>
      </c>
    </row>
    <row r="289">
      <c r="A289" t="inlineStr">
        <is>
          <t>C0288</t>
        </is>
      </c>
      <c r="B289" t="inlineStr">
        <is>
          <t>x_0288</t>
        </is>
      </c>
      <c r="C289" t="inlineStr">
        <is>
          <t>Handwerkskammern Rheinland-Pfalz</t>
        </is>
      </c>
      <c r="D289" t="inlineStr">
        <is>
          <t>implementation_anchor</t>
        </is>
      </c>
      <c r="E289" t="inlineStr">
        <is>
          <t>chamber_association_anchor</t>
        </is>
      </c>
      <c r="F289" t="inlineStr">
        <is>
          <t>Hochschule für Gesellschaftsgestaltung (HfGG)</t>
        </is>
      </c>
      <c r="G289" t="inlineStr">
        <is>
          <t>academic_support</t>
        </is>
      </c>
      <c r="H289" t="inlineStr">
        <is>
          <t>university_applied_sciences</t>
        </is>
      </c>
      <c r="I289" t="n">
        <v>32</v>
      </c>
      <c r="J289" t="n">
        <v>0</v>
      </c>
      <c r="K289" t="n">
        <v>0.1</v>
      </c>
      <c r="L289" t="n">
        <v>0.05555556</v>
      </c>
      <c r="M289" t="n">
        <v>0.15555556</v>
      </c>
      <c r="N289" t="n">
        <v>2.00277778</v>
      </c>
      <c r="O289" t="n">
        <v>64.08888899999999</v>
      </c>
      <c r="P289" t="n">
        <v>0.25</v>
      </c>
      <c r="Q289" t="n">
        <v>0.09090909</v>
      </c>
      <c r="R289" t="n">
        <v>0.34090909</v>
      </c>
      <c r="S289" t="n">
        <v>1.09730114</v>
      </c>
      <c r="T289" t="n">
        <v>1.48244741</v>
      </c>
      <c r="U289" t="n">
        <v>47.438317</v>
      </c>
      <c r="V289" t="b">
        <v>1</v>
      </c>
      <c r="W289" t="n">
        <v>1</v>
      </c>
      <c r="X289" t="inlineStr">
        <is>
          <t>role_subrole_balanced_score = base_support_score * capped sqrt(avg_macro_multiplier * avg_subrole_multiplier); role/subrole quota constraints use inverse weights.</t>
        </is>
      </c>
    </row>
    <row r="290">
      <c r="A290" t="inlineStr">
        <is>
          <t>C0289</t>
        </is>
      </c>
      <c r="B290" t="inlineStr">
        <is>
          <t>x_0289</t>
        </is>
      </c>
      <c r="C290" t="inlineStr">
        <is>
          <t>Handwerkskammern Rheinland-Pfalz</t>
        </is>
      </c>
      <c r="D290" t="inlineStr">
        <is>
          <t>implementation_anchor</t>
        </is>
      </c>
      <c r="E290" t="inlineStr">
        <is>
          <t>chamber_association_anchor</t>
        </is>
      </c>
      <c r="F290" t="inlineStr">
        <is>
          <t>Hochschule für Musik Mainz</t>
        </is>
      </c>
      <c r="G290" t="inlineStr">
        <is>
          <t>academic_support</t>
        </is>
      </c>
      <c r="H290" t="inlineStr">
        <is>
          <t>university_applied_sciences</t>
        </is>
      </c>
      <c r="I290" t="n">
        <v>32</v>
      </c>
      <c r="J290" t="n">
        <v>0</v>
      </c>
      <c r="K290" t="n">
        <v>0.1</v>
      </c>
      <c r="L290" t="n">
        <v>0.05555556</v>
      </c>
      <c r="M290" t="n">
        <v>0.15555556</v>
      </c>
      <c r="N290" t="n">
        <v>2.00277778</v>
      </c>
      <c r="O290" t="n">
        <v>64.08888899999999</v>
      </c>
      <c r="P290" t="n">
        <v>0.25</v>
      </c>
      <c r="Q290" t="n">
        <v>0.09090909</v>
      </c>
      <c r="R290" t="n">
        <v>0.34090909</v>
      </c>
      <c r="S290" t="n">
        <v>1.09730114</v>
      </c>
      <c r="T290" t="n">
        <v>1.48244741</v>
      </c>
      <c r="U290" t="n">
        <v>47.438317</v>
      </c>
      <c r="V290" t="b">
        <v>1</v>
      </c>
      <c r="W290" t="n">
        <v>1</v>
      </c>
      <c r="X290" t="inlineStr">
        <is>
          <t>role_subrole_balanced_score = base_support_score * capped sqrt(avg_macro_multiplier * avg_subrole_multiplier); role/subrole quota constraints use inverse weights.</t>
        </is>
      </c>
    </row>
    <row r="291">
      <c r="A291" t="inlineStr">
        <is>
          <t>C0290</t>
        </is>
      </c>
      <c r="B291" t="inlineStr">
        <is>
          <t>x_0290</t>
        </is>
      </c>
      <c r="C291" t="inlineStr">
        <is>
          <t>BRICKMAKERS AG</t>
        </is>
      </c>
      <c r="D291" t="inlineStr">
        <is>
          <t>profit_anchor</t>
        </is>
      </c>
      <c r="E291" t="inlineStr">
        <is>
          <t>technology_digital_anchor</t>
        </is>
      </c>
      <c r="F291" t="inlineStr">
        <is>
          <t>Rheinland-Pfälzische Technische Universität Kaiserslautern-Landau (RPTU)</t>
        </is>
      </c>
      <c r="G291" t="inlineStr">
        <is>
          <t>academic_support</t>
        </is>
      </c>
      <c r="H291" t="inlineStr">
        <is>
          <t>university_research</t>
        </is>
      </c>
      <c r="I291" t="n">
        <v>31</v>
      </c>
      <c r="J291" t="n">
        <v>0</v>
      </c>
      <c r="K291" t="n">
        <v>0.02040816</v>
      </c>
      <c r="L291" t="n">
        <v>0.05555556</v>
      </c>
      <c r="M291" t="n">
        <v>0.07596372</v>
      </c>
      <c r="N291" t="n">
        <v>0.97803288</v>
      </c>
      <c r="O291" t="n">
        <v>30.319019</v>
      </c>
      <c r="P291" t="n">
        <v>0.11111111</v>
      </c>
      <c r="Q291" t="n">
        <v>0.14285714</v>
      </c>
      <c r="R291" t="n">
        <v>0.25396825</v>
      </c>
      <c r="S291" t="n">
        <v>0.81746032</v>
      </c>
      <c r="T291" t="n">
        <v>0.89414935</v>
      </c>
      <c r="U291" t="n">
        <v>27.71863</v>
      </c>
      <c r="V291" t="b">
        <v>1</v>
      </c>
      <c r="W291" t="n">
        <v>1</v>
      </c>
      <c r="X291" t="inlineStr">
        <is>
          <t>role_subrole_balanced_score = base_support_score * capped sqrt(avg_macro_multiplier * avg_subrole_multiplier); role/subrole quota constraints use inverse weights.</t>
        </is>
      </c>
    </row>
    <row r="292">
      <c r="A292" t="inlineStr">
        <is>
          <t>C0291</t>
        </is>
      </c>
      <c r="B292" t="inlineStr">
        <is>
          <t>x_0291</t>
        </is>
      </c>
      <c r="C292" t="inlineStr">
        <is>
          <t>BRICKMAKERS AG</t>
        </is>
      </c>
      <c r="D292" t="inlineStr">
        <is>
          <t>profit_anchor</t>
        </is>
      </c>
      <c r="E292" t="inlineStr">
        <is>
          <t>technology_digital_anchor</t>
        </is>
      </c>
      <c r="F292" t="inlineStr">
        <is>
          <t>Staatskanzlei des Landes Rheinland-Pfalz</t>
        </is>
      </c>
      <c r="G292" t="inlineStr">
        <is>
          <t>context_actor</t>
        </is>
      </c>
      <c r="H292" t="inlineStr">
        <is>
          <t>public_policy_anchor</t>
        </is>
      </c>
      <c r="I292" t="n">
        <v>31</v>
      </c>
      <c r="J292" t="n">
        <v>0</v>
      </c>
      <c r="K292" t="n">
        <v>0.02040816</v>
      </c>
      <c r="L292" t="n">
        <v>0.03846154</v>
      </c>
      <c r="M292" t="n">
        <v>0.0588697</v>
      </c>
      <c r="N292" t="n">
        <v>0.75794741</v>
      </c>
      <c r="O292" t="n">
        <v>23.49637</v>
      </c>
      <c r="P292" t="n">
        <v>0.11111111</v>
      </c>
      <c r="Q292" t="n">
        <v>0.16666667</v>
      </c>
      <c r="R292" t="n">
        <v>0.27777778</v>
      </c>
      <c r="S292" t="n">
        <v>0.89409722</v>
      </c>
      <c r="T292" t="n">
        <v>0.82321241</v>
      </c>
      <c r="U292" t="n">
        <v>25.519585</v>
      </c>
      <c r="V292" t="b">
        <v>0</v>
      </c>
      <c r="W292" t="n">
        <v>0</v>
      </c>
      <c r="X292" t="inlineStr">
        <is>
          <t>role_subrole_balanced_score = base_support_score * capped sqrt(avg_macro_multiplier * avg_subrole_multiplier); role/subrole quota constraints use inverse weights.</t>
        </is>
      </c>
    </row>
    <row r="293">
      <c r="A293" t="inlineStr">
        <is>
          <t>C0292</t>
        </is>
      </c>
      <c r="B293" t="inlineStr">
        <is>
          <t>x_0292</t>
        </is>
      </c>
      <c r="C293" t="inlineStr">
        <is>
          <t>BRICKMAKERS AG</t>
        </is>
      </c>
      <c r="D293" t="inlineStr">
        <is>
          <t>profit_anchor</t>
        </is>
      </c>
      <c r="E293" t="inlineStr">
        <is>
          <t>technology_digital_anchor</t>
        </is>
      </c>
      <c r="F293" t="inlineStr">
        <is>
          <t>TÜV Rheinland Berlin Brandenburg Pfalz e.V.</t>
        </is>
      </c>
      <c r="G293" t="inlineStr">
        <is>
          <t>context_actor</t>
        </is>
      </c>
      <c r="H293" t="inlineStr">
        <is>
          <t>chamber_association_anchor</t>
        </is>
      </c>
      <c r="I293" t="n">
        <v>31</v>
      </c>
      <c r="J293" t="n">
        <v>0</v>
      </c>
      <c r="K293" t="n">
        <v>0.02040816</v>
      </c>
      <c r="L293" t="n">
        <v>0.03846154</v>
      </c>
      <c r="M293" t="n">
        <v>0.0588697</v>
      </c>
      <c r="N293" t="n">
        <v>0.75794741</v>
      </c>
      <c r="O293" t="n">
        <v>23.49637</v>
      </c>
      <c r="P293" t="n">
        <v>0.11111111</v>
      </c>
      <c r="Q293" t="n">
        <v>0.25</v>
      </c>
      <c r="R293" t="n">
        <v>0.36111111</v>
      </c>
      <c r="S293" t="n">
        <v>1.16232639</v>
      </c>
      <c r="T293" t="n">
        <v>0.93860656</v>
      </c>
      <c r="U293" t="n">
        <v>29.096803</v>
      </c>
      <c r="V293" t="b">
        <v>0</v>
      </c>
      <c r="W293" t="n">
        <v>0</v>
      </c>
      <c r="X293" t="inlineStr">
        <is>
          <t>role_subrole_balanced_score = base_support_score * capped sqrt(avg_macro_multiplier * avg_subrole_multiplier); role/subrole quota constraints use inverse weights.</t>
        </is>
      </c>
    </row>
    <row r="294">
      <c r="A294" t="inlineStr">
        <is>
          <t>C0293</t>
        </is>
      </c>
      <c r="B294" t="inlineStr">
        <is>
          <t>x_0293</t>
        </is>
      </c>
      <c r="C294" t="inlineStr">
        <is>
          <t>Debeka Versicherungsgruppe</t>
        </is>
      </c>
      <c r="D294" t="inlineStr">
        <is>
          <t>profit_anchor</t>
        </is>
      </c>
      <c r="E294" t="inlineStr">
        <is>
          <t>bank_finance_anchor</t>
        </is>
      </c>
      <c r="F294" t="inlineStr">
        <is>
          <t>Rheinland-Pfälzische Technische Universität Kaiserslautern-Landau (RPTU)</t>
        </is>
      </c>
      <c r="G294" t="inlineStr">
        <is>
          <t>academic_support</t>
        </is>
      </c>
      <c r="H294" t="inlineStr">
        <is>
          <t>university_research</t>
        </is>
      </c>
      <c r="I294" t="n">
        <v>31</v>
      </c>
      <c r="J294" t="n">
        <v>0</v>
      </c>
      <c r="K294" t="n">
        <v>0.02040816</v>
      </c>
      <c r="L294" t="n">
        <v>0.05555556</v>
      </c>
      <c r="M294" t="n">
        <v>0.07596372</v>
      </c>
      <c r="N294" t="n">
        <v>0.97803288</v>
      </c>
      <c r="O294" t="n">
        <v>30.319019</v>
      </c>
      <c r="P294" t="n">
        <v>0.14285714</v>
      </c>
      <c r="Q294" t="n">
        <v>0.14285714</v>
      </c>
      <c r="R294" t="n">
        <v>0.28571429</v>
      </c>
      <c r="S294" t="n">
        <v>0.91964286</v>
      </c>
      <c r="T294" t="n">
        <v>0.94838861</v>
      </c>
      <c r="U294" t="n">
        <v>29.400047</v>
      </c>
      <c r="V294" t="b">
        <v>1</v>
      </c>
      <c r="W294" t="n">
        <v>1</v>
      </c>
      <c r="X294" t="inlineStr">
        <is>
          <t>role_subrole_balanced_score = base_support_score * capped sqrt(avg_macro_multiplier * avg_subrole_multiplier); role/subrole quota constraints use inverse weights.</t>
        </is>
      </c>
    </row>
    <row r="295">
      <c r="A295" t="inlineStr">
        <is>
          <t>C0294</t>
        </is>
      </c>
      <c r="B295" t="inlineStr">
        <is>
          <t>x_0294</t>
        </is>
      </c>
      <c r="C295" t="inlineStr">
        <is>
          <t>Debeka Versicherungsgruppe</t>
        </is>
      </c>
      <c r="D295" t="inlineStr">
        <is>
          <t>profit_anchor</t>
        </is>
      </c>
      <c r="E295" t="inlineStr">
        <is>
          <t>bank_finance_anchor</t>
        </is>
      </c>
      <c r="F295" t="inlineStr">
        <is>
          <t>Staatskanzlei des Landes Rheinland-Pfalz</t>
        </is>
      </c>
      <c r="G295" t="inlineStr">
        <is>
          <t>context_actor</t>
        </is>
      </c>
      <c r="H295" t="inlineStr">
        <is>
          <t>public_policy_anchor</t>
        </is>
      </c>
      <c r="I295" t="n">
        <v>31</v>
      </c>
      <c r="J295" t="n">
        <v>0</v>
      </c>
      <c r="K295" t="n">
        <v>0.02040816</v>
      </c>
      <c r="L295" t="n">
        <v>0.03846154</v>
      </c>
      <c r="M295" t="n">
        <v>0.0588697</v>
      </c>
      <c r="N295" t="n">
        <v>0.75794741</v>
      </c>
      <c r="O295" t="n">
        <v>23.49637</v>
      </c>
      <c r="P295" t="n">
        <v>0.14285714</v>
      </c>
      <c r="Q295" t="n">
        <v>0.16666667</v>
      </c>
      <c r="R295" t="n">
        <v>0.30952381</v>
      </c>
      <c r="S295" t="n">
        <v>0.99627976</v>
      </c>
      <c r="T295" t="n">
        <v>0.86898082</v>
      </c>
      <c r="U295" t="n">
        <v>26.938405</v>
      </c>
      <c r="V295" t="b">
        <v>0</v>
      </c>
      <c r="W295" t="n">
        <v>0</v>
      </c>
      <c r="X295" t="inlineStr">
        <is>
          <t>role_subrole_balanced_score = base_support_score * capped sqrt(avg_macro_multiplier * avg_subrole_multiplier); role/subrole quota constraints use inverse weights.</t>
        </is>
      </c>
    </row>
    <row r="296">
      <c r="A296" t="inlineStr">
        <is>
          <t>C0295</t>
        </is>
      </c>
      <c r="B296" t="inlineStr">
        <is>
          <t>x_0295</t>
        </is>
      </c>
      <c r="C296" t="inlineStr">
        <is>
          <t>Debeka Versicherungsgruppe</t>
        </is>
      </c>
      <c r="D296" t="inlineStr">
        <is>
          <t>profit_anchor</t>
        </is>
      </c>
      <c r="E296" t="inlineStr">
        <is>
          <t>bank_finance_anchor</t>
        </is>
      </c>
      <c r="F296" t="inlineStr">
        <is>
          <t>TÜV Rheinland Berlin Brandenburg Pfalz e.V.</t>
        </is>
      </c>
      <c r="G296" t="inlineStr">
        <is>
          <t>context_actor</t>
        </is>
      </c>
      <c r="H296" t="inlineStr">
        <is>
          <t>chamber_association_anchor</t>
        </is>
      </c>
      <c r="I296" t="n">
        <v>31</v>
      </c>
      <c r="J296" t="n">
        <v>0</v>
      </c>
      <c r="K296" t="n">
        <v>0.02040816</v>
      </c>
      <c r="L296" t="n">
        <v>0.03846154</v>
      </c>
      <c r="M296" t="n">
        <v>0.0588697</v>
      </c>
      <c r="N296" t="n">
        <v>0.75794741</v>
      </c>
      <c r="O296" t="n">
        <v>23.49637</v>
      </c>
      <c r="P296" t="n">
        <v>0.14285714</v>
      </c>
      <c r="Q296" t="n">
        <v>0.25</v>
      </c>
      <c r="R296" t="n">
        <v>0.39285714</v>
      </c>
      <c r="S296" t="n">
        <v>1.26450893</v>
      </c>
      <c r="T296" t="n">
        <v>0.97899503</v>
      </c>
      <c r="U296" t="n">
        <v>30.348846</v>
      </c>
      <c r="V296" t="b">
        <v>0</v>
      </c>
      <c r="W296" t="n">
        <v>0</v>
      </c>
      <c r="X296" t="inlineStr">
        <is>
          <t>role_subrole_balanced_score = base_support_score * capped sqrt(avg_macro_multiplier * avg_subrole_multiplier); role/subrole quota constraints use inverse weights.</t>
        </is>
      </c>
    </row>
    <row r="297">
      <c r="A297" t="inlineStr">
        <is>
          <t>C0296</t>
        </is>
      </c>
      <c r="B297" t="inlineStr">
        <is>
          <t>x_0296</t>
        </is>
      </c>
      <c r="C297" t="inlineStr">
        <is>
          <t>Deutsche Bundesbank, Hauptverwaltung in Rheinland-Pfalz und dem Saarland</t>
        </is>
      </c>
      <c r="D297" t="inlineStr">
        <is>
          <t>context_actor</t>
        </is>
      </c>
      <c r="E297" t="inlineStr">
        <is>
          <t>bank_finance_anchor</t>
        </is>
      </c>
      <c r="F297" t="inlineStr">
        <is>
          <t>Deutsche Telekom AG</t>
        </is>
      </c>
      <c r="G297" t="inlineStr">
        <is>
          <t>profit_anchor</t>
        </is>
      </c>
      <c r="H297" t="inlineStr">
        <is>
          <t>technology_digital_anchor</t>
        </is>
      </c>
      <c r="I297" t="n">
        <v>31</v>
      </c>
      <c r="J297" t="n">
        <v>0</v>
      </c>
      <c r="K297" t="n">
        <v>0.03846154</v>
      </c>
      <c r="L297" t="n">
        <v>0.02040816</v>
      </c>
      <c r="M297" t="n">
        <v>0.0588697</v>
      </c>
      <c r="N297" t="n">
        <v>0.75794741</v>
      </c>
      <c r="O297" t="n">
        <v>23.49637</v>
      </c>
      <c r="P297" t="n">
        <v>0.14285714</v>
      </c>
      <c r="Q297" t="n">
        <v>0.11111111</v>
      </c>
      <c r="R297" t="n">
        <v>0.25396825</v>
      </c>
      <c r="S297" t="n">
        <v>0.81746032</v>
      </c>
      <c r="T297" t="n">
        <v>0.78714162</v>
      </c>
      <c r="U297" t="n">
        <v>24.40139</v>
      </c>
      <c r="V297" t="b">
        <v>0</v>
      </c>
      <c r="W297" t="n">
        <v>0</v>
      </c>
      <c r="X297" t="inlineStr">
        <is>
          <t>role_subrole_balanced_score = base_support_score * capped sqrt(avg_macro_multiplier * avg_subrole_multiplier); role/subrole quota constraints use inverse weights.</t>
        </is>
      </c>
    </row>
    <row r="298">
      <c r="A298" t="inlineStr">
        <is>
          <t>C0297</t>
        </is>
      </c>
      <c r="B298" t="inlineStr">
        <is>
          <t>x_0297</t>
        </is>
      </c>
      <c r="C298" t="inlineStr">
        <is>
          <t>Deutsche Bundesbank, Hauptverwaltung in Rheinland-Pfalz und dem Saarland</t>
        </is>
      </c>
      <c r="D298" t="inlineStr">
        <is>
          <t>context_actor</t>
        </is>
      </c>
      <c r="E298" t="inlineStr">
        <is>
          <t>bank_finance_anchor</t>
        </is>
      </c>
      <c r="F298" t="inlineStr">
        <is>
          <t>ENTEGA Plus GmbH</t>
        </is>
      </c>
      <c r="G298" t="inlineStr">
        <is>
          <t>profit_anchor</t>
        </is>
      </c>
      <c r="H298" t="inlineStr">
        <is>
          <t>energy_infrastructure_anchor</t>
        </is>
      </c>
      <c r="I298" t="n">
        <v>31</v>
      </c>
      <c r="J298" t="n">
        <v>0</v>
      </c>
      <c r="K298" t="n">
        <v>0.03846154</v>
      </c>
      <c r="L298" t="n">
        <v>0.02040816</v>
      </c>
      <c r="M298" t="n">
        <v>0.0588697</v>
      </c>
      <c r="N298" t="n">
        <v>0.75794741</v>
      </c>
      <c r="O298" t="n">
        <v>23.49637</v>
      </c>
      <c r="P298" t="n">
        <v>0.14285714</v>
      </c>
      <c r="Q298" t="n">
        <v>0.11111111</v>
      </c>
      <c r="R298" t="n">
        <v>0.25396825</v>
      </c>
      <c r="S298" t="n">
        <v>0.81746032</v>
      </c>
      <c r="T298" t="n">
        <v>0.78714162</v>
      </c>
      <c r="U298" t="n">
        <v>24.40139</v>
      </c>
      <c r="V298" t="b">
        <v>0</v>
      </c>
      <c r="W298" t="n">
        <v>0</v>
      </c>
      <c r="X298" t="inlineStr">
        <is>
          <t>role_subrole_balanced_score = base_support_score * capped sqrt(avg_macro_multiplier * avg_subrole_multiplier); role/subrole quota constraints use inverse weights.</t>
        </is>
      </c>
    </row>
    <row r="299">
      <c r="A299" t="inlineStr">
        <is>
          <t>C0298</t>
        </is>
      </c>
      <c r="B299" t="inlineStr">
        <is>
          <t>x_0298</t>
        </is>
      </c>
      <c r="C299" t="inlineStr">
        <is>
          <t>Deutsche Bundesbank, Hauptverwaltung in Rheinland-Pfalz und dem Saarland</t>
        </is>
      </c>
      <c r="D299" t="inlineStr">
        <is>
          <t>context_actor</t>
        </is>
      </c>
      <c r="E299" t="inlineStr">
        <is>
          <t>bank_finance_anchor</t>
        </is>
      </c>
      <c r="F299" t="inlineStr">
        <is>
          <t>Mainzer Stadtwerke AG</t>
        </is>
      </c>
      <c r="G299" t="inlineStr">
        <is>
          <t>profit_anchor</t>
        </is>
      </c>
      <c r="H299" t="inlineStr">
        <is>
          <t>energy_infrastructure_anchor</t>
        </is>
      </c>
      <c r="I299" t="n">
        <v>31</v>
      </c>
      <c r="J299" t="n">
        <v>0</v>
      </c>
      <c r="K299" t="n">
        <v>0.03846154</v>
      </c>
      <c r="L299" t="n">
        <v>0.02040816</v>
      </c>
      <c r="M299" t="n">
        <v>0.0588697</v>
      </c>
      <c r="N299" t="n">
        <v>0.75794741</v>
      </c>
      <c r="O299" t="n">
        <v>23.49637</v>
      </c>
      <c r="P299" t="n">
        <v>0.14285714</v>
      </c>
      <c r="Q299" t="n">
        <v>0.11111111</v>
      </c>
      <c r="R299" t="n">
        <v>0.25396825</v>
      </c>
      <c r="S299" t="n">
        <v>0.81746032</v>
      </c>
      <c r="T299" t="n">
        <v>0.78714162</v>
      </c>
      <c r="U299" t="n">
        <v>24.40139</v>
      </c>
      <c r="V299" t="b">
        <v>0</v>
      </c>
      <c r="W299" t="n">
        <v>0</v>
      </c>
      <c r="X299" t="inlineStr">
        <is>
          <t>role_subrole_balanced_score = base_support_score * capped sqrt(avg_macro_multiplier * avg_subrole_multiplier); role/subrole quota constraints use inverse weights.</t>
        </is>
      </c>
    </row>
    <row r="300">
      <c r="A300" t="inlineStr">
        <is>
          <t>C0299</t>
        </is>
      </c>
      <c r="B300" t="inlineStr">
        <is>
          <t>x_0299</t>
        </is>
      </c>
      <c r="C300" t="inlineStr">
        <is>
          <t>Deutsche Bundesbank, Hauptverwaltung in Rheinland-Pfalz und dem Saarland</t>
        </is>
      </c>
      <c r="D300" t="inlineStr">
        <is>
          <t>context_actor</t>
        </is>
      </c>
      <c r="E300" t="inlineStr">
        <is>
          <t>bank_finance_anchor</t>
        </is>
      </c>
      <c r="F300" t="inlineStr">
        <is>
          <t>Pfalzwerke AG</t>
        </is>
      </c>
      <c r="G300" t="inlineStr">
        <is>
          <t>profit_anchor</t>
        </is>
      </c>
      <c r="H300" t="inlineStr">
        <is>
          <t>energy_infrastructure_anchor</t>
        </is>
      </c>
      <c r="I300" t="n">
        <v>31</v>
      </c>
      <c r="J300" t="n">
        <v>0</v>
      </c>
      <c r="K300" t="n">
        <v>0.03846154</v>
      </c>
      <c r="L300" t="n">
        <v>0.02040816</v>
      </c>
      <c r="M300" t="n">
        <v>0.0588697</v>
      </c>
      <c r="N300" t="n">
        <v>0.75794741</v>
      </c>
      <c r="O300" t="n">
        <v>23.49637</v>
      </c>
      <c r="P300" t="n">
        <v>0.14285714</v>
      </c>
      <c r="Q300" t="n">
        <v>0.11111111</v>
      </c>
      <c r="R300" t="n">
        <v>0.25396825</v>
      </c>
      <c r="S300" t="n">
        <v>0.81746032</v>
      </c>
      <c r="T300" t="n">
        <v>0.78714162</v>
      </c>
      <c r="U300" t="n">
        <v>24.40139</v>
      </c>
      <c r="V300" t="b">
        <v>0</v>
      </c>
      <c r="W300" t="n">
        <v>0</v>
      </c>
      <c r="X300" t="inlineStr">
        <is>
          <t>role_subrole_balanced_score = base_support_score * capped sqrt(avg_macro_multiplier * avg_subrole_multiplier); role/subrole quota constraints use inverse weights.</t>
        </is>
      </c>
    </row>
    <row r="301">
      <c r="A301" t="inlineStr">
        <is>
          <t>C0300</t>
        </is>
      </c>
      <c r="B301" t="inlineStr">
        <is>
          <t>x_0300</t>
        </is>
      </c>
      <c r="C301" t="inlineStr">
        <is>
          <t>Deutsche Bundesbank, Hauptverwaltung in Rheinland-Pfalz und dem Saarland</t>
        </is>
      </c>
      <c r="D301" t="inlineStr">
        <is>
          <t>context_actor</t>
        </is>
      </c>
      <c r="E301" t="inlineStr">
        <is>
          <t>bank_finance_anchor</t>
        </is>
      </c>
      <c r="F301" t="inlineStr">
        <is>
          <t>Westenergie AG</t>
        </is>
      </c>
      <c r="G301" t="inlineStr">
        <is>
          <t>profit_anchor</t>
        </is>
      </c>
      <c r="H301" t="inlineStr">
        <is>
          <t>energy_infrastructure_anchor</t>
        </is>
      </c>
      <c r="I301" t="n">
        <v>31</v>
      </c>
      <c r="J301" t="n">
        <v>0</v>
      </c>
      <c r="K301" t="n">
        <v>0.03846154</v>
      </c>
      <c r="L301" t="n">
        <v>0.02040816</v>
      </c>
      <c r="M301" t="n">
        <v>0.0588697</v>
      </c>
      <c r="N301" t="n">
        <v>0.75794741</v>
      </c>
      <c r="O301" t="n">
        <v>23.49637</v>
      </c>
      <c r="P301" t="n">
        <v>0.14285714</v>
      </c>
      <c r="Q301" t="n">
        <v>0.11111111</v>
      </c>
      <c r="R301" t="n">
        <v>0.25396825</v>
      </c>
      <c r="S301" t="n">
        <v>0.81746032</v>
      </c>
      <c r="T301" t="n">
        <v>0.78714162</v>
      </c>
      <c r="U301" t="n">
        <v>24.40139</v>
      </c>
      <c r="V301" t="b">
        <v>0</v>
      </c>
      <c r="W301" t="n">
        <v>0</v>
      </c>
      <c r="X301" t="inlineStr">
        <is>
          <t>role_subrole_balanced_score = base_support_score * capped sqrt(avg_macro_multiplier * avg_subrole_multiplier); role/subrole quota constraints use inverse weights.</t>
        </is>
      </c>
    </row>
    <row r="302">
      <c r="A302" t="inlineStr">
        <is>
          <t>C0301</t>
        </is>
      </c>
      <c r="B302" t="inlineStr">
        <is>
          <t>x_0301</t>
        </is>
      </c>
      <c r="C302" t="inlineStr">
        <is>
          <t>Deutsche Telekom AG</t>
        </is>
      </c>
      <c r="D302" t="inlineStr">
        <is>
          <t>profit_anchor</t>
        </is>
      </c>
      <c r="E302" t="inlineStr">
        <is>
          <t>technology_digital_anchor</t>
        </is>
      </c>
      <c r="F302" t="inlineStr">
        <is>
          <t>Landkreistag Rheinland-Pfalz</t>
        </is>
      </c>
      <c r="G302" t="inlineStr">
        <is>
          <t>context_actor</t>
        </is>
      </c>
      <c r="H302" t="inlineStr">
        <is>
          <t>public_policy_anchor</t>
        </is>
      </c>
      <c r="I302" t="n">
        <v>31</v>
      </c>
      <c r="J302" t="n">
        <v>0</v>
      </c>
      <c r="K302" t="n">
        <v>0.02040816</v>
      </c>
      <c r="L302" t="n">
        <v>0.03846154</v>
      </c>
      <c r="M302" t="n">
        <v>0.0588697</v>
      </c>
      <c r="N302" t="n">
        <v>0.75794741</v>
      </c>
      <c r="O302" t="n">
        <v>23.49637</v>
      </c>
      <c r="P302" t="n">
        <v>0.11111111</v>
      </c>
      <c r="Q302" t="n">
        <v>0.16666667</v>
      </c>
      <c r="R302" t="n">
        <v>0.27777778</v>
      </c>
      <c r="S302" t="n">
        <v>0.89409722</v>
      </c>
      <c r="T302" t="n">
        <v>0.82321241</v>
      </c>
      <c r="U302" t="n">
        <v>25.519585</v>
      </c>
      <c r="V302" t="b">
        <v>0</v>
      </c>
      <c r="W302" t="n">
        <v>0</v>
      </c>
      <c r="X302" t="inlineStr">
        <is>
          <t>role_subrole_balanced_score = base_support_score * capped sqrt(avg_macro_multiplier * avg_subrole_multiplier); role/subrole quota constraints use inverse weights.</t>
        </is>
      </c>
    </row>
    <row r="303">
      <c r="A303" t="inlineStr">
        <is>
          <t>C0302</t>
        </is>
      </c>
      <c r="B303" t="inlineStr">
        <is>
          <t>x_0302</t>
        </is>
      </c>
      <c r="C303" t="inlineStr">
        <is>
          <t>Deutsche Telekom AG</t>
        </is>
      </c>
      <c r="D303" t="inlineStr">
        <is>
          <t>profit_anchor</t>
        </is>
      </c>
      <c r="E303" t="inlineStr">
        <is>
          <t>technology_digital_anchor</t>
        </is>
      </c>
      <c r="F303" t="inlineStr">
        <is>
          <t>Universität Trier</t>
        </is>
      </c>
      <c r="G303" t="inlineStr">
        <is>
          <t>academic_support</t>
        </is>
      </c>
      <c r="H303" t="inlineStr">
        <is>
          <t>university_research</t>
        </is>
      </c>
      <c r="I303" t="n">
        <v>31</v>
      </c>
      <c r="J303" t="n">
        <v>0</v>
      </c>
      <c r="K303" t="n">
        <v>0.02040816</v>
      </c>
      <c r="L303" t="n">
        <v>0.05555556</v>
      </c>
      <c r="M303" t="n">
        <v>0.07596372</v>
      </c>
      <c r="N303" t="n">
        <v>0.97803288</v>
      </c>
      <c r="O303" t="n">
        <v>30.319019</v>
      </c>
      <c r="P303" t="n">
        <v>0.11111111</v>
      </c>
      <c r="Q303" t="n">
        <v>0.14285714</v>
      </c>
      <c r="R303" t="n">
        <v>0.25396825</v>
      </c>
      <c r="S303" t="n">
        <v>0.81746032</v>
      </c>
      <c r="T303" t="n">
        <v>0.89414935</v>
      </c>
      <c r="U303" t="n">
        <v>27.71863</v>
      </c>
      <c r="V303" t="b">
        <v>1</v>
      </c>
      <c r="W303" t="n">
        <v>1</v>
      </c>
      <c r="X303" t="inlineStr">
        <is>
          <t>role_subrole_balanced_score = base_support_score * capped sqrt(avg_macro_multiplier * avg_subrole_multiplier); role/subrole quota constraints use inverse weights.</t>
        </is>
      </c>
    </row>
    <row r="304">
      <c r="A304" t="inlineStr">
        <is>
          <t>C0303</t>
        </is>
      </c>
      <c r="B304" t="inlineStr">
        <is>
          <t>x_0303</t>
        </is>
      </c>
      <c r="C304" t="inlineStr">
        <is>
          <t>ENTEGA Plus GmbH</t>
        </is>
      </c>
      <c r="D304" t="inlineStr">
        <is>
          <t>profit_anchor</t>
        </is>
      </c>
      <c r="E304" t="inlineStr">
        <is>
          <t>energy_infrastructure_anchor</t>
        </is>
      </c>
      <c r="F304" t="inlineStr">
        <is>
          <t>Landkreistag Rheinland-Pfalz</t>
        </is>
      </c>
      <c r="G304" t="inlineStr">
        <is>
          <t>context_actor</t>
        </is>
      </c>
      <c r="H304" t="inlineStr">
        <is>
          <t>public_policy_anchor</t>
        </is>
      </c>
      <c r="I304" t="n">
        <v>31</v>
      </c>
      <c r="J304" t="n">
        <v>0</v>
      </c>
      <c r="K304" t="n">
        <v>0.02040816</v>
      </c>
      <c r="L304" t="n">
        <v>0.03846154</v>
      </c>
      <c r="M304" t="n">
        <v>0.0588697</v>
      </c>
      <c r="N304" t="n">
        <v>0.75794741</v>
      </c>
      <c r="O304" t="n">
        <v>23.49637</v>
      </c>
      <c r="P304" t="n">
        <v>0.11111111</v>
      </c>
      <c r="Q304" t="n">
        <v>0.16666667</v>
      </c>
      <c r="R304" t="n">
        <v>0.27777778</v>
      </c>
      <c r="S304" t="n">
        <v>0.89409722</v>
      </c>
      <c r="T304" t="n">
        <v>0.82321241</v>
      </c>
      <c r="U304" t="n">
        <v>25.519585</v>
      </c>
      <c r="V304" t="b">
        <v>0</v>
      </c>
      <c r="W304" t="n">
        <v>0</v>
      </c>
      <c r="X304" t="inlineStr">
        <is>
          <t>role_subrole_balanced_score = base_support_score * capped sqrt(avg_macro_multiplier * avg_subrole_multiplier); role/subrole quota constraints use inverse weights.</t>
        </is>
      </c>
    </row>
    <row r="305">
      <c r="A305" t="inlineStr">
        <is>
          <t>C0304</t>
        </is>
      </c>
      <c r="B305" t="inlineStr">
        <is>
          <t>x_0304</t>
        </is>
      </c>
      <c r="C305" t="inlineStr">
        <is>
          <t>ENTEGA Plus GmbH</t>
        </is>
      </c>
      <c r="D305" t="inlineStr">
        <is>
          <t>profit_anchor</t>
        </is>
      </c>
      <c r="E305" t="inlineStr">
        <is>
          <t>energy_infrastructure_anchor</t>
        </is>
      </c>
      <c r="F305" t="inlineStr">
        <is>
          <t>Universität Trier</t>
        </is>
      </c>
      <c r="G305" t="inlineStr">
        <is>
          <t>academic_support</t>
        </is>
      </c>
      <c r="H305" t="inlineStr">
        <is>
          <t>university_research</t>
        </is>
      </c>
      <c r="I305" t="n">
        <v>31</v>
      </c>
      <c r="J305" t="n">
        <v>0</v>
      </c>
      <c r="K305" t="n">
        <v>0.02040816</v>
      </c>
      <c r="L305" t="n">
        <v>0.05555556</v>
      </c>
      <c r="M305" t="n">
        <v>0.07596372</v>
      </c>
      <c r="N305" t="n">
        <v>0.97803288</v>
      </c>
      <c r="O305" t="n">
        <v>30.319019</v>
      </c>
      <c r="P305" t="n">
        <v>0.11111111</v>
      </c>
      <c r="Q305" t="n">
        <v>0.14285714</v>
      </c>
      <c r="R305" t="n">
        <v>0.25396825</v>
      </c>
      <c r="S305" t="n">
        <v>0.81746032</v>
      </c>
      <c r="T305" t="n">
        <v>0.89414935</v>
      </c>
      <c r="U305" t="n">
        <v>27.71863</v>
      </c>
      <c r="V305" t="b">
        <v>1</v>
      </c>
      <c r="W305" t="n">
        <v>1</v>
      </c>
      <c r="X305" t="inlineStr">
        <is>
          <t>role_subrole_balanced_score = base_support_score * capped sqrt(avg_macro_multiplier * avg_subrole_multiplier); role/subrole quota constraints use inverse weights.</t>
        </is>
      </c>
    </row>
    <row r="306">
      <c r="A306" t="inlineStr">
        <is>
          <t>C0305</t>
        </is>
      </c>
      <c r="B306" t="inlineStr">
        <is>
          <t>x_0305</t>
        </is>
      </c>
      <c r="C306" t="inlineStr">
        <is>
          <t>Caritasverband für die Diözese Speyer e.V.</t>
        </is>
      </c>
      <c r="D306" t="inlineStr">
        <is>
          <t>implementation_anchor</t>
        </is>
      </c>
      <c r="E306" t="inlineStr">
        <is>
          <t>health_social_anchor</t>
        </is>
      </c>
      <c r="F306" t="inlineStr">
        <is>
          <t>Evangelische Kirche der Pfalz</t>
        </is>
      </c>
      <c r="G306" t="inlineStr">
        <is>
          <t>context_actor</t>
        </is>
      </c>
      <c r="H306" t="inlineStr">
        <is>
          <t>culture_foundation_anchor</t>
        </is>
      </c>
      <c r="I306" t="n">
        <v>31</v>
      </c>
      <c r="J306" t="n">
        <v>0</v>
      </c>
      <c r="K306" t="n">
        <v>0.1</v>
      </c>
      <c r="L306" t="n">
        <v>0.03846154</v>
      </c>
      <c r="M306" t="n">
        <v>0.13846154</v>
      </c>
      <c r="N306" t="n">
        <v>1.78269231</v>
      </c>
      <c r="O306" t="n">
        <v>55.263462</v>
      </c>
      <c r="P306" t="n">
        <v>0.08333333</v>
      </c>
      <c r="Q306" t="n">
        <v>0.33333333</v>
      </c>
      <c r="R306" t="n">
        <v>0.41666667</v>
      </c>
      <c r="S306" t="n">
        <v>1.34114583</v>
      </c>
      <c r="T306" t="n">
        <v>1.54623749</v>
      </c>
      <c r="U306" t="n">
        <v>47.933362</v>
      </c>
      <c r="V306" t="b">
        <v>0</v>
      </c>
      <c r="W306" t="n">
        <v>0</v>
      </c>
      <c r="X306" t="inlineStr">
        <is>
          <t>role_subrole_balanced_score = base_support_score * capped sqrt(avg_macro_multiplier * avg_subrole_multiplier); role/subrole quota constraints use inverse weights.</t>
        </is>
      </c>
    </row>
    <row r="307">
      <c r="A307" t="inlineStr">
        <is>
          <t>C0306</t>
        </is>
      </c>
      <c r="B307" t="inlineStr">
        <is>
          <t>x_0306</t>
        </is>
      </c>
      <c r="C307" t="inlineStr">
        <is>
          <t>Caritasverband für die Diözese Speyer e.V.</t>
        </is>
      </c>
      <c r="D307" t="inlineStr">
        <is>
          <t>implementation_anchor</t>
        </is>
      </c>
      <c r="E307" t="inlineStr">
        <is>
          <t>health_social_anchor</t>
        </is>
      </c>
      <c r="F307" t="inlineStr">
        <is>
          <t>RPR1.</t>
        </is>
      </c>
      <c r="G307" t="inlineStr">
        <is>
          <t>context_actor</t>
        </is>
      </c>
      <c r="H307" t="inlineStr">
        <is>
          <t>media_publicity_anchor</t>
        </is>
      </c>
      <c r="I307" t="n">
        <v>31</v>
      </c>
      <c r="J307" t="n">
        <v>0</v>
      </c>
      <c r="K307" t="n">
        <v>0.1</v>
      </c>
      <c r="L307" t="n">
        <v>0.03846154</v>
      </c>
      <c r="M307" t="n">
        <v>0.13846154</v>
      </c>
      <c r="N307" t="n">
        <v>1.78269231</v>
      </c>
      <c r="O307" t="n">
        <v>55.263462</v>
      </c>
      <c r="P307" t="n">
        <v>0.08333333</v>
      </c>
      <c r="Q307" t="n">
        <v>0.33333333</v>
      </c>
      <c r="R307" t="n">
        <v>0.41666667</v>
      </c>
      <c r="S307" t="n">
        <v>1.34114583</v>
      </c>
      <c r="T307" t="n">
        <v>1.54623749</v>
      </c>
      <c r="U307" t="n">
        <v>47.933362</v>
      </c>
      <c r="V307" t="b">
        <v>0</v>
      </c>
      <c r="W307" t="n">
        <v>0</v>
      </c>
      <c r="X307" t="inlineStr">
        <is>
          <t>role_subrole_balanced_score = base_support_score * capped sqrt(avg_macro_multiplier * avg_subrole_multiplier); role/subrole quota constraints use inverse weights.</t>
        </is>
      </c>
    </row>
    <row r="308">
      <c r="A308" t="inlineStr">
        <is>
          <t>C0307</t>
        </is>
      </c>
      <c r="B308" t="inlineStr">
        <is>
          <t>x_0307</t>
        </is>
      </c>
      <c r="C308" t="inlineStr">
        <is>
          <t>Caritasverband für die Diözese Speyer e.V.</t>
        </is>
      </c>
      <c r="D308" t="inlineStr">
        <is>
          <t>implementation_anchor</t>
        </is>
      </c>
      <c r="E308" t="inlineStr">
        <is>
          <t>health_social_anchor</t>
        </is>
      </c>
      <c r="F308" t="inlineStr">
        <is>
          <t>SWR – Südwestrundfunk</t>
        </is>
      </c>
      <c r="G308" t="inlineStr">
        <is>
          <t>context_actor</t>
        </is>
      </c>
      <c r="H308" t="inlineStr">
        <is>
          <t>media_publicity_anchor</t>
        </is>
      </c>
      <c r="I308" t="n">
        <v>31</v>
      </c>
      <c r="J308" t="n">
        <v>0</v>
      </c>
      <c r="K308" t="n">
        <v>0.1</v>
      </c>
      <c r="L308" t="n">
        <v>0.03846154</v>
      </c>
      <c r="M308" t="n">
        <v>0.13846154</v>
      </c>
      <c r="N308" t="n">
        <v>1.78269231</v>
      </c>
      <c r="O308" t="n">
        <v>55.263462</v>
      </c>
      <c r="P308" t="n">
        <v>0.08333333</v>
      </c>
      <c r="Q308" t="n">
        <v>0.33333333</v>
      </c>
      <c r="R308" t="n">
        <v>0.41666667</v>
      </c>
      <c r="S308" t="n">
        <v>1.34114583</v>
      </c>
      <c r="T308" t="n">
        <v>1.54623749</v>
      </c>
      <c r="U308" t="n">
        <v>47.933362</v>
      </c>
      <c r="V308" t="b">
        <v>0</v>
      </c>
      <c r="W308" t="n">
        <v>0</v>
      </c>
      <c r="X308" t="inlineStr">
        <is>
          <t>role_subrole_balanced_score = base_support_score * capped sqrt(avg_macro_multiplier * avg_subrole_multiplier); role/subrole quota constraints use inverse weights.</t>
        </is>
      </c>
    </row>
    <row r="309">
      <c r="A309" t="inlineStr">
        <is>
          <t>C0308</t>
        </is>
      </c>
      <c r="B309" t="inlineStr">
        <is>
          <t>x_0308</t>
        </is>
      </c>
      <c r="C309" t="inlineStr">
        <is>
          <t>Caritasverband für die Diözese Speyer e.V.</t>
        </is>
      </c>
      <c r="D309" t="inlineStr">
        <is>
          <t>implementation_anchor</t>
        </is>
      </c>
      <c r="E309" t="inlineStr">
        <is>
          <t>health_social_anchor</t>
        </is>
      </c>
      <c r="F309" t="inlineStr">
        <is>
          <t>Staatskanzlei des Landes Rheinland-Pfalz</t>
        </is>
      </c>
      <c r="G309" t="inlineStr">
        <is>
          <t>context_actor</t>
        </is>
      </c>
      <c r="H309" t="inlineStr">
        <is>
          <t>public_policy_anchor</t>
        </is>
      </c>
      <c r="I309" t="n">
        <v>31</v>
      </c>
      <c r="J309" t="n">
        <v>0</v>
      </c>
      <c r="K309" t="n">
        <v>0.1</v>
      </c>
      <c r="L309" t="n">
        <v>0.03846154</v>
      </c>
      <c r="M309" t="n">
        <v>0.13846154</v>
      </c>
      <c r="N309" t="n">
        <v>1.78269231</v>
      </c>
      <c r="O309" t="n">
        <v>55.263462</v>
      </c>
      <c r="P309" t="n">
        <v>0.08333333</v>
      </c>
      <c r="Q309" t="n">
        <v>0.16666667</v>
      </c>
      <c r="R309" t="n">
        <v>0.25</v>
      </c>
      <c r="S309" t="n">
        <v>0.8046875</v>
      </c>
      <c r="T309" t="n">
        <v>1.19771041</v>
      </c>
      <c r="U309" t="n">
        <v>37.129023</v>
      </c>
      <c r="V309" t="b">
        <v>0</v>
      </c>
      <c r="W309" t="n">
        <v>0</v>
      </c>
      <c r="X309" t="inlineStr">
        <is>
          <t>role_subrole_balanced_score = base_support_score * capped sqrt(avg_macro_multiplier * avg_subrole_multiplier); role/subrole quota constraints use inverse weights.</t>
        </is>
      </c>
    </row>
    <row r="310">
      <c r="A310" t="inlineStr">
        <is>
          <t>C0309</t>
        </is>
      </c>
      <c r="B310" t="inlineStr">
        <is>
          <t>x_0309</t>
        </is>
      </c>
      <c r="C310" t="inlineStr">
        <is>
          <t>Caritasverband für die Diözese Speyer e.V.</t>
        </is>
      </c>
      <c r="D310" t="inlineStr">
        <is>
          <t>implementation_anchor</t>
        </is>
      </c>
      <c r="E310" t="inlineStr">
        <is>
          <t>health_social_anchor</t>
        </is>
      </c>
      <c r="F310" t="inlineStr">
        <is>
          <t>ZDF – Zweites Deutsches Fernsehen</t>
        </is>
      </c>
      <c r="G310" t="inlineStr">
        <is>
          <t>context_actor</t>
        </is>
      </c>
      <c r="H310" t="inlineStr">
        <is>
          <t>media_publicity_anchor</t>
        </is>
      </c>
      <c r="I310" t="n">
        <v>31</v>
      </c>
      <c r="J310" t="n">
        <v>0</v>
      </c>
      <c r="K310" t="n">
        <v>0.1</v>
      </c>
      <c r="L310" t="n">
        <v>0.03846154</v>
      </c>
      <c r="M310" t="n">
        <v>0.13846154</v>
      </c>
      <c r="N310" t="n">
        <v>1.78269231</v>
      </c>
      <c r="O310" t="n">
        <v>55.263462</v>
      </c>
      <c r="P310" t="n">
        <v>0.08333333</v>
      </c>
      <c r="Q310" t="n">
        <v>0.33333333</v>
      </c>
      <c r="R310" t="n">
        <v>0.41666667</v>
      </c>
      <c r="S310" t="n">
        <v>1.34114583</v>
      </c>
      <c r="T310" t="n">
        <v>1.54623749</v>
      </c>
      <c r="U310" t="n">
        <v>47.933362</v>
      </c>
      <c r="V310" t="b">
        <v>0</v>
      </c>
      <c r="W310" t="n">
        <v>0</v>
      </c>
      <c r="X310" t="inlineStr">
        <is>
          <t>role_subrole_balanced_score = base_support_score * capped sqrt(avg_macro_multiplier * avg_subrole_multiplier); role/subrole quota constraints use inverse weights.</t>
        </is>
      </c>
    </row>
    <row r="311">
      <c r="A311" t="inlineStr">
        <is>
          <t>C0310</t>
        </is>
      </c>
      <c r="B311" t="inlineStr">
        <is>
          <t>x_0310</t>
        </is>
      </c>
      <c r="C311" t="inlineStr">
        <is>
          <t>Entwicklungsagentur Rheinland-Pfalz e.V.</t>
        </is>
      </c>
      <c r="D311" t="inlineStr">
        <is>
          <t>implementation_anchor</t>
        </is>
      </c>
      <c r="E311" t="inlineStr">
        <is>
          <t>public_policy_anchor</t>
        </is>
      </c>
      <c r="F311" t="inlineStr">
        <is>
          <t>Hochschule für Gesellschaftsgestaltung (HfGG)</t>
        </is>
      </c>
      <c r="G311" t="inlineStr">
        <is>
          <t>academic_support</t>
        </is>
      </c>
      <c r="H311" t="inlineStr">
        <is>
          <t>university_applied_sciences</t>
        </is>
      </c>
      <c r="I311" t="n">
        <v>31</v>
      </c>
      <c r="J311" t="n">
        <v>0</v>
      </c>
      <c r="K311" t="n">
        <v>0.1</v>
      </c>
      <c r="L311" t="n">
        <v>0.05555556</v>
      </c>
      <c r="M311" t="n">
        <v>0.15555556</v>
      </c>
      <c r="N311" t="n">
        <v>2.00277778</v>
      </c>
      <c r="O311" t="n">
        <v>62.086111</v>
      </c>
      <c r="P311" t="n">
        <v>0.16666667</v>
      </c>
      <c r="Q311" t="n">
        <v>0.09090909</v>
      </c>
      <c r="R311" t="n">
        <v>0.25757576</v>
      </c>
      <c r="S311" t="n">
        <v>0.82907197</v>
      </c>
      <c r="T311" t="n">
        <v>1.2885833</v>
      </c>
      <c r="U311" t="n">
        <v>39.946082</v>
      </c>
      <c r="V311" t="b">
        <v>1</v>
      </c>
      <c r="W311" t="n">
        <v>1</v>
      </c>
      <c r="X311" t="inlineStr">
        <is>
          <t>role_subrole_balanced_score = base_support_score * capped sqrt(avg_macro_multiplier * avg_subrole_multiplier); role/subrole quota constraints use inverse weights.</t>
        </is>
      </c>
    </row>
    <row r="312">
      <c r="A312" t="inlineStr">
        <is>
          <t>C0311</t>
        </is>
      </c>
      <c r="B312" t="inlineStr">
        <is>
          <t>x_0311</t>
        </is>
      </c>
      <c r="C312" t="inlineStr">
        <is>
          <t>Entwicklungsagentur Rheinland-Pfalz e.V.</t>
        </is>
      </c>
      <c r="D312" t="inlineStr">
        <is>
          <t>implementation_anchor</t>
        </is>
      </c>
      <c r="E312" t="inlineStr">
        <is>
          <t>public_policy_anchor</t>
        </is>
      </c>
      <c r="F312" t="inlineStr">
        <is>
          <t>Johannes Gutenberg-Universität Mainz</t>
        </is>
      </c>
      <c r="G312" t="inlineStr">
        <is>
          <t>academic_support</t>
        </is>
      </c>
      <c r="H312" t="inlineStr">
        <is>
          <t>university_research</t>
        </is>
      </c>
      <c r="I312" t="n">
        <v>31</v>
      </c>
      <c r="J312" t="n">
        <v>0</v>
      </c>
      <c r="K312" t="n">
        <v>0.1</v>
      </c>
      <c r="L312" t="n">
        <v>0.05555556</v>
      </c>
      <c r="M312" t="n">
        <v>0.15555556</v>
      </c>
      <c r="N312" t="n">
        <v>2.00277778</v>
      </c>
      <c r="O312" t="n">
        <v>62.086111</v>
      </c>
      <c r="P312" t="n">
        <v>0.16666667</v>
      </c>
      <c r="Q312" t="n">
        <v>0.14285714</v>
      </c>
      <c r="R312" t="n">
        <v>0.30952381</v>
      </c>
      <c r="S312" t="n">
        <v>0.99627976</v>
      </c>
      <c r="T312" t="n">
        <v>1.41256043</v>
      </c>
      <c r="U312" t="n">
        <v>43.789373</v>
      </c>
      <c r="V312" t="b">
        <v>1</v>
      </c>
      <c r="W312" t="n">
        <v>1</v>
      </c>
      <c r="X312" t="inlineStr">
        <is>
          <t>role_subrole_balanced_score = base_support_score * capped sqrt(avg_macro_multiplier * avg_subrole_multiplier); role/subrole quota constraints use inverse weights.</t>
        </is>
      </c>
    </row>
    <row r="313">
      <c r="A313" t="inlineStr">
        <is>
          <t>C0312</t>
        </is>
      </c>
      <c r="B313" t="inlineStr">
        <is>
          <t>x_0312</t>
        </is>
      </c>
      <c r="C313" t="inlineStr">
        <is>
          <t>Entwicklungsagentur Rheinland-Pfalz e.V.</t>
        </is>
      </c>
      <c r="D313" t="inlineStr">
        <is>
          <t>implementation_anchor</t>
        </is>
      </c>
      <c r="E313" t="inlineStr">
        <is>
          <t>public_policy_anchor</t>
        </is>
      </c>
      <c r="F313" t="inlineStr">
        <is>
          <t>Katholische Hochschule Mainz</t>
        </is>
      </c>
      <c r="G313" t="inlineStr">
        <is>
          <t>academic_support</t>
        </is>
      </c>
      <c r="H313" t="inlineStr">
        <is>
          <t>university_applied_sciences</t>
        </is>
      </c>
      <c r="I313" t="n">
        <v>31</v>
      </c>
      <c r="J313" t="n">
        <v>0</v>
      </c>
      <c r="K313" t="n">
        <v>0.1</v>
      </c>
      <c r="L313" t="n">
        <v>0.05555556</v>
      </c>
      <c r="M313" t="n">
        <v>0.15555556</v>
      </c>
      <c r="N313" t="n">
        <v>2.00277778</v>
      </c>
      <c r="O313" t="n">
        <v>62.086111</v>
      </c>
      <c r="P313" t="n">
        <v>0.16666667</v>
      </c>
      <c r="Q313" t="n">
        <v>0.09090909</v>
      </c>
      <c r="R313" t="n">
        <v>0.25757576</v>
      </c>
      <c r="S313" t="n">
        <v>0.82907197</v>
      </c>
      <c r="T313" t="n">
        <v>1.2885833</v>
      </c>
      <c r="U313" t="n">
        <v>39.946082</v>
      </c>
      <c r="V313" t="b">
        <v>1</v>
      </c>
      <c r="W313" t="n">
        <v>1</v>
      </c>
      <c r="X313" t="inlineStr">
        <is>
          <t>role_subrole_balanced_score = base_support_score * capped sqrt(avg_macro_multiplier * avg_subrole_multiplier); role/subrole quota constraints use inverse weights.</t>
        </is>
      </c>
    </row>
    <row r="314">
      <c r="A314" t="inlineStr">
        <is>
          <t>C0313</t>
        </is>
      </c>
      <c r="B314" t="inlineStr">
        <is>
          <t>x_0313</t>
        </is>
      </c>
      <c r="C314" t="inlineStr">
        <is>
          <t>Entwicklungsagentur Rheinland-Pfalz e.V.</t>
        </is>
      </c>
      <c r="D314" t="inlineStr">
        <is>
          <t>implementation_anchor</t>
        </is>
      </c>
      <c r="E314" t="inlineStr">
        <is>
          <t>public_policy_anchor</t>
        </is>
      </c>
      <c r="F314" t="inlineStr">
        <is>
          <t>Universität Koblenz</t>
        </is>
      </c>
      <c r="G314" t="inlineStr">
        <is>
          <t>academic_support</t>
        </is>
      </c>
      <c r="H314" t="inlineStr">
        <is>
          <t>university_research</t>
        </is>
      </c>
      <c r="I314" t="n">
        <v>31</v>
      </c>
      <c r="J314" t="n">
        <v>0</v>
      </c>
      <c r="K314" t="n">
        <v>0.1</v>
      </c>
      <c r="L314" t="n">
        <v>0.05555556</v>
      </c>
      <c r="M314" t="n">
        <v>0.15555556</v>
      </c>
      <c r="N314" t="n">
        <v>2.00277778</v>
      </c>
      <c r="O314" t="n">
        <v>62.086111</v>
      </c>
      <c r="P314" t="n">
        <v>0.16666667</v>
      </c>
      <c r="Q314" t="n">
        <v>0.14285714</v>
      </c>
      <c r="R314" t="n">
        <v>0.30952381</v>
      </c>
      <c r="S314" t="n">
        <v>0.99627976</v>
      </c>
      <c r="T314" t="n">
        <v>1.41256043</v>
      </c>
      <c r="U314" t="n">
        <v>43.789373</v>
      </c>
      <c r="V314" t="b">
        <v>1</v>
      </c>
      <c r="W314" t="n">
        <v>1</v>
      </c>
      <c r="X314" t="inlineStr">
        <is>
          <t>role_subrole_balanced_score = base_support_score * capped sqrt(avg_macro_multiplier * avg_subrole_multiplier); role/subrole quota constraints use inverse weights.</t>
        </is>
      </c>
    </row>
    <row r="315">
      <c r="A315" t="inlineStr">
        <is>
          <t>C0314</t>
        </is>
      </c>
      <c r="B315" t="inlineStr">
        <is>
          <t>x_0314</t>
        </is>
      </c>
      <c r="C315" t="inlineStr">
        <is>
          <t>Entwicklungsagentur Rheinland-Pfalz e.V.</t>
        </is>
      </c>
      <c r="D315" t="inlineStr">
        <is>
          <t>implementation_anchor</t>
        </is>
      </c>
      <c r="E315" t="inlineStr">
        <is>
          <t>public_policy_anchor</t>
        </is>
      </c>
      <c r="F315" t="inlineStr">
        <is>
          <t>Universität Trier</t>
        </is>
      </c>
      <c r="G315" t="inlineStr">
        <is>
          <t>academic_support</t>
        </is>
      </c>
      <c r="H315" t="inlineStr">
        <is>
          <t>university_research</t>
        </is>
      </c>
      <c r="I315" t="n">
        <v>31</v>
      </c>
      <c r="J315" t="n">
        <v>0</v>
      </c>
      <c r="K315" t="n">
        <v>0.1</v>
      </c>
      <c r="L315" t="n">
        <v>0.05555556</v>
      </c>
      <c r="M315" t="n">
        <v>0.15555556</v>
      </c>
      <c r="N315" t="n">
        <v>2.00277778</v>
      </c>
      <c r="O315" t="n">
        <v>62.086111</v>
      </c>
      <c r="P315" t="n">
        <v>0.16666667</v>
      </c>
      <c r="Q315" t="n">
        <v>0.14285714</v>
      </c>
      <c r="R315" t="n">
        <v>0.30952381</v>
      </c>
      <c r="S315" t="n">
        <v>0.99627976</v>
      </c>
      <c r="T315" t="n">
        <v>1.41256043</v>
      </c>
      <c r="U315" t="n">
        <v>43.789373</v>
      </c>
      <c r="V315" t="b">
        <v>1</v>
      </c>
      <c r="W315" t="n">
        <v>1</v>
      </c>
      <c r="X315" t="inlineStr">
        <is>
          <t>role_subrole_balanced_score = base_support_score * capped sqrt(avg_macro_multiplier * avg_subrole_multiplier); role/subrole quota constraints use inverse weights.</t>
        </is>
      </c>
    </row>
    <row r="316">
      <c r="A316" t="inlineStr">
        <is>
          <t>C0315</t>
        </is>
      </c>
      <c r="B316" t="inlineStr">
        <is>
          <t>x_0315</t>
        </is>
      </c>
      <c r="C316" t="inlineStr">
        <is>
          <t>Debeka Versicherungsgruppe</t>
        </is>
      </c>
      <c r="D316" t="inlineStr">
        <is>
          <t>profit_anchor</t>
        </is>
      </c>
      <c r="E316" t="inlineStr">
        <is>
          <t>bank_finance_anchor</t>
        </is>
      </c>
      <c r="F316" t="inlineStr">
        <is>
          <t>Investitions- und Strukturbank Rheinland-Pfalz (ISB)</t>
        </is>
      </c>
      <c r="G316" t="inlineStr">
        <is>
          <t>context_actor</t>
        </is>
      </c>
      <c r="H316" t="inlineStr">
        <is>
          <t>bank_finance_anchor</t>
        </is>
      </c>
      <c r="I316" t="n">
        <v>31</v>
      </c>
      <c r="J316" t="n">
        <v>0</v>
      </c>
      <c r="K316" t="n">
        <v>0.02040816</v>
      </c>
      <c r="L316" t="n">
        <v>0.03846154</v>
      </c>
      <c r="M316" t="n">
        <v>0.0588697</v>
      </c>
      <c r="N316" t="n">
        <v>0.75794741</v>
      </c>
      <c r="O316" t="n">
        <v>23.49637</v>
      </c>
      <c r="P316" t="n">
        <v>0.14285714</v>
      </c>
      <c r="Q316" t="n">
        <v>0.14285714</v>
      </c>
      <c r="R316" t="n">
        <v>0.28571429</v>
      </c>
      <c r="S316" t="n">
        <v>0.91964286</v>
      </c>
      <c r="T316" t="n">
        <v>0.83488977</v>
      </c>
      <c r="U316" t="n">
        <v>25.881583</v>
      </c>
      <c r="V316" t="b">
        <v>0</v>
      </c>
      <c r="W316" t="n">
        <v>0</v>
      </c>
      <c r="X316" t="inlineStr">
        <is>
          <t>role_subrole_balanced_score = base_support_score * capped sqrt(avg_macro_multiplier * avg_subrole_multiplier); role/subrole quota constraints use inverse weights.</t>
        </is>
      </c>
    </row>
    <row r="317">
      <c r="A317" t="inlineStr">
        <is>
          <t>C0316</t>
        </is>
      </c>
      <c r="B317" t="inlineStr">
        <is>
          <t>x_0316</t>
        </is>
      </c>
      <c r="C317" t="inlineStr">
        <is>
          <t>Ernst &amp; Young GmbH</t>
        </is>
      </c>
      <c r="D317" t="inlineStr">
        <is>
          <t>profit_anchor</t>
        </is>
      </c>
      <c r="E317" t="inlineStr">
        <is>
          <t>professional_services_anchor</t>
        </is>
      </c>
      <c r="F317" t="inlineStr">
        <is>
          <t>Investitions- und Strukturbank Rheinland-Pfalz (ISB)</t>
        </is>
      </c>
      <c r="G317" t="inlineStr">
        <is>
          <t>context_actor</t>
        </is>
      </c>
      <c r="H317" t="inlineStr">
        <is>
          <t>bank_finance_anchor</t>
        </is>
      </c>
      <c r="I317" t="n">
        <v>31</v>
      </c>
      <c r="J317" t="n">
        <v>0</v>
      </c>
      <c r="K317" t="n">
        <v>0.02040816</v>
      </c>
      <c r="L317" t="n">
        <v>0.03846154</v>
      </c>
      <c r="M317" t="n">
        <v>0.0588697</v>
      </c>
      <c r="N317" t="n">
        <v>0.75794741</v>
      </c>
      <c r="O317" t="n">
        <v>23.49637</v>
      </c>
      <c r="P317" t="n">
        <v>0.2</v>
      </c>
      <c r="Q317" t="n">
        <v>0.14285714</v>
      </c>
      <c r="R317" t="n">
        <v>0.34285714</v>
      </c>
      <c r="S317" t="n">
        <v>1.10357143</v>
      </c>
      <c r="T317" t="n">
        <v>0.91457592</v>
      </c>
      <c r="U317" t="n">
        <v>28.351853</v>
      </c>
      <c r="V317" t="b">
        <v>0</v>
      </c>
      <c r="W317" t="n">
        <v>0</v>
      </c>
      <c r="X317" t="inlineStr">
        <is>
          <t>role_subrole_balanced_score = base_support_score * capped sqrt(avg_macro_multiplier * avg_subrole_multiplier); role/subrole quota constraints use inverse weights.</t>
        </is>
      </c>
    </row>
    <row r="318">
      <c r="A318" t="inlineStr">
        <is>
          <t>C0317</t>
        </is>
      </c>
      <c r="B318" t="inlineStr">
        <is>
          <t>x_0317</t>
        </is>
      </c>
      <c r="C318" t="inlineStr">
        <is>
          <t>Handwerkskammern Rheinland-Pfalz</t>
        </is>
      </c>
      <c r="D318" t="inlineStr">
        <is>
          <t>implementation_anchor</t>
        </is>
      </c>
      <c r="E318" t="inlineStr">
        <is>
          <t>chamber_association_anchor</t>
        </is>
      </c>
      <c r="F318" t="inlineStr">
        <is>
          <t>WHU – Otto Beisheim School of Management</t>
        </is>
      </c>
      <c r="G318" t="inlineStr">
        <is>
          <t>academic_support</t>
        </is>
      </c>
      <c r="H318" t="inlineStr">
        <is>
          <t>university_research</t>
        </is>
      </c>
      <c r="I318" t="n">
        <v>31</v>
      </c>
      <c r="J318" t="n">
        <v>0</v>
      </c>
      <c r="K318" t="n">
        <v>0.1</v>
      </c>
      <c r="L318" t="n">
        <v>0.05555556</v>
      </c>
      <c r="M318" t="n">
        <v>0.15555556</v>
      </c>
      <c r="N318" t="n">
        <v>2.00277778</v>
      </c>
      <c r="O318" t="n">
        <v>62.086111</v>
      </c>
      <c r="P318" t="n">
        <v>0.25</v>
      </c>
      <c r="Q318" t="n">
        <v>0.14285714</v>
      </c>
      <c r="R318" t="n">
        <v>0.39285714</v>
      </c>
      <c r="S318" t="n">
        <v>1.26450893</v>
      </c>
      <c r="T318" t="n">
        <v>1.59139259</v>
      </c>
      <c r="U318" t="n">
        <v>49.33317</v>
      </c>
      <c r="V318" t="b">
        <v>1</v>
      </c>
      <c r="W318" t="n">
        <v>1</v>
      </c>
      <c r="X318" t="inlineStr">
        <is>
          <t>role_subrole_balanced_score = base_support_score * capped sqrt(avg_macro_multiplier * avg_subrole_multiplier); role/subrole quota constraints use inverse weights.</t>
        </is>
      </c>
    </row>
    <row r="319">
      <c r="A319" t="inlineStr">
        <is>
          <t>C0318</t>
        </is>
      </c>
      <c r="B319" t="inlineStr">
        <is>
          <t>x_0318</t>
        </is>
      </c>
      <c r="C319" t="inlineStr">
        <is>
          <t>Investitions- und Strukturbank Rheinland-Pfalz (ISB)</t>
        </is>
      </c>
      <c r="D319" t="inlineStr">
        <is>
          <t>context_actor</t>
        </is>
      </c>
      <c r="E319" t="inlineStr">
        <is>
          <t>bank_finance_anchor</t>
        </is>
      </c>
      <c r="F319" t="inlineStr">
        <is>
          <t>KPMG AG Wirtschaftsprüfungsgesellschaft</t>
        </is>
      </c>
      <c r="G319" t="inlineStr">
        <is>
          <t>profit_anchor</t>
        </is>
      </c>
      <c r="H319" t="inlineStr">
        <is>
          <t>professional_services_anchor</t>
        </is>
      </c>
      <c r="I319" t="n">
        <v>31</v>
      </c>
      <c r="J319" t="n">
        <v>0</v>
      </c>
      <c r="K319" t="n">
        <v>0.03846154</v>
      </c>
      <c r="L319" t="n">
        <v>0.02040816</v>
      </c>
      <c r="M319" t="n">
        <v>0.0588697</v>
      </c>
      <c r="N319" t="n">
        <v>0.75794741</v>
      </c>
      <c r="O319" t="n">
        <v>23.49637</v>
      </c>
      <c r="P319" t="n">
        <v>0.14285714</v>
      </c>
      <c r="Q319" t="n">
        <v>0.2</v>
      </c>
      <c r="R319" t="n">
        <v>0.34285714</v>
      </c>
      <c r="S319" t="n">
        <v>1.10357143</v>
      </c>
      <c r="T319" t="n">
        <v>0.91457592</v>
      </c>
      <c r="U319" t="n">
        <v>28.351853</v>
      </c>
      <c r="V319" t="b">
        <v>0</v>
      </c>
      <c r="W319" t="n">
        <v>0</v>
      </c>
      <c r="X319" t="inlineStr">
        <is>
          <t>role_subrole_balanced_score = base_support_score * capped sqrt(avg_macro_multiplier * avg_subrole_multiplier); role/subrole quota constraints use inverse weights.</t>
        </is>
      </c>
    </row>
    <row r="320">
      <c r="A320" t="inlineStr">
        <is>
          <t>C0319</t>
        </is>
      </c>
      <c r="B320" t="inlineStr">
        <is>
          <t>x_0319</t>
        </is>
      </c>
      <c r="C320" t="inlineStr">
        <is>
          <t>Investitions- und Strukturbank Rheinland-Pfalz (ISB)</t>
        </is>
      </c>
      <c r="D320" t="inlineStr">
        <is>
          <t>context_actor</t>
        </is>
      </c>
      <c r="E320" t="inlineStr">
        <is>
          <t>bank_finance_anchor</t>
        </is>
      </c>
      <c r="F320" t="inlineStr">
        <is>
          <t>Provinzial Versicherung AG</t>
        </is>
      </c>
      <c r="G320" t="inlineStr">
        <is>
          <t>profit_anchor</t>
        </is>
      </c>
      <c r="H320" t="inlineStr">
        <is>
          <t>bank_finance_anchor</t>
        </is>
      </c>
      <c r="I320" t="n">
        <v>31</v>
      </c>
      <c r="J320" t="n">
        <v>0</v>
      </c>
      <c r="K320" t="n">
        <v>0.03846154</v>
      </c>
      <c r="L320" t="n">
        <v>0.02040816</v>
      </c>
      <c r="M320" t="n">
        <v>0.0588697</v>
      </c>
      <c r="N320" t="n">
        <v>0.75794741</v>
      </c>
      <c r="O320" t="n">
        <v>23.49637</v>
      </c>
      <c r="P320" t="n">
        <v>0.14285714</v>
      </c>
      <c r="Q320" t="n">
        <v>0.14285714</v>
      </c>
      <c r="R320" t="n">
        <v>0.28571429</v>
      </c>
      <c r="S320" t="n">
        <v>0.91964286</v>
      </c>
      <c r="T320" t="n">
        <v>0.83488977</v>
      </c>
      <c r="U320" t="n">
        <v>25.881583</v>
      </c>
      <c r="V320" t="b">
        <v>0</v>
      </c>
      <c r="W320" t="n">
        <v>0</v>
      </c>
      <c r="X320" t="inlineStr">
        <is>
          <t>role_subrole_balanced_score = base_support_score * capped sqrt(avg_macro_multiplier * avg_subrole_multiplier); role/subrole quota constraints use inverse weights.</t>
        </is>
      </c>
    </row>
    <row r="321">
      <c r="A321" t="inlineStr">
        <is>
          <t>C0320</t>
        </is>
      </c>
      <c r="B321" t="inlineStr">
        <is>
          <t>x_0320</t>
        </is>
      </c>
      <c r="C321" t="inlineStr">
        <is>
          <t>Investitions- und Strukturbank Rheinland-Pfalz (ISB)</t>
        </is>
      </c>
      <c r="D321" t="inlineStr">
        <is>
          <t>context_actor</t>
        </is>
      </c>
      <c r="E321" t="inlineStr">
        <is>
          <t>bank_finance_anchor</t>
        </is>
      </c>
      <c r="F321" t="inlineStr">
        <is>
          <t>Vereinigte VR Bank Kur- und Rheinpfalz eG</t>
        </is>
      </c>
      <c r="G321" t="inlineStr">
        <is>
          <t>profit_anchor</t>
        </is>
      </c>
      <c r="H321" t="inlineStr">
        <is>
          <t>bank_finance_anchor</t>
        </is>
      </c>
      <c r="I321" t="n">
        <v>31</v>
      </c>
      <c r="J321" t="n">
        <v>0</v>
      </c>
      <c r="K321" t="n">
        <v>0.03846154</v>
      </c>
      <c r="L321" t="n">
        <v>0.02040816</v>
      </c>
      <c r="M321" t="n">
        <v>0.0588697</v>
      </c>
      <c r="N321" t="n">
        <v>0.75794741</v>
      </c>
      <c r="O321" t="n">
        <v>23.49637</v>
      </c>
      <c r="P321" t="n">
        <v>0.14285714</v>
      </c>
      <c r="Q321" t="n">
        <v>0.14285714</v>
      </c>
      <c r="R321" t="n">
        <v>0.28571429</v>
      </c>
      <c r="S321" t="n">
        <v>0.91964286</v>
      </c>
      <c r="T321" t="n">
        <v>0.83488977</v>
      </c>
      <c r="U321" t="n">
        <v>25.881583</v>
      </c>
      <c r="V321" t="b">
        <v>0</v>
      </c>
      <c r="W321" t="n">
        <v>0</v>
      </c>
      <c r="X321" t="inlineStr">
        <is>
          <t>role_subrole_balanced_score = base_support_score * capped sqrt(avg_macro_multiplier * avg_subrole_multiplier); role/subrole quota constraints use inverse weights.</t>
        </is>
      </c>
    </row>
    <row r="322">
      <c r="A322" t="inlineStr">
        <is>
          <t>C0321</t>
        </is>
      </c>
      <c r="B322" t="inlineStr">
        <is>
          <t>x_0321</t>
        </is>
      </c>
      <c r="C322" t="inlineStr">
        <is>
          <t>Landesbank Baden-Württemberg (LBBW)</t>
        </is>
      </c>
      <c r="D322" t="inlineStr">
        <is>
          <t>profit_anchor</t>
        </is>
      </c>
      <c r="E322" t="inlineStr">
        <is>
          <t>bank_finance_anchor</t>
        </is>
      </c>
      <c r="F322" t="inlineStr">
        <is>
          <t>WHU – Otto Beisheim School of Management</t>
        </is>
      </c>
      <c r="G322" t="inlineStr">
        <is>
          <t>academic_support</t>
        </is>
      </c>
      <c r="H322" t="inlineStr">
        <is>
          <t>university_research</t>
        </is>
      </c>
      <c r="I322" t="n">
        <v>31</v>
      </c>
      <c r="J322" t="n">
        <v>0</v>
      </c>
      <c r="K322" t="n">
        <v>0.02040816</v>
      </c>
      <c r="L322" t="n">
        <v>0.05555556</v>
      </c>
      <c r="M322" t="n">
        <v>0.07596372</v>
      </c>
      <c r="N322" t="n">
        <v>0.97803288</v>
      </c>
      <c r="O322" t="n">
        <v>30.319019</v>
      </c>
      <c r="P322" t="n">
        <v>0.14285714</v>
      </c>
      <c r="Q322" t="n">
        <v>0.14285714</v>
      </c>
      <c r="R322" t="n">
        <v>0.28571429</v>
      </c>
      <c r="S322" t="n">
        <v>0.91964286</v>
      </c>
      <c r="T322" t="n">
        <v>0.94838861</v>
      </c>
      <c r="U322" t="n">
        <v>29.400047</v>
      </c>
      <c r="V322" t="b">
        <v>1</v>
      </c>
      <c r="W322" t="n">
        <v>1</v>
      </c>
      <c r="X322" t="inlineStr">
        <is>
          <t>role_subrole_balanced_score = base_support_score * capped sqrt(avg_macro_multiplier * avg_subrole_multiplier); role/subrole quota constraints use inverse weights.</t>
        </is>
      </c>
    </row>
    <row r="323">
      <c r="A323" t="inlineStr">
        <is>
          <t>C0322</t>
        </is>
      </c>
      <c r="B323" t="inlineStr">
        <is>
          <t>x_0322</t>
        </is>
      </c>
      <c r="C323" t="inlineStr">
        <is>
          <t>Ministerium für Wirtschaft, Verkehr, Landwirtschaft und Weinbau</t>
        </is>
      </c>
      <c r="D323" t="inlineStr">
        <is>
          <t>profit_anchor</t>
        </is>
      </c>
      <c r="E323" t="inlineStr">
        <is>
          <t>public_policy_anchor</t>
        </is>
      </c>
      <c r="F323" t="inlineStr">
        <is>
          <t>WHU – Otto Beisheim School of Management</t>
        </is>
      </c>
      <c r="G323" t="inlineStr">
        <is>
          <t>academic_support</t>
        </is>
      </c>
      <c r="H323" t="inlineStr">
        <is>
          <t>university_research</t>
        </is>
      </c>
      <c r="I323" t="n">
        <v>31</v>
      </c>
      <c r="J323" t="n">
        <v>0</v>
      </c>
      <c r="K323" t="n">
        <v>0.02040816</v>
      </c>
      <c r="L323" t="n">
        <v>0.05555556</v>
      </c>
      <c r="M323" t="n">
        <v>0.07596372</v>
      </c>
      <c r="N323" t="n">
        <v>0.97803288</v>
      </c>
      <c r="O323" t="n">
        <v>30.319019</v>
      </c>
      <c r="P323" t="n">
        <v>0.16666667</v>
      </c>
      <c r="Q323" t="n">
        <v>0.14285714</v>
      </c>
      <c r="R323" t="n">
        <v>0.30952381</v>
      </c>
      <c r="S323" t="n">
        <v>0.99627976</v>
      </c>
      <c r="T323" t="n">
        <v>0.98711416</v>
      </c>
      <c r="U323" t="n">
        <v>30.600539</v>
      </c>
      <c r="V323" t="b">
        <v>1</v>
      </c>
      <c r="W323" t="n">
        <v>1</v>
      </c>
      <c r="X323" t="inlineStr">
        <is>
          <t>role_subrole_balanced_score = base_support_score * capped sqrt(avg_macro_multiplier * avg_subrole_multiplier); role/subrole quota constraints use inverse weights.</t>
        </is>
      </c>
    </row>
    <row r="324">
      <c r="A324" t="inlineStr">
        <is>
          <t>C0323</t>
        </is>
      </c>
      <c r="B324" t="inlineStr">
        <is>
          <t>x_0323</t>
        </is>
      </c>
      <c r="C324" t="inlineStr">
        <is>
          <t>Sparkassenverband Rheinland-Pfalz</t>
        </is>
      </c>
      <c r="D324" t="inlineStr">
        <is>
          <t>profit_anchor</t>
        </is>
      </c>
      <c r="E324" t="inlineStr">
        <is>
          <t>bank_finance_anchor</t>
        </is>
      </c>
      <c r="F324" t="inlineStr">
        <is>
          <t>WHU – Otto Beisheim School of Management</t>
        </is>
      </c>
      <c r="G324" t="inlineStr">
        <is>
          <t>academic_support</t>
        </is>
      </c>
      <c r="H324" t="inlineStr">
        <is>
          <t>university_research</t>
        </is>
      </c>
      <c r="I324" t="n">
        <v>31</v>
      </c>
      <c r="J324" t="n">
        <v>0</v>
      </c>
      <c r="K324" t="n">
        <v>0.02040816</v>
      </c>
      <c r="L324" t="n">
        <v>0.05555556</v>
      </c>
      <c r="M324" t="n">
        <v>0.07596372</v>
      </c>
      <c r="N324" t="n">
        <v>0.97803288</v>
      </c>
      <c r="O324" t="n">
        <v>30.319019</v>
      </c>
      <c r="P324" t="n">
        <v>0.14285714</v>
      </c>
      <c r="Q324" t="n">
        <v>0.14285714</v>
      </c>
      <c r="R324" t="n">
        <v>0.28571429</v>
      </c>
      <c r="S324" t="n">
        <v>0.91964286</v>
      </c>
      <c r="T324" t="n">
        <v>0.94838861</v>
      </c>
      <c r="U324" t="n">
        <v>29.400047</v>
      </c>
      <c r="V324" t="b">
        <v>1</v>
      </c>
      <c r="W324" t="n">
        <v>1</v>
      </c>
      <c r="X324" t="inlineStr">
        <is>
          <t>role_subrole_balanced_score = base_support_score * capped sqrt(avg_macro_multiplier * avg_subrole_multiplier); role/subrole quota constraints use inverse weights.</t>
        </is>
      </c>
    </row>
    <row r="325">
      <c r="A325" t="inlineStr">
        <is>
          <t>C0324</t>
        </is>
      </c>
      <c r="B325" t="inlineStr">
        <is>
          <t>x_0324</t>
        </is>
      </c>
      <c r="C325" t="inlineStr">
        <is>
          <t>AOK Rheinland-Pfalz/Saarland</t>
        </is>
      </c>
      <c r="D325" t="inlineStr">
        <is>
          <t>context_actor</t>
        </is>
      </c>
      <c r="E325" t="inlineStr">
        <is>
          <t>health_social_anchor</t>
        </is>
      </c>
      <c r="F325" t="inlineStr">
        <is>
          <t>Boehringer Ingelheim Pharma GmbH &amp; Co. KG</t>
        </is>
      </c>
      <c r="G325" t="inlineStr">
        <is>
          <t>profit_anchor</t>
        </is>
      </c>
      <c r="H325" t="inlineStr">
        <is>
          <t>health_social_anchor</t>
        </is>
      </c>
      <c r="I325" t="n">
        <v>31</v>
      </c>
      <c r="J325" t="n">
        <v>0</v>
      </c>
      <c r="K325" t="n">
        <v>0.03846154</v>
      </c>
      <c r="L325" t="n">
        <v>0.02040816</v>
      </c>
      <c r="M325" t="n">
        <v>0.0588697</v>
      </c>
      <c r="N325" t="n">
        <v>0.75794741</v>
      </c>
      <c r="O325" t="n">
        <v>23.49637</v>
      </c>
      <c r="P325" t="n">
        <v>0.08333333</v>
      </c>
      <c r="Q325" t="n">
        <v>0.08333333</v>
      </c>
      <c r="R325" t="n">
        <v>0.16666667</v>
      </c>
      <c r="S325" t="n">
        <v>0.53645833</v>
      </c>
      <c r="T325" t="n">
        <v>0.63765759</v>
      </c>
      <c r="U325" t="n">
        <v>19.767385</v>
      </c>
      <c r="V325" t="b">
        <v>0</v>
      </c>
      <c r="W325" t="n">
        <v>0</v>
      </c>
      <c r="X325" t="inlineStr">
        <is>
          <t>role_subrole_balanced_score = base_support_score * capped sqrt(avg_macro_multiplier * avg_subrole_multiplier); role/subrole quota constraints use inverse weights.</t>
        </is>
      </c>
    </row>
    <row r="326">
      <c r="A326" t="inlineStr">
        <is>
          <t>C0325</t>
        </is>
      </c>
      <c r="B326" t="inlineStr">
        <is>
          <t>x_0325</t>
        </is>
      </c>
      <c r="C326" t="inlineStr">
        <is>
          <t>AOK Rheinland-Pfalz/Saarland</t>
        </is>
      </c>
      <c r="D326" t="inlineStr">
        <is>
          <t>context_actor</t>
        </is>
      </c>
      <c r="E326" t="inlineStr">
        <is>
          <t>health_social_anchor</t>
        </is>
      </c>
      <c r="F326" t="inlineStr">
        <is>
          <t>Caritasverband für die Diözese Speyer e.V.</t>
        </is>
      </c>
      <c r="G326" t="inlineStr">
        <is>
          <t>implementation_anchor</t>
        </is>
      </c>
      <c r="H326" t="inlineStr">
        <is>
          <t>health_social_anchor</t>
        </is>
      </c>
      <c r="I326" t="n">
        <v>31</v>
      </c>
      <c r="J326" t="n">
        <v>0</v>
      </c>
      <c r="K326" t="n">
        <v>0.03846154</v>
      </c>
      <c r="L326" t="n">
        <v>0.1</v>
      </c>
      <c r="M326" t="n">
        <v>0.13846154</v>
      </c>
      <c r="N326" t="n">
        <v>1.78269231</v>
      </c>
      <c r="O326" t="n">
        <v>55.263462</v>
      </c>
      <c r="P326" t="n">
        <v>0.08333333</v>
      </c>
      <c r="Q326" t="n">
        <v>0.08333333</v>
      </c>
      <c r="R326" t="n">
        <v>0.16666667</v>
      </c>
      <c r="S326" t="n">
        <v>0.53645833</v>
      </c>
      <c r="T326" t="n">
        <v>0.97792645</v>
      </c>
      <c r="U326" t="n">
        <v>30.31572</v>
      </c>
      <c r="V326" t="b">
        <v>0</v>
      </c>
      <c r="W326" t="n">
        <v>0</v>
      </c>
      <c r="X326" t="inlineStr">
        <is>
          <t>role_subrole_balanced_score = base_support_score * capped sqrt(avg_macro_multiplier * avg_subrole_multiplier); role/subrole quota constraints use inverse weights.</t>
        </is>
      </c>
    </row>
    <row r="327">
      <c r="A327" t="inlineStr">
        <is>
          <t>C0326</t>
        </is>
      </c>
      <c r="B327" t="inlineStr">
        <is>
          <t>x_0326</t>
        </is>
      </c>
      <c r="C327" t="inlineStr">
        <is>
          <t>AOK Rheinland-Pfalz/Saarland</t>
        </is>
      </c>
      <c r="D327" t="inlineStr">
        <is>
          <t>context_actor</t>
        </is>
      </c>
      <c r="E327" t="inlineStr">
        <is>
          <t>health_social_anchor</t>
        </is>
      </c>
      <c r="F327" t="inlineStr">
        <is>
          <t>LandesPsychotherapeutenKammer Rheinland-Pfalz</t>
        </is>
      </c>
      <c r="G327" t="inlineStr">
        <is>
          <t>implementation_anchor</t>
        </is>
      </c>
      <c r="H327" t="inlineStr">
        <is>
          <t>health_social_anchor</t>
        </is>
      </c>
      <c r="I327" t="n">
        <v>31</v>
      </c>
      <c r="J327" t="n">
        <v>0</v>
      </c>
      <c r="K327" t="n">
        <v>0.03846154</v>
      </c>
      <c r="L327" t="n">
        <v>0.1</v>
      </c>
      <c r="M327" t="n">
        <v>0.13846154</v>
      </c>
      <c r="N327" t="n">
        <v>1.78269231</v>
      </c>
      <c r="O327" t="n">
        <v>55.263462</v>
      </c>
      <c r="P327" t="n">
        <v>0.08333333</v>
      </c>
      <c r="Q327" t="n">
        <v>0.08333333</v>
      </c>
      <c r="R327" t="n">
        <v>0.16666667</v>
      </c>
      <c r="S327" t="n">
        <v>0.53645833</v>
      </c>
      <c r="T327" t="n">
        <v>0.97792645</v>
      </c>
      <c r="U327" t="n">
        <v>30.31572</v>
      </c>
      <c r="V327" t="b">
        <v>0</v>
      </c>
      <c r="W327" t="n">
        <v>0</v>
      </c>
      <c r="X327" t="inlineStr">
        <is>
          <t>role_subrole_balanced_score = base_support_score * capped sqrt(avg_macro_multiplier * avg_subrole_multiplier); role/subrole quota constraints use inverse weights.</t>
        </is>
      </c>
    </row>
    <row r="328">
      <c r="A328" t="inlineStr">
        <is>
          <t>C0327</t>
        </is>
      </c>
      <c r="B328" t="inlineStr">
        <is>
          <t>x_0327</t>
        </is>
      </c>
      <c r="C328" t="inlineStr">
        <is>
          <t>Barmherzige Brüder Trier gGmbH</t>
        </is>
      </c>
      <c r="D328" t="inlineStr">
        <is>
          <t>context_actor</t>
        </is>
      </c>
      <c r="E328" t="inlineStr">
        <is>
          <t>health_social_anchor</t>
        </is>
      </c>
      <c r="F328" t="inlineStr">
        <is>
          <t>Landesärztekammer Rheinland-Pfalz</t>
        </is>
      </c>
      <c r="G328" t="inlineStr">
        <is>
          <t>implementation_anchor</t>
        </is>
      </c>
      <c r="H328" t="inlineStr">
        <is>
          <t>health_social_anchor</t>
        </is>
      </c>
      <c r="I328" t="n">
        <v>31</v>
      </c>
      <c r="J328" t="n">
        <v>0</v>
      </c>
      <c r="K328" t="n">
        <v>0.03846154</v>
      </c>
      <c r="L328" t="n">
        <v>0.1</v>
      </c>
      <c r="M328" t="n">
        <v>0.13846154</v>
      </c>
      <c r="N328" t="n">
        <v>1.78269231</v>
      </c>
      <c r="O328" t="n">
        <v>55.263462</v>
      </c>
      <c r="P328" t="n">
        <v>0.08333333</v>
      </c>
      <c r="Q328" t="n">
        <v>0.08333333</v>
      </c>
      <c r="R328" t="n">
        <v>0.16666667</v>
      </c>
      <c r="S328" t="n">
        <v>0.53645833</v>
      </c>
      <c r="T328" t="n">
        <v>0.97792645</v>
      </c>
      <c r="U328" t="n">
        <v>30.31572</v>
      </c>
      <c r="V328" t="b">
        <v>0</v>
      </c>
      <c r="W328" t="n">
        <v>0</v>
      </c>
      <c r="X328" t="inlineStr">
        <is>
          <t>role_subrole_balanced_score = base_support_score * capped sqrt(avg_macro_multiplier * avg_subrole_multiplier); role/subrole quota constraints use inverse weights.</t>
        </is>
      </c>
    </row>
    <row r="329">
      <c r="A329" t="inlineStr">
        <is>
          <t>C0328</t>
        </is>
      </c>
      <c r="B329" t="inlineStr">
        <is>
          <t>x_0328</t>
        </is>
      </c>
      <c r="C329" t="inlineStr">
        <is>
          <t>Boehringer Ingelheim Pharma GmbH &amp; Co. KG</t>
        </is>
      </c>
      <c r="D329" t="inlineStr">
        <is>
          <t>profit_anchor</t>
        </is>
      </c>
      <c r="E329" t="inlineStr">
        <is>
          <t>health_social_anchor</t>
        </is>
      </c>
      <c r="F329" t="inlineStr">
        <is>
          <t>IKK Südwest</t>
        </is>
      </c>
      <c r="G329" t="inlineStr">
        <is>
          <t>context_actor</t>
        </is>
      </c>
      <c r="H329" t="inlineStr">
        <is>
          <t>health_social_anchor</t>
        </is>
      </c>
      <c r="I329" t="n">
        <v>31</v>
      </c>
      <c r="J329" t="n">
        <v>0</v>
      </c>
      <c r="K329" t="n">
        <v>0.02040816</v>
      </c>
      <c r="L329" t="n">
        <v>0.03846154</v>
      </c>
      <c r="M329" t="n">
        <v>0.0588697</v>
      </c>
      <c r="N329" t="n">
        <v>0.75794741</v>
      </c>
      <c r="O329" t="n">
        <v>23.49637</v>
      </c>
      <c r="P329" t="n">
        <v>0.08333333</v>
      </c>
      <c r="Q329" t="n">
        <v>0.08333333</v>
      </c>
      <c r="R329" t="n">
        <v>0.16666667</v>
      </c>
      <c r="S329" t="n">
        <v>0.53645833</v>
      </c>
      <c r="T329" t="n">
        <v>0.63765759</v>
      </c>
      <c r="U329" t="n">
        <v>19.767385</v>
      </c>
      <c r="V329" t="b">
        <v>0</v>
      </c>
      <c r="W329" t="n">
        <v>0</v>
      </c>
      <c r="X329" t="inlineStr">
        <is>
          <t>role_subrole_balanced_score = base_support_score * capped sqrt(avg_macro_multiplier * avg_subrole_multiplier); role/subrole quota constraints use inverse weights.</t>
        </is>
      </c>
    </row>
    <row r="330">
      <c r="A330" t="inlineStr">
        <is>
          <t>C0329</t>
        </is>
      </c>
      <c r="B330" t="inlineStr">
        <is>
          <t>x_0329</t>
        </is>
      </c>
      <c r="C330" t="inlineStr">
        <is>
          <t>Boehringer Ingelheim Pharma GmbH &amp; Co. KG</t>
        </is>
      </c>
      <c r="D330" t="inlineStr">
        <is>
          <t>profit_anchor</t>
        </is>
      </c>
      <c r="E330" t="inlineStr">
        <is>
          <t>health_social_anchor</t>
        </is>
      </c>
      <c r="F330" t="inlineStr">
        <is>
          <t>Kassenärztliche Vereinigung Rheinland-Pfalz</t>
        </is>
      </c>
      <c r="G330" t="inlineStr">
        <is>
          <t>context_actor</t>
        </is>
      </c>
      <c r="H330" t="inlineStr">
        <is>
          <t>health_social_anchor</t>
        </is>
      </c>
      <c r="I330" t="n">
        <v>31</v>
      </c>
      <c r="J330" t="n">
        <v>0</v>
      </c>
      <c r="K330" t="n">
        <v>0.02040816</v>
      </c>
      <c r="L330" t="n">
        <v>0.03846154</v>
      </c>
      <c r="M330" t="n">
        <v>0.0588697</v>
      </c>
      <c r="N330" t="n">
        <v>0.75794741</v>
      </c>
      <c r="O330" t="n">
        <v>23.49637</v>
      </c>
      <c r="P330" t="n">
        <v>0.08333333</v>
      </c>
      <c r="Q330" t="n">
        <v>0.08333333</v>
      </c>
      <c r="R330" t="n">
        <v>0.16666667</v>
      </c>
      <c r="S330" t="n">
        <v>0.53645833</v>
      </c>
      <c r="T330" t="n">
        <v>0.63765759</v>
      </c>
      <c r="U330" t="n">
        <v>19.767385</v>
      </c>
      <c r="V330" t="b">
        <v>0</v>
      </c>
      <c r="W330" t="n">
        <v>0</v>
      </c>
      <c r="X330" t="inlineStr">
        <is>
          <t>role_subrole_balanced_score = base_support_score * capped sqrt(avg_macro_multiplier * avg_subrole_multiplier); role/subrole quota constraints use inverse weights.</t>
        </is>
      </c>
    </row>
    <row r="331">
      <c r="A331" t="inlineStr">
        <is>
          <t>C0330</t>
        </is>
      </c>
      <c r="B331" t="inlineStr">
        <is>
          <t>x_0330</t>
        </is>
      </c>
      <c r="C331" t="inlineStr">
        <is>
          <t>Boehringer Ingelheim Pharma GmbH &amp; Co. KG</t>
        </is>
      </c>
      <c r="D331" t="inlineStr">
        <is>
          <t>profit_anchor</t>
        </is>
      </c>
      <c r="E331" t="inlineStr">
        <is>
          <t>health_social_anchor</t>
        </is>
      </c>
      <c r="F331" t="inlineStr">
        <is>
          <t>Techniker Krankenkasse</t>
        </is>
      </c>
      <c r="G331" t="inlineStr">
        <is>
          <t>context_actor</t>
        </is>
      </c>
      <c r="H331" t="inlineStr">
        <is>
          <t>health_social_anchor</t>
        </is>
      </c>
      <c r="I331" t="n">
        <v>31</v>
      </c>
      <c r="J331" t="n">
        <v>0</v>
      </c>
      <c r="K331" t="n">
        <v>0.02040816</v>
      </c>
      <c r="L331" t="n">
        <v>0.03846154</v>
      </c>
      <c r="M331" t="n">
        <v>0.0588697</v>
      </c>
      <c r="N331" t="n">
        <v>0.75794741</v>
      </c>
      <c r="O331" t="n">
        <v>23.49637</v>
      </c>
      <c r="P331" t="n">
        <v>0.08333333</v>
      </c>
      <c r="Q331" t="n">
        <v>0.08333333</v>
      </c>
      <c r="R331" t="n">
        <v>0.16666667</v>
      </c>
      <c r="S331" t="n">
        <v>0.53645833</v>
      </c>
      <c r="T331" t="n">
        <v>0.63765759</v>
      </c>
      <c r="U331" t="n">
        <v>19.767385</v>
      </c>
      <c r="V331" t="b">
        <v>0</v>
      </c>
      <c r="W331" t="n">
        <v>0</v>
      </c>
      <c r="X331" t="inlineStr">
        <is>
          <t>role_subrole_balanced_score = base_support_score * capped sqrt(avg_macro_multiplier * avg_subrole_multiplier); role/subrole quota constraints use inverse weights.</t>
        </is>
      </c>
    </row>
    <row r="332">
      <c r="A332" t="inlineStr">
        <is>
          <t>C0331</t>
        </is>
      </c>
      <c r="B332" t="inlineStr">
        <is>
          <t>x_0331</t>
        </is>
      </c>
      <c r="C332" t="inlineStr">
        <is>
          <t>Caritasverband für die Diözese Speyer e.V.</t>
        </is>
      </c>
      <c r="D332" t="inlineStr">
        <is>
          <t>implementation_anchor</t>
        </is>
      </c>
      <c r="E332" t="inlineStr">
        <is>
          <t>health_social_anchor</t>
        </is>
      </c>
      <c r="F332" t="inlineStr">
        <is>
          <t>Hochschule für Wirtschaft und Gesellschaft Ludwigshafen</t>
        </is>
      </c>
      <c r="G332" t="inlineStr">
        <is>
          <t>academic_support</t>
        </is>
      </c>
      <c r="H332" t="inlineStr">
        <is>
          <t>university_applied_sciences</t>
        </is>
      </c>
      <c r="I332" t="n">
        <v>31</v>
      </c>
      <c r="J332" t="n">
        <v>0</v>
      </c>
      <c r="K332" t="n">
        <v>0.1</v>
      </c>
      <c r="L332" t="n">
        <v>0.05555556</v>
      </c>
      <c r="M332" t="n">
        <v>0.15555556</v>
      </c>
      <c r="N332" t="n">
        <v>2.00277778</v>
      </c>
      <c r="O332" t="n">
        <v>62.086111</v>
      </c>
      <c r="P332" t="n">
        <v>0.08333333</v>
      </c>
      <c r="Q332" t="n">
        <v>0.09090909</v>
      </c>
      <c r="R332" t="n">
        <v>0.17424242</v>
      </c>
      <c r="S332" t="n">
        <v>0.5608428</v>
      </c>
      <c r="T332" t="n">
        <v>1.05983183</v>
      </c>
      <c r="U332" t="n">
        <v>32.854787</v>
      </c>
      <c r="V332" t="b">
        <v>1</v>
      </c>
      <c r="W332" t="n">
        <v>1</v>
      </c>
      <c r="X332" t="inlineStr">
        <is>
          <t>role_subrole_balanced_score = base_support_score * capped sqrt(avg_macro_multiplier * avg_subrole_multiplier); role/subrole quota constraints use inverse weights.</t>
        </is>
      </c>
    </row>
    <row r="333">
      <c r="A333" t="inlineStr">
        <is>
          <t>C0332</t>
        </is>
      </c>
      <c r="B333" t="inlineStr">
        <is>
          <t>x_0332</t>
        </is>
      </c>
      <c r="C333" t="inlineStr">
        <is>
          <t>Caritasverband für die Diözese Speyer e.V.</t>
        </is>
      </c>
      <c r="D333" t="inlineStr">
        <is>
          <t>implementation_anchor</t>
        </is>
      </c>
      <c r="E333" t="inlineStr">
        <is>
          <t>health_social_anchor</t>
        </is>
      </c>
      <c r="F333" t="inlineStr">
        <is>
          <t>IKK Südwest</t>
        </is>
      </c>
      <c r="G333" t="inlineStr">
        <is>
          <t>context_actor</t>
        </is>
      </c>
      <c r="H333" t="inlineStr">
        <is>
          <t>health_social_anchor</t>
        </is>
      </c>
      <c r="I333" t="n">
        <v>31</v>
      </c>
      <c r="J333" t="n">
        <v>0</v>
      </c>
      <c r="K333" t="n">
        <v>0.1</v>
      </c>
      <c r="L333" t="n">
        <v>0.03846154</v>
      </c>
      <c r="M333" t="n">
        <v>0.13846154</v>
      </c>
      <c r="N333" t="n">
        <v>1.78269231</v>
      </c>
      <c r="O333" t="n">
        <v>55.263462</v>
      </c>
      <c r="P333" t="n">
        <v>0.08333333</v>
      </c>
      <c r="Q333" t="n">
        <v>0.08333333</v>
      </c>
      <c r="R333" t="n">
        <v>0.16666667</v>
      </c>
      <c r="S333" t="n">
        <v>0.53645833</v>
      </c>
      <c r="T333" t="n">
        <v>0.97792645</v>
      </c>
      <c r="U333" t="n">
        <v>30.31572</v>
      </c>
      <c r="V333" t="b">
        <v>0</v>
      </c>
      <c r="W333" t="n">
        <v>0</v>
      </c>
      <c r="X333" t="inlineStr">
        <is>
          <t>role_subrole_balanced_score = base_support_score * capped sqrt(avg_macro_multiplier * avg_subrole_multiplier); role/subrole quota constraints use inverse weights.</t>
        </is>
      </c>
    </row>
    <row r="334">
      <c r="A334" t="inlineStr">
        <is>
          <t>C0333</t>
        </is>
      </c>
      <c r="B334" t="inlineStr">
        <is>
          <t>x_0333</t>
        </is>
      </c>
      <c r="C334" t="inlineStr">
        <is>
          <t>Caritasverband für die Diözese Speyer e.V.</t>
        </is>
      </c>
      <c r="D334" t="inlineStr">
        <is>
          <t>implementation_anchor</t>
        </is>
      </c>
      <c r="E334" t="inlineStr">
        <is>
          <t>health_social_anchor</t>
        </is>
      </c>
      <c r="F334" t="inlineStr">
        <is>
          <t>Kassenärztliche Vereinigung Rheinland-Pfalz</t>
        </is>
      </c>
      <c r="G334" t="inlineStr">
        <is>
          <t>context_actor</t>
        </is>
      </c>
      <c r="H334" t="inlineStr">
        <is>
          <t>health_social_anchor</t>
        </is>
      </c>
      <c r="I334" t="n">
        <v>31</v>
      </c>
      <c r="J334" t="n">
        <v>0</v>
      </c>
      <c r="K334" t="n">
        <v>0.1</v>
      </c>
      <c r="L334" t="n">
        <v>0.03846154</v>
      </c>
      <c r="M334" t="n">
        <v>0.13846154</v>
      </c>
      <c r="N334" t="n">
        <v>1.78269231</v>
      </c>
      <c r="O334" t="n">
        <v>55.263462</v>
      </c>
      <c r="P334" t="n">
        <v>0.08333333</v>
      </c>
      <c r="Q334" t="n">
        <v>0.08333333</v>
      </c>
      <c r="R334" t="n">
        <v>0.16666667</v>
      </c>
      <c r="S334" t="n">
        <v>0.53645833</v>
      </c>
      <c r="T334" t="n">
        <v>0.97792645</v>
      </c>
      <c r="U334" t="n">
        <v>30.31572</v>
      </c>
      <c r="V334" t="b">
        <v>0</v>
      </c>
      <c r="W334" t="n">
        <v>0</v>
      </c>
      <c r="X334" t="inlineStr">
        <is>
          <t>role_subrole_balanced_score = base_support_score * capped sqrt(avg_macro_multiplier * avg_subrole_multiplier); role/subrole quota constraints use inverse weights.</t>
        </is>
      </c>
    </row>
    <row r="335">
      <c r="A335" t="inlineStr">
        <is>
          <t>C0334</t>
        </is>
      </c>
      <c r="B335" t="inlineStr">
        <is>
          <t>x_0334</t>
        </is>
      </c>
      <c r="C335" t="inlineStr">
        <is>
          <t>Caritasverband für die Diözese Speyer e.V.</t>
        </is>
      </c>
      <c r="D335" t="inlineStr">
        <is>
          <t>implementation_anchor</t>
        </is>
      </c>
      <c r="E335" t="inlineStr">
        <is>
          <t>health_social_anchor</t>
        </is>
      </c>
      <c r="F335" t="inlineStr">
        <is>
          <t>Techniker Krankenkasse</t>
        </is>
      </c>
      <c r="G335" t="inlineStr">
        <is>
          <t>context_actor</t>
        </is>
      </c>
      <c r="H335" t="inlineStr">
        <is>
          <t>health_social_anchor</t>
        </is>
      </c>
      <c r="I335" t="n">
        <v>31</v>
      </c>
      <c r="J335" t="n">
        <v>0</v>
      </c>
      <c r="K335" t="n">
        <v>0.1</v>
      </c>
      <c r="L335" t="n">
        <v>0.03846154</v>
      </c>
      <c r="M335" t="n">
        <v>0.13846154</v>
      </c>
      <c r="N335" t="n">
        <v>1.78269231</v>
      </c>
      <c r="O335" t="n">
        <v>55.263462</v>
      </c>
      <c r="P335" t="n">
        <v>0.08333333</v>
      </c>
      <c r="Q335" t="n">
        <v>0.08333333</v>
      </c>
      <c r="R335" t="n">
        <v>0.16666667</v>
      </c>
      <c r="S335" t="n">
        <v>0.53645833</v>
      </c>
      <c r="T335" t="n">
        <v>0.97792645</v>
      </c>
      <c r="U335" t="n">
        <v>30.31572</v>
      </c>
      <c r="V335" t="b">
        <v>0</v>
      </c>
      <c r="W335" t="n">
        <v>0</v>
      </c>
      <c r="X335" t="inlineStr">
        <is>
          <t>role_subrole_balanced_score = base_support_score * capped sqrt(avg_macro_multiplier * avg_subrole_multiplier); role/subrole quota constraints use inverse weights.</t>
        </is>
      </c>
    </row>
    <row r="336">
      <c r="A336" t="inlineStr">
        <is>
          <t>C0335</t>
        </is>
      </c>
      <c r="B336" t="inlineStr">
        <is>
          <t>x_0335</t>
        </is>
      </c>
      <c r="C336" t="inlineStr">
        <is>
          <t>Hochschule für Wirtschaft und Gesellschaft Ludwigshafen</t>
        </is>
      </c>
      <c r="D336" t="inlineStr">
        <is>
          <t>academic_support</t>
        </is>
      </c>
      <c r="E336" t="inlineStr">
        <is>
          <t>university_applied_sciences</t>
        </is>
      </c>
      <c r="F336" t="inlineStr">
        <is>
          <t>LandesPsychotherapeutenKammer Rheinland-Pfalz</t>
        </is>
      </c>
      <c r="G336" t="inlineStr">
        <is>
          <t>implementation_anchor</t>
        </is>
      </c>
      <c r="H336" t="inlineStr">
        <is>
          <t>health_social_anchor</t>
        </is>
      </c>
      <c r="I336" t="n">
        <v>31</v>
      </c>
      <c r="J336" t="n">
        <v>0</v>
      </c>
      <c r="K336" t="n">
        <v>0.05555556</v>
      </c>
      <c r="L336" t="n">
        <v>0.1</v>
      </c>
      <c r="M336" t="n">
        <v>0.15555556</v>
      </c>
      <c r="N336" t="n">
        <v>2.00277778</v>
      </c>
      <c r="O336" t="n">
        <v>62.086111</v>
      </c>
      <c r="P336" t="n">
        <v>0.09090909</v>
      </c>
      <c r="Q336" t="n">
        <v>0.08333333</v>
      </c>
      <c r="R336" t="n">
        <v>0.17424242</v>
      </c>
      <c r="S336" t="n">
        <v>0.5608428</v>
      </c>
      <c r="T336" t="n">
        <v>1.05983183</v>
      </c>
      <c r="U336" t="n">
        <v>32.854787</v>
      </c>
      <c r="V336" t="b">
        <v>1</v>
      </c>
      <c r="W336" t="n">
        <v>1</v>
      </c>
      <c r="X336" t="inlineStr">
        <is>
          <t>role_subrole_balanced_score = base_support_score * capped sqrt(avg_macro_multiplier * avg_subrole_multiplier); role/subrole quota constraints use inverse weights.</t>
        </is>
      </c>
    </row>
    <row r="337">
      <c r="A337" t="inlineStr">
        <is>
          <t>C0336</t>
        </is>
      </c>
      <c r="B337" t="inlineStr">
        <is>
          <t>x_0336</t>
        </is>
      </c>
      <c r="C337" t="inlineStr">
        <is>
          <t>IKK Südwest</t>
        </is>
      </c>
      <c r="D337" t="inlineStr">
        <is>
          <t>context_actor</t>
        </is>
      </c>
      <c r="E337" t="inlineStr">
        <is>
          <t>health_social_anchor</t>
        </is>
      </c>
      <c r="F337" t="inlineStr">
        <is>
          <t>LandesPsychotherapeutenKammer Rheinland-Pfalz</t>
        </is>
      </c>
      <c r="G337" t="inlineStr">
        <is>
          <t>implementation_anchor</t>
        </is>
      </c>
      <c r="H337" t="inlineStr">
        <is>
          <t>health_social_anchor</t>
        </is>
      </c>
      <c r="I337" t="n">
        <v>31</v>
      </c>
      <c r="J337" t="n">
        <v>0</v>
      </c>
      <c r="K337" t="n">
        <v>0.03846154</v>
      </c>
      <c r="L337" t="n">
        <v>0.1</v>
      </c>
      <c r="M337" t="n">
        <v>0.13846154</v>
      </c>
      <c r="N337" t="n">
        <v>1.78269231</v>
      </c>
      <c r="O337" t="n">
        <v>55.263462</v>
      </c>
      <c r="P337" t="n">
        <v>0.08333333</v>
      </c>
      <c r="Q337" t="n">
        <v>0.08333333</v>
      </c>
      <c r="R337" t="n">
        <v>0.16666667</v>
      </c>
      <c r="S337" t="n">
        <v>0.53645833</v>
      </c>
      <c r="T337" t="n">
        <v>0.97792645</v>
      </c>
      <c r="U337" t="n">
        <v>30.31572</v>
      </c>
      <c r="V337" t="b">
        <v>0</v>
      </c>
      <c r="W337" t="n">
        <v>0</v>
      </c>
      <c r="X337" t="inlineStr">
        <is>
          <t>role_subrole_balanced_score = base_support_score * capped sqrt(avg_macro_multiplier * avg_subrole_multiplier); role/subrole quota constraints use inverse weights.</t>
        </is>
      </c>
    </row>
    <row r="338">
      <c r="A338" t="inlineStr">
        <is>
          <t>C0337</t>
        </is>
      </c>
      <c r="B338" t="inlineStr">
        <is>
          <t>x_0337</t>
        </is>
      </c>
      <c r="C338" t="inlineStr">
        <is>
          <t>Kassenzahnärztliche Vereinigung Rheinland-Pfalz</t>
        </is>
      </c>
      <c r="D338" t="inlineStr">
        <is>
          <t>context_actor</t>
        </is>
      </c>
      <c r="E338" t="inlineStr">
        <is>
          <t>health_social_anchor</t>
        </is>
      </c>
      <c r="F338" t="inlineStr">
        <is>
          <t>Landesärztekammer Rheinland-Pfalz</t>
        </is>
      </c>
      <c r="G338" t="inlineStr">
        <is>
          <t>implementation_anchor</t>
        </is>
      </c>
      <c r="H338" t="inlineStr">
        <is>
          <t>health_social_anchor</t>
        </is>
      </c>
      <c r="I338" t="n">
        <v>31</v>
      </c>
      <c r="J338" t="n">
        <v>0</v>
      </c>
      <c r="K338" t="n">
        <v>0.03846154</v>
      </c>
      <c r="L338" t="n">
        <v>0.1</v>
      </c>
      <c r="M338" t="n">
        <v>0.13846154</v>
      </c>
      <c r="N338" t="n">
        <v>1.78269231</v>
      </c>
      <c r="O338" t="n">
        <v>55.263462</v>
      </c>
      <c r="P338" t="n">
        <v>0.08333333</v>
      </c>
      <c r="Q338" t="n">
        <v>0.08333333</v>
      </c>
      <c r="R338" t="n">
        <v>0.16666667</v>
      </c>
      <c r="S338" t="n">
        <v>0.53645833</v>
      </c>
      <c r="T338" t="n">
        <v>0.97792645</v>
      </c>
      <c r="U338" t="n">
        <v>30.31572</v>
      </c>
      <c r="V338" t="b">
        <v>0</v>
      </c>
      <c r="W338" t="n">
        <v>0</v>
      </c>
      <c r="X338" t="inlineStr">
        <is>
          <t>role_subrole_balanced_score = base_support_score * capped sqrt(avg_macro_multiplier * avg_subrole_multiplier); role/subrole quota constraints use inverse weights.</t>
        </is>
      </c>
    </row>
    <row r="339">
      <c r="A339" t="inlineStr">
        <is>
          <t>C0338</t>
        </is>
      </c>
      <c r="B339" t="inlineStr">
        <is>
          <t>x_0338</t>
        </is>
      </c>
      <c r="C339" t="inlineStr">
        <is>
          <t>Kassenärztliche Vereinigung Rheinland-Pfalz</t>
        </is>
      </c>
      <c r="D339" t="inlineStr">
        <is>
          <t>context_actor</t>
        </is>
      </c>
      <c r="E339" t="inlineStr">
        <is>
          <t>health_social_anchor</t>
        </is>
      </c>
      <c r="F339" t="inlineStr">
        <is>
          <t>LandesPsychotherapeutenKammer Rheinland-Pfalz</t>
        </is>
      </c>
      <c r="G339" t="inlineStr">
        <is>
          <t>implementation_anchor</t>
        </is>
      </c>
      <c r="H339" t="inlineStr">
        <is>
          <t>health_social_anchor</t>
        </is>
      </c>
      <c r="I339" t="n">
        <v>31</v>
      </c>
      <c r="J339" t="n">
        <v>0</v>
      </c>
      <c r="K339" t="n">
        <v>0.03846154</v>
      </c>
      <c r="L339" t="n">
        <v>0.1</v>
      </c>
      <c r="M339" t="n">
        <v>0.13846154</v>
      </c>
      <c r="N339" t="n">
        <v>1.78269231</v>
      </c>
      <c r="O339" t="n">
        <v>55.263462</v>
      </c>
      <c r="P339" t="n">
        <v>0.08333333</v>
      </c>
      <c r="Q339" t="n">
        <v>0.08333333</v>
      </c>
      <c r="R339" t="n">
        <v>0.16666667</v>
      </c>
      <c r="S339" t="n">
        <v>0.53645833</v>
      </c>
      <c r="T339" t="n">
        <v>0.97792645</v>
      </c>
      <c r="U339" t="n">
        <v>30.31572</v>
      </c>
      <c r="V339" t="b">
        <v>0</v>
      </c>
      <c r="W339" t="n">
        <v>0</v>
      </c>
      <c r="X339" t="inlineStr">
        <is>
          <t>role_subrole_balanced_score = base_support_score * capped sqrt(avg_macro_multiplier * avg_subrole_multiplier); role/subrole quota constraints use inverse weights.</t>
        </is>
      </c>
    </row>
    <row r="340">
      <c r="A340" t="inlineStr">
        <is>
          <t>C0339</t>
        </is>
      </c>
      <c r="B340" t="inlineStr">
        <is>
          <t>x_0339</t>
        </is>
      </c>
      <c r="C340" t="inlineStr">
        <is>
          <t>LandesPsychotherapeutenKammer Rheinland-Pfalz</t>
        </is>
      </c>
      <c r="D340" t="inlineStr">
        <is>
          <t>implementation_anchor</t>
        </is>
      </c>
      <c r="E340" t="inlineStr">
        <is>
          <t>health_social_anchor</t>
        </is>
      </c>
      <c r="F340" t="inlineStr">
        <is>
          <t>Techniker Krankenkasse</t>
        </is>
      </c>
      <c r="G340" t="inlineStr">
        <is>
          <t>context_actor</t>
        </is>
      </c>
      <c r="H340" t="inlineStr">
        <is>
          <t>health_social_anchor</t>
        </is>
      </c>
      <c r="I340" t="n">
        <v>31</v>
      </c>
      <c r="J340" t="n">
        <v>0</v>
      </c>
      <c r="K340" t="n">
        <v>0.1</v>
      </c>
      <c r="L340" t="n">
        <v>0.03846154</v>
      </c>
      <c r="M340" t="n">
        <v>0.13846154</v>
      </c>
      <c r="N340" t="n">
        <v>1.78269231</v>
      </c>
      <c r="O340" t="n">
        <v>55.263462</v>
      </c>
      <c r="P340" t="n">
        <v>0.08333333</v>
      </c>
      <c r="Q340" t="n">
        <v>0.08333333</v>
      </c>
      <c r="R340" t="n">
        <v>0.16666667</v>
      </c>
      <c r="S340" t="n">
        <v>0.53645833</v>
      </c>
      <c r="T340" t="n">
        <v>0.97792645</v>
      </c>
      <c r="U340" t="n">
        <v>30.31572</v>
      </c>
      <c r="V340" t="b">
        <v>0</v>
      </c>
      <c r="W340" t="n">
        <v>0</v>
      </c>
      <c r="X340" t="inlineStr">
        <is>
          <t>role_subrole_balanced_score = base_support_score * capped sqrt(avg_macro_multiplier * avg_subrole_multiplier); role/subrole quota constraints use inverse weights.</t>
        </is>
      </c>
    </row>
    <row r="341">
      <c r="A341" t="inlineStr">
        <is>
          <t>C0340</t>
        </is>
      </c>
      <c r="B341" t="inlineStr">
        <is>
          <t>x_0340</t>
        </is>
      </c>
      <c r="C341" t="inlineStr">
        <is>
          <t>BASF SE</t>
        </is>
      </c>
      <c r="D341" t="inlineStr">
        <is>
          <t>profit_anchor</t>
        </is>
      </c>
      <c r="E341" t="inlineStr">
        <is>
          <t>industry_anchor</t>
        </is>
      </c>
      <c r="F341" t="inlineStr">
        <is>
          <t>Johannes Gutenberg-Universität Mainz</t>
        </is>
      </c>
      <c r="G341" t="inlineStr">
        <is>
          <t>academic_support</t>
        </is>
      </c>
      <c r="H341" t="inlineStr">
        <is>
          <t>university_research</t>
        </is>
      </c>
      <c r="I341" t="n">
        <v>31</v>
      </c>
      <c r="J341" t="n">
        <v>0</v>
      </c>
      <c r="K341" t="n">
        <v>0.02040816</v>
      </c>
      <c r="L341" t="n">
        <v>0.05555556</v>
      </c>
      <c r="M341" t="n">
        <v>0.07596372</v>
      </c>
      <c r="N341" t="n">
        <v>0.97803288</v>
      </c>
      <c r="O341" t="n">
        <v>30.319019</v>
      </c>
      <c r="P341" t="n">
        <v>0.09090909</v>
      </c>
      <c r="Q341" t="n">
        <v>0.14285714</v>
      </c>
      <c r="R341" t="n">
        <v>0.23376623</v>
      </c>
      <c r="S341" t="n">
        <v>0.75243506</v>
      </c>
      <c r="T341" t="n">
        <v>0.85784977</v>
      </c>
      <c r="U341" t="n">
        <v>26.593343</v>
      </c>
      <c r="V341" t="b">
        <v>1</v>
      </c>
      <c r="W341" t="n">
        <v>1</v>
      </c>
      <c r="X341" t="inlineStr">
        <is>
          <t>role_subrole_balanced_score = base_support_score * capped sqrt(avg_macro_multiplier * avg_subrole_multiplier); role/subrole quota constraints use inverse weights.</t>
        </is>
      </c>
    </row>
    <row r="342">
      <c r="A342" t="inlineStr">
        <is>
          <t>C0341</t>
        </is>
      </c>
      <c r="B342" t="inlineStr">
        <is>
          <t>x_0341</t>
        </is>
      </c>
      <c r="C342" t="inlineStr">
        <is>
          <t>BASF SE</t>
        </is>
      </c>
      <c r="D342" t="inlineStr">
        <is>
          <t>profit_anchor</t>
        </is>
      </c>
      <c r="E342" t="inlineStr">
        <is>
          <t>industry_anchor</t>
        </is>
      </c>
      <c r="F342" t="inlineStr">
        <is>
          <t>Rheinland-Pfälzische Technische Universität Kaiserslautern-Landau (RPTU)</t>
        </is>
      </c>
      <c r="G342" t="inlineStr">
        <is>
          <t>academic_support</t>
        </is>
      </c>
      <c r="H342" t="inlineStr">
        <is>
          <t>university_research</t>
        </is>
      </c>
      <c r="I342" t="n">
        <v>31</v>
      </c>
      <c r="J342" t="n">
        <v>0</v>
      </c>
      <c r="K342" t="n">
        <v>0.02040816</v>
      </c>
      <c r="L342" t="n">
        <v>0.05555556</v>
      </c>
      <c r="M342" t="n">
        <v>0.07596372</v>
      </c>
      <c r="N342" t="n">
        <v>0.97803288</v>
      </c>
      <c r="O342" t="n">
        <v>30.319019</v>
      </c>
      <c r="P342" t="n">
        <v>0.09090909</v>
      </c>
      <c r="Q342" t="n">
        <v>0.14285714</v>
      </c>
      <c r="R342" t="n">
        <v>0.23376623</v>
      </c>
      <c r="S342" t="n">
        <v>0.75243506</v>
      </c>
      <c r="T342" t="n">
        <v>0.85784977</v>
      </c>
      <c r="U342" t="n">
        <v>26.593343</v>
      </c>
      <c r="V342" t="b">
        <v>1</v>
      </c>
      <c r="W342" t="n">
        <v>1</v>
      </c>
      <c r="X342" t="inlineStr">
        <is>
          <t>role_subrole_balanced_score = base_support_score * capped sqrt(avg_macro_multiplier * avg_subrole_multiplier); role/subrole quota constraints use inverse weights.</t>
        </is>
      </c>
    </row>
    <row r="343">
      <c r="A343" t="inlineStr">
        <is>
          <t>C0342</t>
        </is>
      </c>
      <c r="B343" t="inlineStr">
        <is>
          <t>x_0342</t>
        </is>
      </c>
      <c r="C343" t="inlineStr">
        <is>
          <t>BASF SE</t>
        </is>
      </c>
      <c r="D343" t="inlineStr">
        <is>
          <t>profit_anchor</t>
        </is>
      </c>
      <c r="E343" t="inlineStr">
        <is>
          <t>industry_anchor</t>
        </is>
      </c>
      <c r="F343" t="inlineStr">
        <is>
          <t>SmartFactory KL e.V.</t>
        </is>
      </c>
      <c r="G343" t="inlineStr">
        <is>
          <t>context_actor</t>
        </is>
      </c>
      <c r="H343" t="inlineStr">
        <is>
          <t>technology_digital_anchor</t>
        </is>
      </c>
      <c r="I343" t="n">
        <v>31</v>
      </c>
      <c r="J343" t="n">
        <v>0</v>
      </c>
      <c r="K343" t="n">
        <v>0.02040816</v>
      </c>
      <c r="L343" t="n">
        <v>0.03846154</v>
      </c>
      <c r="M343" t="n">
        <v>0.0588697</v>
      </c>
      <c r="N343" t="n">
        <v>0.75794741</v>
      </c>
      <c r="O343" t="n">
        <v>23.49637</v>
      </c>
      <c r="P343" t="n">
        <v>0.09090909</v>
      </c>
      <c r="Q343" t="n">
        <v>0.11111111</v>
      </c>
      <c r="R343" t="n">
        <v>0.2020202</v>
      </c>
      <c r="S343" t="n">
        <v>0.6502525300000001</v>
      </c>
      <c r="T343" t="n">
        <v>0.7020379</v>
      </c>
      <c r="U343" t="n">
        <v>21.763175</v>
      </c>
      <c r="V343" t="b">
        <v>0</v>
      </c>
      <c r="W343" t="n">
        <v>0</v>
      </c>
      <c r="X343" t="inlineStr">
        <is>
          <t>role_subrole_balanced_score = base_support_score * capped sqrt(avg_macro_multiplier * avg_subrole_multiplier); role/subrole quota constraints use inverse weights.</t>
        </is>
      </c>
    </row>
    <row r="344">
      <c r="A344" t="inlineStr">
        <is>
          <t>C0343</t>
        </is>
      </c>
      <c r="B344" t="inlineStr">
        <is>
          <t>x_0343</t>
        </is>
      </c>
      <c r="C344" t="inlineStr">
        <is>
          <t>BASF SE</t>
        </is>
      </c>
      <c r="D344" t="inlineStr">
        <is>
          <t>profit_anchor</t>
        </is>
      </c>
      <c r="E344" t="inlineStr">
        <is>
          <t>industry_anchor</t>
        </is>
      </c>
      <c r="F344" t="inlineStr">
        <is>
          <t>WHU – Otto Beisheim School of Management</t>
        </is>
      </c>
      <c r="G344" t="inlineStr">
        <is>
          <t>academic_support</t>
        </is>
      </c>
      <c r="H344" t="inlineStr">
        <is>
          <t>university_research</t>
        </is>
      </c>
      <c r="I344" t="n">
        <v>31</v>
      </c>
      <c r="J344" t="n">
        <v>0</v>
      </c>
      <c r="K344" t="n">
        <v>0.02040816</v>
      </c>
      <c r="L344" t="n">
        <v>0.05555556</v>
      </c>
      <c r="M344" t="n">
        <v>0.07596372</v>
      </c>
      <c r="N344" t="n">
        <v>0.97803288</v>
      </c>
      <c r="O344" t="n">
        <v>30.319019</v>
      </c>
      <c r="P344" t="n">
        <v>0.09090909</v>
      </c>
      <c r="Q344" t="n">
        <v>0.14285714</v>
      </c>
      <c r="R344" t="n">
        <v>0.23376623</v>
      </c>
      <c r="S344" t="n">
        <v>0.75243506</v>
      </c>
      <c r="T344" t="n">
        <v>0.85784977</v>
      </c>
      <c r="U344" t="n">
        <v>26.593343</v>
      </c>
      <c r="V344" t="b">
        <v>1</v>
      </c>
      <c r="W344" t="n">
        <v>1</v>
      </c>
      <c r="X344" t="inlineStr">
        <is>
          <t>role_subrole_balanced_score = base_support_score * capped sqrt(avg_macro_multiplier * avg_subrole_multiplier); role/subrole quota constraints use inverse weights.</t>
        </is>
      </c>
    </row>
    <row r="345">
      <c r="A345" t="inlineStr">
        <is>
          <t>C0344</t>
        </is>
      </c>
      <c r="B345" t="inlineStr">
        <is>
          <t>x_0344</t>
        </is>
      </c>
      <c r="C345" t="inlineStr">
        <is>
          <t>BRICKMAKERS AG</t>
        </is>
      </c>
      <c r="D345" t="inlineStr">
        <is>
          <t>profit_anchor</t>
        </is>
      </c>
      <c r="E345" t="inlineStr">
        <is>
          <t>technology_digital_anchor</t>
        </is>
      </c>
      <c r="F345" t="inlineStr">
        <is>
          <t>Johannes Gutenberg-Universität Mainz</t>
        </is>
      </c>
      <c r="G345" t="inlineStr">
        <is>
          <t>academic_support</t>
        </is>
      </c>
      <c r="H345" t="inlineStr">
        <is>
          <t>university_research</t>
        </is>
      </c>
      <c r="I345" t="n">
        <v>31</v>
      </c>
      <c r="J345" t="n">
        <v>0</v>
      </c>
      <c r="K345" t="n">
        <v>0.02040816</v>
      </c>
      <c r="L345" t="n">
        <v>0.05555556</v>
      </c>
      <c r="M345" t="n">
        <v>0.07596372</v>
      </c>
      <c r="N345" t="n">
        <v>0.97803288</v>
      </c>
      <c r="O345" t="n">
        <v>30.319019</v>
      </c>
      <c r="P345" t="n">
        <v>0.11111111</v>
      </c>
      <c r="Q345" t="n">
        <v>0.14285714</v>
      </c>
      <c r="R345" t="n">
        <v>0.25396825</v>
      </c>
      <c r="S345" t="n">
        <v>0.81746032</v>
      </c>
      <c r="T345" t="n">
        <v>0.89414935</v>
      </c>
      <c r="U345" t="n">
        <v>27.71863</v>
      </c>
      <c r="V345" t="b">
        <v>1</v>
      </c>
      <c r="W345" t="n">
        <v>1</v>
      </c>
      <c r="X345" t="inlineStr">
        <is>
          <t>role_subrole_balanced_score = base_support_score * capped sqrt(avg_macro_multiplier * avg_subrole_multiplier); role/subrole quota constraints use inverse weights.</t>
        </is>
      </c>
    </row>
    <row r="346">
      <c r="A346" t="inlineStr">
        <is>
          <t>C0345</t>
        </is>
      </c>
      <c r="B346" t="inlineStr">
        <is>
          <t>x_0345</t>
        </is>
      </c>
      <c r="C346" t="inlineStr">
        <is>
          <t>BRICKMAKERS AG</t>
        </is>
      </c>
      <c r="D346" t="inlineStr">
        <is>
          <t>profit_anchor</t>
        </is>
      </c>
      <c r="E346" t="inlineStr">
        <is>
          <t>technology_digital_anchor</t>
        </is>
      </c>
      <c r="F346" t="inlineStr">
        <is>
          <t>Rheinland-Pfälzische Technische Universität Kaiserslautern-Landau (RPTU)</t>
        </is>
      </c>
      <c r="G346" t="inlineStr">
        <is>
          <t>academic_support</t>
        </is>
      </c>
      <c r="H346" t="inlineStr">
        <is>
          <t>university_research</t>
        </is>
      </c>
      <c r="I346" t="n">
        <v>31</v>
      </c>
      <c r="J346" t="n">
        <v>0</v>
      </c>
      <c r="K346" t="n">
        <v>0.02040816</v>
      </c>
      <c r="L346" t="n">
        <v>0.05555556</v>
      </c>
      <c r="M346" t="n">
        <v>0.07596372</v>
      </c>
      <c r="N346" t="n">
        <v>0.97803288</v>
      </c>
      <c r="O346" t="n">
        <v>30.319019</v>
      </c>
      <c r="P346" t="n">
        <v>0.11111111</v>
      </c>
      <c r="Q346" t="n">
        <v>0.14285714</v>
      </c>
      <c r="R346" t="n">
        <v>0.25396825</v>
      </c>
      <c r="S346" t="n">
        <v>0.81746032</v>
      </c>
      <c r="T346" t="n">
        <v>0.89414935</v>
      </c>
      <c r="U346" t="n">
        <v>27.71863</v>
      </c>
      <c r="V346" t="b">
        <v>1</v>
      </c>
      <c r="W346" t="n">
        <v>1</v>
      </c>
      <c r="X346" t="inlineStr">
        <is>
          <t>role_subrole_balanced_score = base_support_score * capped sqrt(avg_macro_multiplier * avg_subrole_multiplier); role/subrole quota constraints use inverse weights.</t>
        </is>
      </c>
    </row>
    <row r="347">
      <c r="A347" t="inlineStr">
        <is>
          <t>C0346</t>
        </is>
      </c>
      <c r="B347" t="inlineStr">
        <is>
          <t>x_0346</t>
        </is>
      </c>
      <c r="C347" t="inlineStr">
        <is>
          <t>BRICKMAKERS AG</t>
        </is>
      </c>
      <c r="D347" t="inlineStr">
        <is>
          <t>profit_anchor</t>
        </is>
      </c>
      <c r="E347" t="inlineStr">
        <is>
          <t>technology_digital_anchor</t>
        </is>
      </c>
      <c r="F347" t="inlineStr">
        <is>
          <t>SmartFactory KL e.V.</t>
        </is>
      </c>
      <c r="G347" t="inlineStr">
        <is>
          <t>context_actor</t>
        </is>
      </c>
      <c r="H347" t="inlineStr">
        <is>
          <t>technology_digital_anchor</t>
        </is>
      </c>
      <c r="I347" t="n">
        <v>31</v>
      </c>
      <c r="J347" t="n">
        <v>0</v>
      </c>
      <c r="K347" t="n">
        <v>0.02040816</v>
      </c>
      <c r="L347" t="n">
        <v>0.03846154</v>
      </c>
      <c r="M347" t="n">
        <v>0.0588697</v>
      </c>
      <c r="N347" t="n">
        <v>0.75794741</v>
      </c>
      <c r="O347" t="n">
        <v>23.49637</v>
      </c>
      <c r="P347" t="n">
        <v>0.11111111</v>
      </c>
      <c r="Q347" t="n">
        <v>0.11111111</v>
      </c>
      <c r="R347" t="n">
        <v>0.22222222</v>
      </c>
      <c r="S347" t="n">
        <v>0.71527778</v>
      </c>
      <c r="T347" t="n">
        <v>0.73630356</v>
      </c>
      <c r="U347" t="n">
        <v>22.82541</v>
      </c>
      <c r="V347" t="b">
        <v>0</v>
      </c>
      <c r="W347" t="n">
        <v>0</v>
      </c>
      <c r="X347" t="inlineStr">
        <is>
          <t>role_subrole_balanced_score = base_support_score * capped sqrt(avg_macro_multiplier * avg_subrole_multiplier); role/subrole quota constraints use inverse weights.</t>
        </is>
      </c>
    </row>
    <row r="348">
      <c r="A348" t="inlineStr">
        <is>
          <t>C0347</t>
        </is>
      </c>
      <c r="B348" t="inlineStr">
        <is>
          <t>x_0347</t>
        </is>
      </c>
      <c r="C348" t="inlineStr">
        <is>
          <t>BRICKMAKERS AG</t>
        </is>
      </c>
      <c r="D348" t="inlineStr">
        <is>
          <t>profit_anchor</t>
        </is>
      </c>
      <c r="E348" t="inlineStr">
        <is>
          <t>technology_digital_anchor</t>
        </is>
      </c>
      <c r="F348" t="inlineStr">
        <is>
          <t>WHU – Otto Beisheim School of Management</t>
        </is>
      </c>
      <c r="G348" t="inlineStr">
        <is>
          <t>academic_support</t>
        </is>
      </c>
      <c r="H348" t="inlineStr">
        <is>
          <t>university_research</t>
        </is>
      </c>
      <c r="I348" t="n">
        <v>31</v>
      </c>
      <c r="J348" t="n">
        <v>0</v>
      </c>
      <c r="K348" t="n">
        <v>0.02040816</v>
      </c>
      <c r="L348" t="n">
        <v>0.05555556</v>
      </c>
      <c r="M348" t="n">
        <v>0.07596372</v>
      </c>
      <c r="N348" t="n">
        <v>0.97803288</v>
      </c>
      <c r="O348" t="n">
        <v>30.319019</v>
      </c>
      <c r="P348" t="n">
        <v>0.11111111</v>
      </c>
      <c r="Q348" t="n">
        <v>0.14285714</v>
      </c>
      <c r="R348" t="n">
        <v>0.25396825</v>
      </c>
      <c r="S348" t="n">
        <v>0.81746032</v>
      </c>
      <c r="T348" t="n">
        <v>0.89414935</v>
      </c>
      <c r="U348" t="n">
        <v>27.71863</v>
      </c>
      <c r="V348" t="b">
        <v>1</v>
      </c>
      <c r="W348" t="n">
        <v>1</v>
      </c>
      <c r="X348" t="inlineStr">
        <is>
          <t>role_subrole_balanced_score = base_support_score * capped sqrt(avg_macro_multiplier * avg_subrole_multiplier); role/subrole quota constraints use inverse weights.</t>
        </is>
      </c>
    </row>
    <row r="349">
      <c r="A349" t="inlineStr">
        <is>
          <t>C0348</t>
        </is>
      </c>
      <c r="B349" t="inlineStr">
        <is>
          <t>x_0348</t>
        </is>
      </c>
      <c r="C349" t="inlineStr">
        <is>
          <t>Boehringer Ingelheim Pharma GmbH &amp; Co. KG</t>
        </is>
      </c>
      <c r="D349" t="inlineStr">
        <is>
          <t>profit_anchor</t>
        </is>
      </c>
      <c r="E349" t="inlineStr">
        <is>
          <t>health_social_anchor</t>
        </is>
      </c>
      <c r="F349" t="inlineStr">
        <is>
          <t>Johannes Gutenberg-Universität Mainz</t>
        </is>
      </c>
      <c r="G349" t="inlineStr">
        <is>
          <t>academic_support</t>
        </is>
      </c>
      <c r="H349" t="inlineStr">
        <is>
          <t>university_research</t>
        </is>
      </c>
      <c r="I349" t="n">
        <v>31</v>
      </c>
      <c r="J349" t="n">
        <v>0</v>
      </c>
      <c r="K349" t="n">
        <v>0.02040816</v>
      </c>
      <c r="L349" t="n">
        <v>0.05555556</v>
      </c>
      <c r="M349" t="n">
        <v>0.07596372</v>
      </c>
      <c r="N349" t="n">
        <v>0.97803288</v>
      </c>
      <c r="O349" t="n">
        <v>30.319019</v>
      </c>
      <c r="P349" t="n">
        <v>0.08333333</v>
      </c>
      <c r="Q349" t="n">
        <v>0.14285714</v>
      </c>
      <c r="R349" t="n">
        <v>0.22619048</v>
      </c>
      <c r="S349" t="n">
        <v>0.7280506</v>
      </c>
      <c r="T349" t="n">
        <v>0.84383495</v>
      </c>
      <c r="U349" t="n">
        <v>26.158883</v>
      </c>
      <c r="V349" t="b">
        <v>1</v>
      </c>
      <c r="W349" t="n">
        <v>1</v>
      </c>
      <c r="X349" t="inlineStr">
        <is>
          <t>role_subrole_balanced_score = base_support_score * capped sqrt(avg_macro_multiplier * avg_subrole_multiplier); role/subrole quota constraints use inverse weights.</t>
        </is>
      </c>
    </row>
    <row r="350">
      <c r="A350" t="inlineStr">
        <is>
          <t>C0349</t>
        </is>
      </c>
      <c r="B350" t="inlineStr">
        <is>
          <t>x_0349</t>
        </is>
      </c>
      <c r="C350" t="inlineStr">
        <is>
          <t>Boehringer Ingelheim Pharma GmbH &amp; Co. KG</t>
        </is>
      </c>
      <c r="D350" t="inlineStr">
        <is>
          <t>profit_anchor</t>
        </is>
      </c>
      <c r="E350" t="inlineStr">
        <is>
          <t>health_social_anchor</t>
        </is>
      </c>
      <c r="F350" t="inlineStr">
        <is>
          <t>Rheinland-Pfälzische Technische Universität Kaiserslautern-Landau (RPTU)</t>
        </is>
      </c>
      <c r="G350" t="inlineStr">
        <is>
          <t>academic_support</t>
        </is>
      </c>
      <c r="H350" t="inlineStr">
        <is>
          <t>university_research</t>
        </is>
      </c>
      <c r="I350" t="n">
        <v>31</v>
      </c>
      <c r="J350" t="n">
        <v>0</v>
      </c>
      <c r="K350" t="n">
        <v>0.02040816</v>
      </c>
      <c r="L350" t="n">
        <v>0.05555556</v>
      </c>
      <c r="M350" t="n">
        <v>0.07596372</v>
      </c>
      <c r="N350" t="n">
        <v>0.97803288</v>
      </c>
      <c r="O350" t="n">
        <v>30.319019</v>
      </c>
      <c r="P350" t="n">
        <v>0.08333333</v>
      </c>
      <c r="Q350" t="n">
        <v>0.14285714</v>
      </c>
      <c r="R350" t="n">
        <v>0.22619048</v>
      </c>
      <c r="S350" t="n">
        <v>0.7280506</v>
      </c>
      <c r="T350" t="n">
        <v>0.84383495</v>
      </c>
      <c r="U350" t="n">
        <v>26.158883</v>
      </c>
      <c r="V350" t="b">
        <v>1</v>
      </c>
      <c r="W350" t="n">
        <v>1</v>
      </c>
      <c r="X350" t="inlineStr">
        <is>
          <t>role_subrole_balanced_score = base_support_score * capped sqrt(avg_macro_multiplier * avg_subrole_multiplier); role/subrole quota constraints use inverse weights.</t>
        </is>
      </c>
    </row>
    <row r="351">
      <c r="A351" t="inlineStr">
        <is>
          <t>C0350</t>
        </is>
      </c>
      <c r="B351" t="inlineStr">
        <is>
          <t>x_0350</t>
        </is>
      </c>
      <c r="C351" t="inlineStr">
        <is>
          <t>Boehringer Ingelheim Pharma GmbH &amp; Co. KG</t>
        </is>
      </c>
      <c r="D351" t="inlineStr">
        <is>
          <t>profit_anchor</t>
        </is>
      </c>
      <c r="E351" t="inlineStr">
        <is>
          <t>health_social_anchor</t>
        </is>
      </c>
      <c r="F351" t="inlineStr">
        <is>
          <t>SmartFactory KL e.V.</t>
        </is>
      </c>
      <c r="G351" t="inlineStr">
        <is>
          <t>context_actor</t>
        </is>
      </c>
      <c r="H351" t="inlineStr">
        <is>
          <t>technology_digital_anchor</t>
        </is>
      </c>
      <c r="I351" t="n">
        <v>31</v>
      </c>
      <c r="J351" t="n">
        <v>0</v>
      </c>
      <c r="K351" t="n">
        <v>0.02040816</v>
      </c>
      <c r="L351" t="n">
        <v>0.03846154</v>
      </c>
      <c r="M351" t="n">
        <v>0.0588697</v>
      </c>
      <c r="N351" t="n">
        <v>0.75794741</v>
      </c>
      <c r="O351" t="n">
        <v>23.49637</v>
      </c>
      <c r="P351" t="n">
        <v>0.08333333</v>
      </c>
      <c r="Q351" t="n">
        <v>0.11111111</v>
      </c>
      <c r="R351" t="n">
        <v>0.19444444</v>
      </c>
      <c r="S351" t="n">
        <v>0.6258680599999999</v>
      </c>
      <c r="T351" t="n">
        <v>0.68874892</v>
      </c>
      <c r="U351" t="n">
        <v>21.351216</v>
      </c>
      <c r="V351" t="b">
        <v>0</v>
      </c>
      <c r="W351" t="n">
        <v>0</v>
      </c>
      <c r="X351" t="inlineStr">
        <is>
          <t>role_subrole_balanced_score = base_support_score * capped sqrt(avg_macro_multiplier * avg_subrole_multiplier); role/subrole quota constraints use inverse weights.</t>
        </is>
      </c>
    </row>
    <row r="352">
      <c r="A352" t="inlineStr">
        <is>
          <t>C0351</t>
        </is>
      </c>
      <c r="B352" t="inlineStr">
        <is>
          <t>x_0351</t>
        </is>
      </c>
      <c r="C352" t="inlineStr">
        <is>
          <t>Handwerkskammern Rheinland-Pfalz</t>
        </is>
      </c>
      <c r="D352" t="inlineStr">
        <is>
          <t>implementation_anchor</t>
        </is>
      </c>
      <c r="E352" t="inlineStr">
        <is>
          <t>chamber_association_anchor</t>
        </is>
      </c>
      <c r="F352" t="inlineStr">
        <is>
          <t>Hochschule für Gesellschaftsgestaltung (HfGG)</t>
        </is>
      </c>
      <c r="G352" t="inlineStr">
        <is>
          <t>academic_support</t>
        </is>
      </c>
      <c r="H352" t="inlineStr">
        <is>
          <t>university_applied_sciences</t>
        </is>
      </c>
      <c r="I352" t="n">
        <v>31</v>
      </c>
      <c r="J352" t="n">
        <v>0</v>
      </c>
      <c r="K352" t="n">
        <v>0.1</v>
      </c>
      <c r="L352" t="n">
        <v>0.05555556</v>
      </c>
      <c r="M352" t="n">
        <v>0.15555556</v>
      </c>
      <c r="N352" t="n">
        <v>2.00277778</v>
      </c>
      <c r="O352" t="n">
        <v>62.086111</v>
      </c>
      <c r="P352" t="n">
        <v>0.25</v>
      </c>
      <c r="Q352" t="n">
        <v>0.09090909</v>
      </c>
      <c r="R352" t="n">
        <v>0.34090909</v>
      </c>
      <c r="S352" t="n">
        <v>1.09730114</v>
      </c>
      <c r="T352" t="n">
        <v>1.48244741</v>
      </c>
      <c r="U352" t="n">
        <v>45.95587</v>
      </c>
      <c r="V352" t="b">
        <v>1</v>
      </c>
      <c r="W352" t="n">
        <v>1</v>
      </c>
      <c r="X352" t="inlineStr">
        <is>
          <t>role_subrole_balanced_score = base_support_score * capped sqrt(avg_macro_multiplier * avg_subrole_multiplier); role/subrole quota constraints use inverse weights.</t>
        </is>
      </c>
    </row>
    <row r="353">
      <c r="A353" t="inlineStr">
        <is>
          <t>C0352</t>
        </is>
      </c>
      <c r="B353" t="inlineStr">
        <is>
          <t>x_0352</t>
        </is>
      </c>
      <c r="C353" t="inlineStr">
        <is>
          <t>BASF SE</t>
        </is>
      </c>
      <c r="D353" t="inlineStr">
        <is>
          <t>profit_anchor</t>
        </is>
      </c>
      <c r="E353" t="inlineStr">
        <is>
          <t>industry_anchor</t>
        </is>
      </c>
      <c r="F353" t="inlineStr">
        <is>
          <t>Rheinland-Pfälzische Technische Universität Kaiserslautern-Landau (RPTU)</t>
        </is>
      </c>
      <c r="G353" t="inlineStr">
        <is>
          <t>academic_support</t>
        </is>
      </c>
      <c r="H353" t="inlineStr">
        <is>
          <t>university_research</t>
        </is>
      </c>
      <c r="I353" t="n">
        <v>31</v>
      </c>
      <c r="J353" t="n">
        <v>0</v>
      </c>
      <c r="K353" t="n">
        <v>0.02040816</v>
      </c>
      <c r="L353" t="n">
        <v>0.05555556</v>
      </c>
      <c r="M353" t="n">
        <v>0.07596372</v>
      </c>
      <c r="N353" t="n">
        <v>0.97803288</v>
      </c>
      <c r="O353" t="n">
        <v>30.319019</v>
      </c>
      <c r="P353" t="n">
        <v>0.09090909</v>
      </c>
      <c r="Q353" t="n">
        <v>0.14285714</v>
      </c>
      <c r="R353" t="n">
        <v>0.23376623</v>
      </c>
      <c r="S353" t="n">
        <v>0.75243506</v>
      </c>
      <c r="T353" t="n">
        <v>0.85784977</v>
      </c>
      <c r="U353" t="n">
        <v>26.593343</v>
      </c>
      <c r="V353" t="b">
        <v>1</v>
      </c>
      <c r="W353" t="n">
        <v>1</v>
      </c>
      <c r="X353" t="inlineStr">
        <is>
          <t>role_subrole_balanced_score = base_support_score * capped sqrt(avg_macro_multiplier * avg_subrole_multiplier); role/subrole quota constraints use inverse weights.</t>
        </is>
      </c>
    </row>
    <row r="354">
      <c r="A354" t="inlineStr">
        <is>
          <t>C0353</t>
        </is>
      </c>
      <c r="B354" t="inlineStr">
        <is>
          <t>x_0353</t>
        </is>
      </c>
      <c r="C354" t="inlineStr">
        <is>
          <t>BASF SE</t>
        </is>
      </c>
      <c r="D354" t="inlineStr">
        <is>
          <t>profit_anchor</t>
        </is>
      </c>
      <c r="E354" t="inlineStr">
        <is>
          <t>industry_anchor</t>
        </is>
      </c>
      <c r="F354" t="inlineStr">
        <is>
          <t>SmartFactory KL e.V.</t>
        </is>
      </c>
      <c r="G354" t="inlineStr">
        <is>
          <t>context_actor</t>
        </is>
      </c>
      <c r="H354" t="inlineStr">
        <is>
          <t>technology_digital_anchor</t>
        </is>
      </c>
      <c r="I354" t="n">
        <v>31</v>
      </c>
      <c r="J354" t="n">
        <v>0</v>
      </c>
      <c r="K354" t="n">
        <v>0.02040816</v>
      </c>
      <c r="L354" t="n">
        <v>0.03846154</v>
      </c>
      <c r="M354" t="n">
        <v>0.0588697</v>
      </c>
      <c r="N354" t="n">
        <v>0.75794741</v>
      </c>
      <c r="O354" t="n">
        <v>23.49637</v>
      </c>
      <c r="P354" t="n">
        <v>0.09090909</v>
      </c>
      <c r="Q354" t="n">
        <v>0.11111111</v>
      </c>
      <c r="R354" t="n">
        <v>0.2020202</v>
      </c>
      <c r="S354" t="n">
        <v>0.6502525300000001</v>
      </c>
      <c r="T354" t="n">
        <v>0.7020379</v>
      </c>
      <c r="U354" t="n">
        <v>21.763175</v>
      </c>
      <c r="V354" t="b">
        <v>0</v>
      </c>
      <c r="W354" t="n">
        <v>0</v>
      </c>
      <c r="X354" t="inlineStr">
        <is>
          <t>role_subrole_balanced_score = base_support_score * capped sqrt(avg_macro_multiplier * avg_subrole_multiplier); role/subrole quota constraints use inverse weights.</t>
        </is>
      </c>
    </row>
    <row r="355">
      <c r="A355" t="inlineStr">
        <is>
          <t>C0354</t>
        </is>
      </c>
      <c r="B355" t="inlineStr">
        <is>
          <t>x_0354</t>
        </is>
      </c>
      <c r="C355" t="inlineStr">
        <is>
          <t>Continental Automotive Technologies GmbH, Safety and Motion (SAM), Standort Rheinböllen</t>
        </is>
      </c>
      <c r="D355" t="inlineStr">
        <is>
          <t>profit_anchor</t>
        </is>
      </c>
      <c r="E355" t="inlineStr">
        <is>
          <t>industry_anchor</t>
        </is>
      </c>
      <c r="F355" t="inlineStr">
        <is>
          <t>Hochschule Kaiserslautern</t>
        </is>
      </c>
      <c r="G355" t="inlineStr">
        <is>
          <t>academic_support</t>
        </is>
      </c>
      <c r="H355" t="inlineStr">
        <is>
          <t>university_applied_sciences</t>
        </is>
      </c>
      <c r="I355" t="n">
        <v>31</v>
      </c>
      <c r="J355" t="n">
        <v>0</v>
      </c>
      <c r="K355" t="n">
        <v>0.02040816</v>
      </c>
      <c r="L355" t="n">
        <v>0.05555556</v>
      </c>
      <c r="M355" t="n">
        <v>0.07596372</v>
      </c>
      <c r="N355" t="n">
        <v>0.97803288</v>
      </c>
      <c r="O355" t="n">
        <v>30.319019</v>
      </c>
      <c r="P355" t="n">
        <v>0.09090909</v>
      </c>
      <c r="Q355" t="n">
        <v>0.09090909</v>
      </c>
      <c r="R355" t="n">
        <v>0.18181818</v>
      </c>
      <c r="S355" t="n">
        <v>0.58522727</v>
      </c>
      <c r="T355" t="n">
        <v>0.75655239</v>
      </c>
      <c r="U355" t="n">
        <v>23.453124</v>
      </c>
      <c r="V355" t="b">
        <v>1</v>
      </c>
      <c r="W355" t="n">
        <v>1</v>
      </c>
      <c r="X355" t="inlineStr">
        <is>
          <t>role_subrole_balanced_score = base_support_score * capped sqrt(avg_macro_multiplier * avg_subrole_multiplier); role/subrole quota constraints use inverse weights.</t>
        </is>
      </c>
    </row>
    <row r="356">
      <c r="A356" t="inlineStr">
        <is>
          <t>C0355</t>
        </is>
      </c>
      <c r="B356" t="inlineStr">
        <is>
          <t>x_0355</t>
        </is>
      </c>
      <c r="C356" t="inlineStr">
        <is>
          <t>Continental Automotive Technologies GmbH, Safety and Motion (SAM), Standort Rheinböllen</t>
        </is>
      </c>
      <c r="D356" t="inlineStr">
        <is>
          <t>profit_anchor</t>
        </is>
      </c>
      <c r="E356" t="inlineStr">
        <is>
          <t>industry_anchor</t>
        </is>
      </c>
      <c r="F356" t="inlineStr">
        <is>
          <t>Technische Hochschule Bingen</t>
        </is>
      </c>
      <c r="G356" t="inlineStr">
        <is>
          <t>academic_support</t>
        </is>
      </c>
      <c r="H356" t="inlineStr">
        <is>
          <t>university_applied_sciences</t>
        </is>
      </c>
      <c r="I356" t="n">
        <v>31</v>
      </c>
      <c r="J356" t="n">
        <v>0</v>
      </c>
      <c r="K356" t="n">
        <v>0.02040816</v>
      </c>
      <c r="L356" t="n">
        <v>0.05555556</v>
      </c>
      <c r="M356" t="n">
        <v>0.07596372</v>
      </c>
      <c r="N356" t="n">
        <v>0.97803288</v>
      </c>
      <c r="O356" t="n">
        <v>30.319019</v>
      </c>
      <c r="P356" t="n">
        <v>0.09090909</v>
      </c>
      <c r="Q356" t="n">
        <v>0.09090909</v>
      </c>
      <c r="R356" t="n">
        <v>0.18181818</v>
      </c>
      <c r="S356" t="n">
        <v>0.58522727</v>
      </c>
      <c r="T356" t="n">
        <v>0.75655239</v>
      </c>
      <c r="U356" t="n">
        <v>23.453124</v>
      </c>
      <c r="V356" t="b">
        <v>1</v>
      </c>
      <c r="W356" t="n">
        <v>1</v>
      </c>
      <c r="X356" t="inlineStr">
        <is>
          <t>role_subrole_balanced_score = base_support_score * capped sqrt(avg_macro_multiplier * avg_subrole_multiplier); role/subrole quota constraints use inverse weights.</t>
        </is>
      </c>
    </row>
    <row r="357">
      <c r="A357" t="inlineStr">
        <is>
          <t>C0356</t>
        </is>
      </c>
      <c r="B357" t="inlineStr">
        <is>
          <t>x_0356</t>
        </is>
      </c>
      <c r="C357" t="inlineStr">
        <is>
          <t>Continental Automotive Technologies GmbH, Safety and Motion (SAM), Standort Rheinböllen</t>
        </is>
      </c>
      <c r="D357" t="inlineStr">
        <is>
          <t>profit_anchor</t>
        </is>
      </c>
      <c r="E357" t="inlineStr">
        <is>
          <t>industry_anchor</t>
        </is>
      </c>
      <c r="F357" t="inlineStr">
        <is>
          <t>TÜV Rheinland Berlin Brandenburg Pfalz e.V.</t>
        </is>
      </c>
      <c r="G357" t="inlineStr">
        <is>
          <t>context_actor</t>
        </is>
      </c>
      <c r="H357" t="inlineStr">
        <is>
          <t>chamber_association_anchor</t>
        </is>
      </c>
      <c r="I357" t="n">
        <v>31</v>
      </c>
      <c r="J357" t="n">
        <v>0</v>
      </c>
      <c r="K357" t="n">
        <v>0.02040816</v>
      </c>
      <c r="L357" t="n">
        <v>0.03846154</v>
      </c>
      <c r="M357" t="n">
        <v>0.0588697</v>
      </c>
      <c r="N357" t="n">
        <v>0.75794741</v>
      </c>
      <c r="O357" t="n">
        <v>23.49637</v>
      </c>
      <c r="P357" t="n">
        <v>0.09090909</v>
      </c>
      <c r="Q357" t="n">
        <v>0.25</v>
      </c>
      <c r="R357" t="n">
        <v>0.34090909</v>
      </c>
      <c r="S357" t="n">
        <v>1.09730114</v>
      </c>
      <c r="T357" t="n">
        <v>0.91197399</v>
      </c>
      <c r="U357" t="n">
        <v>28.271194</v>
      </c>
      <c r="V357" t="b">
        <v>0</v>
      </c>
      <c r="W357" t="n">
        <v>0</v>
      </c>
      <c r="X357" t="inlineStr">
        <is>
          <t>role_subrole_balanced_score = base_support_score * capped sqrt(avg_macro_multiplier * avg_subrole_multiplier); role/subrole quota constraints use inverse weights.</t>
        </is>
      </c>
    </row>
    <row r="358">
      <c r="A358" t="inlineStr">
        <is>
          <t>C0357</t>
        </is>
      </c>
      <c r="B358" t="inlineStr">
        <is>
          <t>x_0357</t>
        </is>
      </c>
      <c r="C358" t="inlineStr">
        <is>
          <t>Deutsche Telekom AG</t>
        </is>
      </c>
      <c r="D358" t="inlineStr">
        <is>
          <t>profit_anchor</t>
        </is>
      </c>
      <c r="E358" t="inlineStr">
        <is>
          <t>technology_digital_anchor</t>
        </is>
      </c>
      <c r="F358" t="inlineStr">
        <is>
          <t>Rheinland-Pfälzische Technische Universität Kaiserslautern-Landau (RPTU)</t>
        </is>
      </c>
      <c r="G358" t="inlineStr">
        <is>
          <t>academic_support</t>
        </is>
      </c>
      <c r="H358" t="inlineStr">
        <is>
          <t>university_research</t>
        </is>
      </c>
      <c r="I358" t="n">
        <v>31</v>
      </c>
      <c r="J358" t="n">
        <v>0</v>
      </c>
      <c r="K358" t="n">
        <v>0.02040816</v>
      </c>
      <c r="L358" t="n">
        <v>0.05555556</v>
      </c>
      <c r="M358" t="n">
        <v>0.07596372</v>
      </c>
      <c r="N358" t="n">
        <v>0.97803288</v>
      </c>
      <c r="O358" t="n">
        <v>30.319019</v>
      </c>
      <c r="P358" t="n">
        <v>0.11111111</v>
      </c>
      <c r="Q358" t="n">
        <v>0.14285714</v>
      </c>
      <c r="R358" t="n">
        <v>0.25396825</v>
      </c>
      <c r="S358" t="n">
        <v>0.81746032</v>
      </c>
      <c r="T358" t="n">
        <v>0.89414935</v>
      </c>
      <c r="U358" t="n">
        <v>27.71863</v>
      </c>
      <c r="V358" t="b">
        <v>1</v>
      </c>
      <c r="W358" t="n">
        <v>1</v>
      </c>
      <c r="X358" t="inlineStr">
        <is>
          <t>role_subrole_balanced_score = base_support_score * capped sqrt(avg_macro_multiplier * avg_subrole_multiplier); role/subrole quota constraints use inverse weights.</t>
        </is>
      </c>
    </row>
    <row r="359">
      <c r="A359" t="inlineStr">
        <is>
          <t>C0358</t>
        </is>
      </c>
      <c r="B359" t="inlineStr">
        <is>
          <t>x_0358</t>
        </is>
      </c>
      <c r="C359" t="inlineStr">
        <is>
          <t>Deutsche Telekom AG</t>
        </is>
      </c>
      <c r="D359" t="inlineStr">
        <is>
          <t>profit_anchor</t>
        </is>
      </c>
      <c r="E359" t="inlineStr">
        <is>
          <t>technology_digital_anchor</t>
        </is>
      </c>
      <c r="F359" t="inlineStr">
        <is>
          <t>SmartFactory KL e.V.</t>
        </is>
      </c>
      <c r="G359" t="inlineStr">
        <is>
          <t>context_actor</t>
        </is>
      </c>
      <c r="H359" t="inlineStr">
        <is>
          <t>technology_digital_anchor</t>
        </is>
      </c>
      <c r="I359" t="n">
        <v>31</v>
      </c>
      <c r="J359" t="n">
        <v>0</v>
      </c>
      <c r="K359" t="n">
        <v>0.02040816</v>
      </c>
      <c r="L359" t="n">
        <v>0.03846154</v>
      </c>
      <c r="M359" t="n">
        <v>0.0588697</v>
      </c>
      <c r="N359" t="n">
        <v>0.75794741</v>
      </c>
      <c r="O359" t="n">
        <v>23.49637</v>
      </c>
      <c r="P359" t="n">
        <v>0.11111111</v>
      </c>
      <c r="Q359" t="n">
        <v>0.11111111</v>
      </c>
      <c r="R359" t="n">
        <v>0.22222222</v>
      </c>
      <c r="S359" t="n">
        <v>0.71527778</v>
      </c>
      <c r="T359" t="n">
        <v>0.73630356</v>
      </c>
      <c r="U359" t="n">
        <v>22.82541</v>
      </c>
      <c r="V359" t="b">
        <v>0</v>
      </c>
      <c r="W359" t="n">
        <v>0</v>
      </c>
      <c r="X359" t="inlineStr">
        <is>
          <t>role_subrole_balanced_score = base_support_score * capped sqrt(avg_macro_multiplier * avg_subrole_multiplier); role/subrole quota constraints use inverse weights.</t>
        </is>
      </c>
    </row>
    <row r="360">
      <c r="A360" t="inlineStr">
        <is>
          <t>C0359</t>
        </is>
      </c>
      <c r="B360" t="inlineStr">
        <is>
          <t>x_0359</t>
        </is>
      </c>
      <c r="C360" t="inlineStr">
        <is>
          <t>Hochschule Kaiserslautern</t>
        </is>
      </c>
      <c r="D360" t="inlineStr">
        <is>
          <t>academic_support</t>
        </is>
      </c>
      <c r="E360" t="inlineStr">
        <is>
          <t>university_applied_sciences</t>
        </is>
      </c>
      <c r="F360" t="inlineStr">
        <is>
          <t>ITK Engineering GmbH</t>
        </is>
      </c>
      <c r="G360" t="inlineStr">
        <is>
          <t>profit_anchor</t>
        </is>
      </c>
      <c r="H360" t="inlineStr">
        <is>
          <t>technology_digital_anchor</t>
        </is>
      </c>
      <c r="I360" t="n">
        <v>31</v>
      </c>
      <c r="J360" t="n">
        <v>0</v>
      </c>
      <c r="K360" t="n">
        <v>0.05555556</v>
      </c>
      <c r="L360" t="n">
        <v>0.02040816</v>
      </c>
      <c r="M360" t="n">
        <v>0.07596372</v>
      </c>
      <c r="N360" t="n">
        <v>0.97803288</v>
      </c>
      <c r="O360" t="n">
        <v>30.319019</v>
      </c>
      <c r="P360" t="n">
        <v>0.09090909</v>
      </c>
      <c r="Q360" t="n">
        <v>0.11111111</v>
      </c>
      <c r="R360" t="n">
        <v>0.2020202</v>
      </c>
      <c r="S360" t="n">
        <v>0.6502525300000001</v>
      </c>
      <c r="T360" t="n">
        <v>0.7974762399999999</v>
      </c>
      <c r="U360" t="n">
        <v>24.721763</v>
      </c>
      <c r="V360" t="b">
        <v>1</v>
      </c>
      <c r="W360" t="n">
        <v>1</v>
      </c>
      <c r="X360" t="inlineStr">
        <is>
          <t>role_subrole_balanced_score = base_support_score * capped sqrt(avg_macro_multiplier * avg_subrole_multiplier); role/subrole quota constraints use inverse weights.</t>
        </is>
      </c>
    </row>
    <row r="361">
      <c r="A361" t="inlineStr">
        <is>
          <t>C0360</t>
        </is>
      </c>
      <c r="B361" t="inlineStr">
        <is>
          <t>x_0360</t>
        </is>
      </c>
      <c r="C361" t="inlineStr">
        <is>
          <t>Hochschule Kaiserslautern</t>
        </is>
      </c>
      <c r="D361" t="inlineStr">
        <is>
          <t>academic_support</t>
        </is>
      </c>
      <c r="E361" t="inlineStr">
        <is>
          <t>university_applied_sciences</t>
        </is>
      </c>
      <c r="F361" t="inlineStr">
        <is>
          <t>Joseph Vögele AG</t>
        </is>
      </c>
      <c r="G361" t="inlineStr">
        <is>
          <t>profit_anchor</t>
        </is>
      </c>
      <c r="H361" t="inlineStr">
        <is>
          <t>construction_planning_anchor</t>
        </is>
      </c>
      <c r="I361" t="n">
        <v>31</v>
      </c>
      <c r="J361" t="n">
        <v>0</v>
      </c>
      <c r="K361" t="n">
        <v>0.05555556</v>
      </c>
      <c r="L361" t="n">
        <v>0.02040816</v>
      </c>
      <c r="M361" t="n">
        <v>0.07596372</v>
      </c>
      <c r="N361" t="n">
        <v>0.97803288</v>
      </c>
      <c r="O361" t="n">
        <v>30.319019</v>
      </c>
      <c r="P361" t="n">
        <v>0.09090909</v>
      </c>
      <c r="Q361" t="n">
        <v>0.125</v>
      </c>
      <c r="R361" t="n">
        <v>0.21590909</v>
      </c>
      <c r="S361" t="n">
        <v>0.69495739</v>
      </c>
      <c r="T361" t="n">
        <v>0.82443385</v>
      </c>
      <c r="U361" t="n">
        <v>25.557449</v>
      </c>
      <c r="V361" t="b">
        <v>1</v>
      </c>
      <c r="W361" t="n">
        <v>1</v>
      </c>
      <c r="X361" t="inlineStr">
        <is>
          <t>role_subrole_balanced_score = base_support_score * capped sqrt(avg_macro_multiplier * avg_subrole_multiplier); role/subrole quota constraints use inverse weights.</t>
        </is>
      </c>
    </row>
    <row r="362">
      <c r="A362" t="inlineStr">
        <is>
          <t>C0361</t>
        </is>
      </c>
      <c r="B362" t="inlineStr">
        <is>
          <t>x_0361</t>
        </is>
      </c>
      <c r="C362" t="inlineStr">
        <is>
          <t>Hochschule Kaiserslautern</t>
        </is>
      </c>
      <c r="D362" t="inlineStr">
        <is>
          <t>academic_support</t>
        </is>
      </c>
      <c r="E362" t="inlineStr">
        <is>
          <t>university_applied_sciences</t>
        </is>
      </c>
      <c r="F362" t="inlineStr">
        <is>
          <t>PFAFF Industriesysteme und Maschinen GmbH</t>
        </is>
      </c>
      <c r="G362" t="inlineStr">
        <is>
          <t>profit_anchor</t>
        </is>
      </c>
      <c r="H362" t="inlineStr">
        <is>
          <t>industry_anchor</t>
        </is>
      </c>
      <c r="I362" t="n">
        <v>31</v>
      </c>
      <c r="J362" t="n">
        <v>0</v>
      </c>
      <c r="K362" t="n">
        <v>0.05555556</v>
      </c>
      <c r="L362" t="n">
        <v>0.02040816</v>
      </c>
      <c r="M362" t="n">
        <v>0.07596372</v>
      </c>
      <c r="N362" t="n">
        <v>0.97803288</v>
      </c>
      <c r="O362" t="n">
        <v>30.319019</v>
      </c>
      <c r="P362" t="n">
        <v>0.09090909</v>
      </c>
      <c r="Q362" t="n">
        <v>0.09090909</v>
      </c>
      <c r="R362" t="n">
        <v>0.18181818</v>
      </c>
      <c r="S362" t="n">
        <v>0.58522727</v>
      </c>
      <c r="T362" t="n">
        <v>0.75655239</v>
      </c>
      <c r="U362" t="n">
        <v>23.453124</v>
      </c>
      <c r="V362" t="b">
        <v>1</v>
      </c>
      <c r="W362" t="n">
        <v>1</v>
      </c>
      <c r="X362" t="inlineStr">
        <is>
          <t>role_subrole_balanced_score = base_support_score * capped sqrt(avg_macro_multiplier * avg_subrole_multiplier); role/subrole quota constraints use inverse weights.</t>
        </is>
      </c>
    </row>
    <row r="363">
      <c r="A363" t="inlineStr">
        <is>
          <t>C0362</t>
        </is>
      </c>
      <c r="B363" t="inlineStr">
        <is>
          <t>x_0362</t>
        </is>
      </c>
      <c r="C363" t="inlineStr">
        <is>
          <t>ITK Engineering GmbH</t>
        </is>
      </c>
      <c r="D363" t="inlineStr">
        <is>
          <t>profit_anchor</t>
        </is>
      </c>
      <c r="E363" t="inlineStr">
        <is>
          <t>technology_digital_anchor</t>
        </is>
      </c>
      <c r="F363" t="inlineStr">
        <is>
          <t>Technische Hochschule Bingen</t>
        </is>
      </c>
      <c r="G363" t="inlineStr">
        <is>
          <t>academic_support</t>
        </is>
      </c>
      <c r="H363" t="inlineStr">
        <is>
          <t>university_applied_sciences</t>
        </is>
      </c>
      <c r="I363" t="n">
        <v>31</v>
      </c>
      <c r="J363" t="n">
        <v>0</v>
      </c>
      <c r="K363" t="n">
        <v>0.02040816</v>
      </c>
      <c r="L363" t="n">
        <v>0.05555556</v>
      </c>
      <c r="M363" t="n">
        <v>0.07596372</v>
      </c>
      <c r="N363" t="n">
        <v>0.97803288</v>
      </c>
      <c r="O363" t="n">
        <v>30.319019</v>
      </c>
      <c r="P363" t="n">
        <v>0.11111111</v>
      </c>
      <c r="Q363" t="n">
        <v>0.09090909</v>
      </c>
      <c r="R363" t="n">
        <v>0.2020202</v>
      </c>
      <c r="S363" t="n">
        <v>0.6502525300000001</v>
      </c>
      <c r="T363" t="n">
        <v>0.7974762399999999</v>
      </c>
      <c r="U363" t="n">
        <v>24.721763</v>
      </c>
      <c r="V363" t="b">
        <v>1</v>
      </c>
      <c r="W363" t="n">
        <v>1</v>
      </c>
      <c r="X363" t="inlineStr">
        <is>
          <t>role_subrole_balanced_score = base_support_score * capped sqrt(avg_macro_multiplier * avg_subrole_multiplier); role/subrole quota constraints use inverse weights.</t>
        </is>
      </c>
    </row>
    <row r="364">
      <c r="A364" t="inlineStr">
        <is>
          <t>C0363</t>
        </is>
      </c>
      <c r="B364" t="inlineStr">
        <is>
          <t>x_0363</t>
        </is>
      </c>
      <c r="C364" t="inlineStr">
        <is>
          <t>ITK Engineering GmbH</t>
        </is>
      </c>
      <c r="D364" t="inlineStr">
        <is>
          <t>profit_anchor</t>
        </is>
      </c>
      <c r="E364" t="inlineStr">
        <is>
          <t>technology_digital_anchor</t>
        </is>
      </c>
      <c r="F364" t="inlineStr">
        <is>
          <t>TÜV Rheinland Berlin Brandenburg Pfalz e.V.</t>
        </is>
      </c>
      <c r="G364" t="inlineStr">
        <is>
          <t>context_actor</t>
        </is>
      </c>
      <c r="H364" t="inlineStr">
        <is>
          <t>chamber_association_anchor</t>
        </is>
      </c>
      <c r="I364" t="n">
        <v>31</v>
      </c>
      <c r="J364" t="n">
        <v>0</v>
      </c>
      <c r="K364" t="n">
        <v>0.02040816</v>
      </c>
      <c r="L364" t="n">
        <v>0.03846154</v>
      </c>
      <c r="M364" t="n">
        <v>0.0588697</v>
      </c>
      <c r="N364" t="n">
        <v>0.75794741</v>
      </c>
      <c r="O364" t="n">
        <v>23.49637</v>
      </c>
      <c r="P364" t="n">
        <v>0.11111111</v>
      </c>
      <c r="Q364" t="n">
        <v>0.25</v>
      </c>
      <c r="R364" t="n">
        <v>0.36111111</v>
      </c>
      <c r="S364" t="n">
        <v>1.16232639</v>
      </c>
      <c r="T364" t="n">
        <v>0.93860656</v>
      </c>
      <c r="U364" t="n">
        <v>29.096803</v>
      </c>
      <c r="V364" t="b">
        <v>0</v>
      </c>
      <c r="W364" t="n">
        <v>0</v>
      </c>
      <c r="X364" t="inlineStr">
        <is>
          <t>role_subrole_balanced_score = base_support_score * capped sqrt(avg_macro_multiplier * avg_subrole_multiplier); role/subrole quota constraints use inverse weights.</t>
        </is>
      </c>
    </row>
    <row r="365">
      <c r="A365" t="inlineStr">
        <is>
          <t>C0364</t>
        </is>
      </c>
      <c r="B365" t="inlineStr">
        <is>
          <t>x_0364</t>
        </is>
      </c>
      <c r="C365" t="inlineStr">
        <is>
          <t>Joseph Vögele AG</t>
        </is>
      </c>
      <c r="D365" t="inlineStr">
        <is>
          <t>profit_anchor</t>
        </is>
      </c>
      <c r="E365" t="inlineStr">
        <is>
          <t>construction_planning_anchor</t>
        </is>
      </c>
      <c r="F365" t="inlineStr">
        <is>
          <t>Technische Hochschule Bingen</t>
        </is>
      </c>
      <c r="G365" t="inlineStr">
        <is>
          <t>academic_support</t>
        </is>
      </c>
      <c r="H365" t="inlineStr">
        <is>
          <t>university_applied_sciences</t>
        </is>
      </c>
      <c r="I365" t="n">
        <v>31</v>
      </c>
      <c r="J365" t="n">
        <v>0</v>
      </c>
      <c r="K365" t="n">
        <v>0.02040816</v>
      </c>
      <c r="L365" t="n">
        <v>0.05555556</v>
      </c>
      <c r="M365" t="n">
        <v>0.07596372</v>
      </c>
      <c r="N365" t="n">
        <v>0.97803288</v>
      </c>
      <c r="O365" t="n">
        <v>30.319019</v>
      </c>
      <c r="P365" t="n">
        <v>0.125</v>
      </c>
      <c r="Q365" t="n">
        <v>0.09090909</v>
      </c>
      <c r="R365" t="n">
        <v>0.21590909</v>
      </c>
      <c r="S365" t="n">
        <v>0.69495739</v>
      </c>
      <c r="T365" t="n">
        <v>0.82443385</v>
      </c>
      <c r="U365" t="n">
        <v>25.557449</v>
      </c>
      <c r="V365" t="b">
        <v>1</v>
      </c>
      <c r="W365" t="n">
        <v>1</v>
      </c>
      <c r="X365" t="inlineStr">
        <is>
          <t>role_subrole_balanced_score = base_support_score * capped sqrt(avg_macro_multiplier * avg_subrole_multiplier); role/subrole quota constraints use inverse weights.</t>
        </is>
      </c>
    </row>
    <row r="366">
      <c r="A366" t="inlineStr">
        <is>
          <t>C0365</t>
        </is>
      </c>
      <c r="B366" t="inlineStr">
        <is>
          <t>x_0365</t>
        </is>
      </c>
      <c r="C366" t="inlineStr">
        <is>
          <t>Joseph Vögele AG</t>
        </is>
      </c>
      <c r="D366" t="inlineStr">
        <is>
          <t>profit_anchor</t>
        </is>
      </c>
      <c r="E366" t="inlineStr">
        <is>
          <t>construction_planning_anchor</t>
        </is>
      </c>
      <c r="F366" t="inlineStr">
        <is>
          <t>TÜV Rheinland Berlin Brandenburg Pfalz e.V.</t>
        </is>
      </c>
      <c r="G366" t="inlineStr">
        <is>
          <t>context_actor</t>
        </is>
      </c>
      <c r="H366" t="inlineStr">
        <is>
          <t>chamber_association_anchor</t>
        </is>
      </c>
      <c r="I366" t="n">
        <v>31</v>
      </c>
      <c r="J366" t="n">
        <v>0</v>
      </c>
      <c r="K366" t="n">
        <v>0.02040816</v>
      </c>
      <c r="L366" t="n">
        <v>0.03846154</v>
      </c>
      <c r="M366" t="n">
        <v>0.0588697</v>
      </c>
      <c r="N366" t="n">
        <v>0.75794741</v>
      </c>
      <c r="O366" t="n">
        <v>23.49637</v>
      </c>
      <c r="P366" t="n">
        <v>0.125</v>
      </c>
      <c r="Q366" t="n">
        <v>0.25</v>
      </c>
      <c r="R366" t="n">
        <v>0.375</v>
      </c>
      <c r="S366" t="n">
        <v>1.20703125</v>
      </c>
      <c r="T366" t="n">
        <v>0.95648639</v>
      </c>
      <c r="U366" t="n">
        <v>29.651078</v>
      </c>
      <c r="V366" t="b">
        <v>0</v>
      </c>
      <c r="W366" t="n">
        <v>0</v>
      </c>
      <c r="X366" t="inlineStr">
        <is>
          <t>role_subrole_balanced_score = base_support_score * capped sqrt(avg_macro_multiplier * avg_subrole_multiplier); role/subrole quota constraints use inverse weights.</t>
        </is>
      </c>
    </row>
    <row r="367">
      <c r="A367" t="inlineStr">
        <is>
          <t>C0366</t>
        </is>
      </c>
      <c r="B367" t="inlineStr">
        <is>
          <t>x_0366</t>
        </is>
      </c>
      <c r="C367" t="inlineStr">
        <is>
          <t>KSB AG</t>
        </is>
      </c>
      <c r="D367" t="inlineStr">
        <is>
          <t>profit_anchor</t>
        </is>
      </c>
      <c r="E367" t="inlineStr">
        <is>
          <t>industry_anchor</t>
        </is>
      </c>
      <c r="F367" t="inlineStr">
        <is>
          <t>Rheinland-Pfälzische Technische Universität Kaiserslautern-Landau (RPTU)</t>
        </is>
      </c>
      <c r="G367" t="inlineStr">
        <is>
          <t>academic_support</t>
        </is>
      </c>
      <c r="H367" t="inlineStr">
        <is>
          <t>university_research</t>
        </is>
      </c>
      <c r="I367" t="n">
        <v>31</v>
      </c>
      <c r="J367" t="n">
        <v>0</v>
      </c>
      <c r="K367" t="n">
        <v>0.02040816</v>
      </c>
      <c r="L367" t="n">
        <v>0.05555556</v>
      </c>
      <c r="M367" t="n">
        <v>0.07596372</v>
      </c>
      <c r="N367" t="n">
        <v>0.97803288</v>
      </c>
      <c r="O367" t="n">
        <v>30.319019</v>
      </c>
      <c r="P367" t="n">
        <v>0.09090909</v>
      </c>
      <c r="Q367" t="n">
        <v>0.14285714</v>
      </c>
      <c r="R367" t="n">
        <v>0.23376623</v>
      </c>
      <c r="S367" t="n">
        <v>0.75243506</v>
      </c>
      <c r="T367" t="n">
        <v>0.85784977</v>
      </c>
      <c r="U367" t="n">
        <v>26.593343</v>
      </c>
      <c r="V367" t="b">
        <v>1</v>
      </c>
      <c r="W367" t="n">
        <v>1</v>
      </c>
      <c r="X367" t="inlineStr">
        <is>
          <t>role_subrole_balanced_score = base_support_score * capped sqrt(avg_macro_multiplier * avg_subrole_multiplier); role/subrole quota constraints use inverse weights.</t>
        </is>
      </c>
    </row>
    <row r="368">
      <c r="A368" t="inlineStr">
        <is>
          <t>C0367</t>
        </is>
      </c>
      <c r="B368" t="inlineStr">
        <is>
          <t>x_0367</t>
        </is>
      </c>
      <c r="C368" t="inlineStr">
        <is>
          <t>KSB AG</t>
        </is>
      </c>
      <c r="D368" t="inlineStr">
        <is>
          <t>profit_anchor</t>
        </is>
      </c>
      <c r="E368" t="inlineStr">
        <is>
          <t>industry_anchor</t>
        </is>
      </c>
      <c r="F368" t="inlineStr">
        <is>
          <t>SmartFactory KL e.V.</t>
        </is>
      </c>
      <c r="G368" t="inlineStr">
        <is>
          <t>context_actor</t>
        </is>
      </c>
      <c r="H368" t="inlineStr">
        <is>
          <t>technology_digital_anchor</t>
        </is>
      </c>
      <c r="I368" t="n">
        <v>31</v>
      </c>
      <c r="J368" t="n">
        <v>0</v>
      </c>
      <c r="K368" t="n">
        <v>0.02040816</v>
      </c>
      <c r="L368" t="n">
        <v>0.03846154</v>
      </c>
      <c r="M368" t="n">
        <v>0.0588697</v>
      </c>
      <c r="N368" t="n">
        <v>0.75794741</v>
      </c>
      <c r="O368" t="n">
        <v>23.49637</v>
      </c>
      <c r="P368" t="n">
        <v>0.09090909</v>
      </c>
      <c r="Q368" t="n">
        <v>0.11111111</v>
      </c>
      <c r="R368" t="n">
        <v>0.2020202</v>
      </c>
      <c r="S368" t="n">
        <v>0.6502525300000001</v>
      </c>
      <c r="T368" t="n">
        <v>0.7020379</v>
      </c>
      <c r="U368" t="n">
        <v>21.763175</v>
      </c>
      <c r="V368" t="b">
        <v>0</v>
      </c>
      <c r="W368" t="n">
        <v>0</v>
      </c>
      <c r="X368" t="inlineStr">
        <is>
          <t>role_subrole_balanced_score = base_support_score * capped sqrt(avg_macro_multiplier * avg_subrole_multiplier); role/subrole quota constraints use inverse weights.</t>
        </is>
      </c>
    </row>
    <row r="369">
      <c r="A369" t="inlineStr">
        <is>
          <t>C0368</t>
        </is>
      </c>
      <c r="B369" t="inlineStr">
        <is>
          <t>x_0368</t>
        </is>
      </c>
      <c r="C369" t="inlineStr">
        <is>
          <t>Michelin Reifenwerke AG &amp; Co. KGaA</t>
        </is>
      </c>
      <c r="D369" t="inlineStr">
        <is>
          <t>profit_anchor</t>
        </is>
      </c>
      <c r="E369" t="inlineStr">
        <is>
          <t>industry_anchor</t>
        </is>
      </c>
      <c r="F369" t="inlineStr">
        <is>
          <t>Rheinland-Pfälzische Technische Universität Kaiserslautern-Landau (RPTU)</t>
        </is>
      </c>
      <c r="G369" t="inlineStr">
        <is>
          <t>academic_support</t>
        </is>
      </c>
      <c r="H369" t="inlineStr">
        <is>
          <t>university_research</t>
        </is>
      </c>
      <c r="I369" t="n">
        <v>31</v>
      </c>
      <c r="J369" t="n">
        <v>0</v>
      </c>
      <c r="K369" t="n">
        <v>0.02040816</v>
      </c>
      <c r="L369" t="n">
        <v>0.05555556</v>
      </c>
      <c r="M369" t="n">
        <v>0.07596372</v>
      </c>
      <c r="N369" t="n">
        <v>0.97803288</v>
      </c>
      <c r="O369" t="n">
        <v>30.319019</v>
      </c>
      <c r="P369" t="n">
        <v>0.09090909</v>
      </c>
      <c r="Q369" t="n">
        <v>0.14285714</v>
      </c>
      <c r="R369" t="n">
        <v>0.23376623</v>
      </c>
      <c r="S369" t="n">
        <v>0.75243506</v>
      </c>
      <c r="T369" t="n">
        <v>0.85784977</v>
      </c>
      <c r="U369" t="n">
        <v>26.593343</v>
      </c>
      <c r="V369" t="b">
        <v>1</v>
      </c>
      <c r="W369" t="n">
        <v>1</v>
      </c>
      <c r="X369" t="inlineStr">
        <is>
          <t>role_subrole_balanced_score = base_support_score * capped sqrt(avg_macro_multiplier * avg_subrole_multiplier); role/subrole quota constraints use inverse weights.</t>
        </is>
      </c>
    </row>
    <row r="370">
      <c r="A370" t="inlineStr">
        <is>
          <t>C0369</t>
        </is>
      </c>
      <c r="B370" t="inlineStr">
        <is>
          <t>x_0369</t>
        </is>
      </c>
      <c r="C370" t="inlineStr">
        <is>
          <t>Michelin Reifenwerke AG &amp; Co. KGaA</t>
        </is>
      </c>
      <c r="D370" t="inlineStr">
        <is>
          <t>profit_anchor</t>
        </is>
      </c>
      <c r="E370" t="inlineStr">
        <is>
          <t>industry_anchor</t>
        </is>
      </c>
      <c r="F370" t="inlineStr">
        <is>
          <t>SmartFactory KL e.V.</t>
        </is>
      </c>
      <c r="G370" t="inlineStr">
        <is>
          <t>context_actor</t>
        </is>
      </c>
      <c r="H370" t="inlineStr">
        <is>
          <t>technology_digital_anchor</t>
        </is>
      </c>
      <c r="I370" t="n">
        <v>31</v>
      </c>
      <c r="J370" t="n">
        <v>0</v>
      </c>
      <c r="K370" t="n">
        <v>0.02040816</v>
      </c>
      <c r="L370" t="n">
        <v>0.03846154</v>
      </c>
      <c r="M370" t="n">
        <v>0.0588697</v>
      </c>
      <c r="N370" t="n">
        <v>0.75794741</v>
      </c>
      <c r="O370" t="n">
        <v>23.49637</v>
      </c>
      <c r="P370" t="n">
        <v>0.09090909</v>
      </c>
      <c r="Q370" t="n">
        <v>0.11111111</v>
      </c>
      <c r="R370" t="n">
        <v>0.2020202</v>
      </c>
      <c r="S370" t="n">
        <v>0.6502525300000001</v>
      </c>
      <c r="T370" t="n">
        <v>0.7020379</v>
      </c>
      <c r="U370" t="n">
        <v>21.763175</v>
      </c>
      <c r="V370" t="b">
        <v>0</v>
      </c>
      <c r="W370" t="n">
        <v>0</v>
      </c>
      <c r="X370" t="inlineStr">
        <is>
          <t>role_subrole_balanced_score = base_support_score * capped sqrt(avg_macro_multiplier * avg_subrole_multiplier); role/subrole quota constraints use inverse weights.</t>
        </is>
      </c>
    </row>
    <row r="371">
      <c r="A371" t="inlineStr">
        <is>
          <t>C0370</t>
        </is>
      </c>
      <c r="B371" t="inlineStr">
        <is>
          <t>x_0370</t>
        </is>
      </c>
      <c r="C371" t="inlineStr">
        <is>
          <t>PFAFF Industriesysteme und Maschinen GmbH</t>
        </is>
      </c>
      <c r="D371" t="inlineStr">
        <is>
          <t>profit_anchor</t>
        </is>
      </c>
      <c r="E371" t="inlineStr">
        <is>
          <t>industry_anchor</t>
        </is>
      </c>
      <c r="F371" t="inlineStr">
        <is>
          <t>Technische Hochschule Bingen</t>
        </is>
      </c>
      <c r="G371" t="inlineStr">
        <is>
          <t>academic_support</t>
        </is>
      </c>
      <c r="H371" t="inlineStr">
        <is>
          <t>university_applied_sciences</t>
        </is>
      </c>
      <c r="I371" t="n">
        <v>31</v>
      </c>
      <c r="J371" t="n">
        <v>0</v>
      </c>
      <c r="K371" t="n">
        <v>0.02040816</v>
      </c>
      <c r="L371" t="n">
        <v>0.05555556</v>
      </c>
      <c r="M371" t="n">
        <v>0.07596372</v>
      </c>
      <c r="N371" t="n">
        <v>0.97803288</v>
      </c>
      <c r="O371" t="n">
        <v>30.319019</v>
      </c>
      <c r="P371" t="n">
        <v>0.09090909</v>
      </c>
      <c r="Q371" t="n">
        <v>0.09090909</v>
      </c>
      <c r="R371" t="n">
        <v>0.18181818</v>
      </c>
      <c r="S371" t="n">
        <v>0.58522727</v>
      </c>
      <c r="T371" t="n">
        <v>0.75655239</v>
      </c>
      <c r="U371" t="n">
        <v>23.453124</v>
      </c>
      <c r="V371" t="b">
        <v>1</v>
      </c>
      <c r="W371" t="n">
        <v>1</v>
      </c>
      <c r="X371" t="inlineStr">
        <is>
          <t>role_subrole_balanced_score = base_support_score * capped sqrt(avg_macro_multiplier * avg_subrole_multiplier); role/subrole quota constraints use inverse weights.</t>
        </is>
      </c>
    </row>
    <row r="372">
      <c r="A372" t="inlineStr">
        <is>
          <t>C0371</t>
        </is>
      </c>
      <c r="B372" t="inlineStr">
        <is>
          <t>x_0371</t>
        </is>
      </c>
      <c r="C372" t="inlineStr">
        <is>
          <t>PFAFF Industriesysteme und Maschinen GmbH</t>
        </is>
      </c>
      <c r="D372" t="inlineStr">
        <is>
          <t>profit_anchor</t>
        </is>
      </c>
      <c r="E372" t="inlineStr">
        <is>
          <t>industry_anchor</t>
        </is>
      </c>
      <c r="F372" t="inlineStr">
        <is>
          <t>TÜV Rheinland Berlin Brandenburg Pfalz e.V.</t>
        </is>
      </c>
      <c r="G372" t="inlineStr">
        <is>
          <t>context_actor</t>
        </is>
      </c>
      <c r="H372" t="inlineStr">
        <is>
          <t>chamber_association_anchor</t>
        </is>
      </c>
      <c r="I372" t="n">
        <v>31</v>
      </c>
      <c r="J372" t="n">
        <v>0</v>
      </c>
      <c r="K372" t="n">
        <v>0.02040816</v>
      </c>
      <c r="L372" t="n">
        <v>0.03846154</v>
      </c>
      <c r="M372" t="n">
        <v>0.0588697</v>
      </c>
      <c r="N372" t="n">
        <v>0.75794741</v>
      </c>
      <c r="O372" t="n">
        <v>23.49637</v>
      </c>
      <c r="P372" t="n">
        <v>0.09090909</v>
      </c>
      <c r="Q372" t="n">
        <v>0.25</v>
      </c>
      <c r="R372" t="n">
        <v>0.34090909</v>
      </c>
      <c r="S372" t="n">
        <v>1.09730114</v>
      </c>
      <c r="T372" t="n">
        <v>0.91197399</v>
      </c>
      <c r="U372" t="n">
        <v>28.271194</v>
      </c>
      <c r="V372" t="b">
        <v>0</v>
      </c>
      <c r="W372" t="n">
        <v>0</v>
      </c>
      <c r="X372" t="inlineStr">
        <is>
          <t>role_subrole_balanced_score = base_support_score * capped sqrt(avg_macro_multiplier * avg_subrole_multiplier); role/subrole quota constraints use inverse weights.</t>
        </is>
      </c>
    </row>
    <row r="373">
      <c r="A373" t="inlineStr">
        <is>
          <t>C0372</t>
        </is>
      </c>
      <c r="B373" t="inlineStr">
        <is>
          <t>x_0372</t>
        </is>
      </c>
      <c r="C373" t="inlineStr">
        <is>
          <t>Rheinland-Pfälzische Technische Universität Kaiserslautern-Landau (RPTU)</t>
        </is>
      </c>
      <c r="D373" t="inlineStr">
        <is>
          <t>academic_support</t>
        </is>
      </c>
      <c r="E373" t="inlineStr">
        <is>
          <t>university_research</t>
        </is>
      </c>
      <c r="F373" t="inlineStr">
        <is>
          <t>SCHOTT AG</t>
        </is>
      </c>
      <c r="G373" t="inlineStr">
        <is>
          <t>profit_anchor</t>
        </is>
      </c>
      <c r="H373" t="inlineStr">
        <is>
          <t>industry_anchor</t>
        </is>
      </c>
      <c r="I373" t="n">
        <v>31</v>
      </c>
      <c r="J373" t="n">
        <v>0</v>
      </c>
      <c r="K373" t="n">
        <v>0.05555556</v>
      </c>
      <c r="L373" t="n">
        <v>0.02040816</v>
      </c>
      <c r="M373" t="n">
        <v>0.07596372</v>
      </c>
      <c r="N373" t="n">
        <v>0.97803288</v>
      </c>
      <c r="O373" t="n">
        <v>30.319019</v>
      </c>
      <c r="P373" t="n">
        <v>0.14285714</v>
      </c>
      <c r="Q373" t="n">
        <v>0.09090909</v>
      </c>
      <c r="R373" t="n">
        <v>0.23376623</v>
      </c>
      <c r="S373" t="n">
        <v>0.75243506</v>
      </c>
      <c r="T373" t="n">
        <v>0.85784977</v>
      </c>
      <c r="U373" t="n">
        <v>26.593343</v>
      </c>
      <c r="V373" t="b">
        <v>1</v>
      </c>
      <c r="W373" t="n">
        <v>1</v>
      </c>
      <c r="X373" t="inlineStr">
        <is>
          <t>role_subrole_balanced_score = base_support_score * capped sqrt(avg_macro_multiplier * avg_subrole_multiplier); role/subrole quota constraints use inverse weights.</t>
        </is>
      </c>
    </row>
    <row r="374">
      <c r="A374" t="inlineStr">
        <is>
          <t>C0373</t>
        </is>
      </c>
      <c r="B374" t="inlineStr">
        <is>
          <t>x_0373</t>
        </is>
      </c>
      <c r="C374" t="inlineStr">
        <is>
          <t>Rheinland-Pfälzische Technische Universität Kaiserslautern-Landau (RPTU)</t>
        </is>
      </c>
      <c r="D374" t="inlineStr">
        <is>
          <t>academic_support</t>
        </is>
      </c>
      <c r="E374" t="inlineStr">
        <is>
          <t>university_research</t>
        </is>
      </c>
      <c r="F374" t="inlineStr">
        <is>
          <t>thyssenkrupp Rasselstein GmbH</t>
        </is>
      </c>
      <c r="G374" t="inlineStr">
        <is>
          <t>profit_anchor</t>
        </is>
      </c>
      <c r="H374" t="inlineStr">
        <is>
          <t>industry_anchor</t>
        </is>
      </c>
      <c r="I374" t="n">
        <v>31</v>
      </c>
      <c r="J374" t="n">
        <v>0</v>
      </c>
      <c r="K374" t="n">
        <v>0.05555556</v>
      </c>
      <c r="L374" t="n">
        <v>0.02040816</v>
      </c>
      <c r="M374" t="n">
        <v>0.07596372</v>
      </c>
      <c r="N374" t="n">
        <v>0.97803288</v>
      </c>
      <c r="O374" t="n">
        <v>30.319019</v>
      </c>
      <c r="P374" t="n">
        <v>0.14285714</v>
      </c>
      <c r="Q374" t="n">
        <v>0.09090909</v>
      </c>
      <c r="R374" t="n">
        <v>0.23376623</v>
      </c>
      <c r="S374" t="n">
        <v>0.75243506</v>
      </c>
      <c r="T374" t="n">
        <v>0.85784977</v>
      </c>
      <c r="U374" t="n">
        <v>26.593343</v>
      </c>
      <c r="V374" t="b">
        <v>1</v>
      </c>
      <c r="W374" t="n">
        <v>1</v>
      </c>
      <c r="X374" t="inlineStr">
        <is>
          <t>role_subrole_balanced_score = base_support_score * capped sqrt(avg_macro_multiplier * avg_subrole_multiplier); role/subrole quota constraints use inverse weights.</t>
        </is>
      </c>
    </row>
    <row r="375">
      <c r="A375" t="inlineStr">
        <is>
          <t>C0374</t>
        </is>
      </c>
      <c r="B375" t="inlineStr">
        <is>
          <t>x_0374</t>
        </is>
      </c>
      <c r="C375" t="inlineStr">
        <is>
          <t>Aturas GmbH</t>
        </is>
      </c>
      <c r="D375" t="inlineStr">
        <is>
          <t>profit_anchor</t>
        </is>
      </c>
      <c r="E375" t="inlineStr">
        <is>
          <t>technology_digital_anchor</t>
        </is>
      </c>
      <c r="F375" t="inlineStr">
        <is>
          <t>Deutsche Universität für Verwaltungswissenschaften Speyer</t>
        </is>
      </c>
      <c r="G375" t="inlineStr">
        <is>
          <t>academic_support</t>
        </is>
      </c>
      <c r="H375" t="inlineStr">
        <is>
          <t>university_research</t>
        </is>
      </c>
      <c r="I375" t="n">
        <v>31</v>
      </c>
      <c r="J375" t="n">
        <v>0</v>
      </c>
      <c r="K375" t="n">
        <v>0.02040816</v>
      </c>
      <c r="L375" t="n">
        <v>0.05555556</v>
      </c>
      <c r="M375" t="n">
        <v>0.07596372</v>
      </c>
      <c r="N375" t="n">
        <v>0.97803288</v>
      </c>
      <c r="O375" t="n">
        <v>30.319019</v>
      </c>
      <c r="P375" t="n">
        <v>0.11111111</v>
      </c>
      <c r="Q375" t="n">
        <v>0.14285714</v>
      </c>
      <c r="R375" t="n">
        <v>0.25396825</v>
      </c>
      <c r="S375" t="n">
        <v>0.81746032</v>
      </c>
      <c r="T375" t="n">
        <v>0.89414935</v>
      </c>
      <c r="U375" t="n">
        <v>27.71863</v>
      </c>
      <c r="V375" t="b">
        <v>1</v>
      </c>
      <c r="W375" t="n">
        <v>1</v>
      </c>
      <c r="X375" t="inlineStr">
        <is>
          <t>role_subrole_balanced_score = base_support_score * capped sqrt(avg_macro_multiplier * avg_subrole_multiplier); role/subrole quota constraints use inverse weights.</t>
        </is>
      </c>
    </row>
    <row r="376">
      <c r="A376" t="inlineStr">
        <is>
          <t>C0375</t>
        </is>
      </c>
      <c r="B376" t="inlineStr">
        <is>
          <t>x_0375</t>
        </is>
      </c>
      <c r="C376" t="inlineStr">
        <is>
          <t>Aturas GmbH</t>
        </is>
      </c>
      <c r="D376" t="inlineStr">
        <is>
          <t>profit_anchor</t>
        </is>
      </c>
      <c r="E376" t="inlineStr">
        <is>
          <t>technology_digital_anchor</t>
        </is>
      </c>
      <c r="F376" t="inlineStr">
        <is>
          <t>Rheinland-Pfälzische Technische Universität Kaiserslautern-Landau (RPTU)</t>
        </is>
      </c>
      <c r="G376" t="inlineStr">
        <is>
          <t>academic_support</t>
        </is>
      </c>
      <c r="H376" t="inlineStr">
        <is>
          <t>university_research</t>
        </is>
      </c>
      <c r="I376" t="n">
        <v>31</v>
      </c>
      <c r="J376" t="n">
        <v>0</v>
      </c>
      <c r="K376" t="n">
        <v>0.02040816</v>
      </c>
      <c r="L376" t="n">
        <v>0.05555556</v>
      </c>
      <c r="M376" t="n">
        <v>0.07596372</v>
      </c>
      <c r="N376" t="n">
        <v>0.97803288</v>
      </c>
      <c r="O376" t="n">
        <v>30.319019</v>
      </c>
      <c r="P376" t="n">
        <v>0.11111111</v>
      </c>
      <c r="Q376" t="n">
        <v>0.14285714</v>
      </c>
      <c r="R376" t="n">
        <v>0.25396825</v>
      </c>
      <c r="S376" t="n">
        <v>0.81746032</v>
      </c>
      <c r="T376" t="n">
        <v>0.89414935</v>
      </c>
      <c r="U376" t="n">
        <v>27.71863</v>
      </c>
      <c r="V376" t="b">
        <v>1</v>
      </c>
      <c r="W376" t="n">
        <v>1</v>
      </c>
      <c r="X376" t="inlineStr">
        <is>
          <t>role_subrole_balanced_score = base_support_score * capped sqrt(avg_macro_multiplier * avg_subrole_multiplier); role/subrole quota constraints use inverse weights.</t>
        </is>
      </c>
    </row>
    <row r="377">
      <c r="A377" t="inlineStr">
        <is>
          <t>C0376</t>
        </is>
      </c>
      <c r="B377" t="inlineStr">
        <is>
          <t>x_0376</t>
        </is>
      </c>
      <c r="C377" t="inlineStr">
        <is>
          <t>Aturas GmbH</t>
        </is>
      </c>
      <c r="D377" t="inlineStr">
        <is>
          <t>profit_anchor</t>
        </is>
      </c>
      <c r="E377" t="inlineStr">
        <is>
          <t>technology_digital_anchor</t>
        </is>
      </c>
      <c r="F377" t="inlineStr">
        <is>
          <t>robotspaceship</t>
        </is>
      </c>
      <c r="G377" t="inlineStr">
        <is>
          <t>context_actor</t>
        </is>
      </c>
      <c r="H377" t="inlineStr">
        <is>
          <t>technology_digital_anchor</t>
        </is>
      </c>
      <c r="I377" t="n">
        <v>31</v>
      </c>
      <c r="J377" t="n">
        <v>0</v>
      </c>
      <c r="K377" t="n">
        <v>0.02040816</v>
      </c>
      <c r="L377" t="n">
        <v>0.03846154</v>
      </c>
      <c r="M377" t="n">
        <v>0.0588697</v>
      </c>
      <c r="N377" t="n">
        <v>0.75794741</v>
      </c>
      <c r="O377" t="n">
        <v>23.49637</v>
      </c>
      <c r="P377" t="n">
        <v>0.11111111</v>
      </c>
      <c r="Q377" t="n">
        <v>0.11111111</v>
      </c>
      <c r="R377" t="n">
        <v>0.22222222</v>
      </c>
      <c r="S377" t="n">
        <v>0.71527778</v>
      </c>
      <c r="T377" t="n">
        <v>0.73630356</v>
      </c>
      <c r="U377" t="n">
        <v>22.82541</v>
      </c>
      <c r="V377" t="b">
        <v>0</v>
      </c>
      <c r="W377" t="n">
        <v>0</v>
      </c>
      <c r="X377" t="inlineStr">
        <is>
          <t>role_subrole_balanced_score = base_support_score * capped sqrt(avg_macro_multiplier * avg_subrole_multiplier); role/subrole quota constraints use inverse weights.</t>
        </is>
      </c>
    </row>
    <row r="378">
      <c r="A378" t="inlineStr">
        <is>
          <t>C0377</t>
        </is>
      </c>
      <c r="B378" t="inlineStr">
        <is>
          <t>x_0377</t>
        </is>
      </c>
      <c r="C378" t="inlineStr">
        <is>
          <t>BRICKMAKERS AG</t>
        </is>
      </c>
      <c r="D378" t="inlineStr">
        <is>
          <t>profit_anchor</t>
        </is>
      </c>
      <c r="E378" t="inlineStr">
        <is>
          <t>technology_digital_anchor</t>
        </is>
      </c>
      <c r="F378" t="inlineStr">
        <is>
          <t>Hochschule Kaiserslautern</t>
        </is>
      </c>
      <c r="G378" t="inlineStr">
        <is>
          <t>academic_support</t>
        </is>
      </c>
      <c r="H378" t="inlineStr">
        <is>
          <t>university_applied_sciences</t>
        </is>
      </c>
      <c r="I378" t="n">
        <v>31</v>
      </c>
      <c r="J378" t="n">
        <v>0</v>
      </c>
      <c r="K378" t="n">
        <v>0.02040816</v>
      </c>
      <c r="L378" t="n">
        <v>0.05555556</v>
      </c>
      <c r="M378" t="n">
        <v>0.07596372</v>
      </c>
      <c r="N378" t="n">
        <v>0.97803288</v>
      </c>
      <c r="O378" t="n">
        <v>30.319019</v>
      </c>
      <c r="P378" t="n">
        <v>0.11111111</v>
      </c>
      <c r="Q378" t="n">
        <v>0.09090909</v>
      </c>
      <c r="R378" t="n">
        <v>0.2020202</v>
      </c>
      <c r="S378" t="n">
        <v>0.6502525300000001</v>
      </c>
      <c r="T378" t="n">
        <v>0.7974762399999999</v>
      </c>
      <c r="U378" t="n">
        <v>24.721763</v>
      </c>
      <c r="V378" t="b">
        <v>1</v>
      </c>
      <c r="W378" t="n">
        <v>1</v>
      </c>
      <c r="X378" t="inlineStr">
        <is>
          <t>role_subrole_balanced_score = base_support_score * capped sqrt(avg_macro_multiplier * avg_subrole_multiplier); role/subrole quota constraints use inverse weights.</t>
        </is>
      </c>
    </row>
    <row r="379">
      <c r="A379" t="inlineStr">
        <is>
          <t>C0378</t>
        </is>
      </c>
      <c r="B379" t="inlineStr">
        <is>
          <t>x_0378</t>
        </is>
      </c>
      <c r="C379" t="inlineStr">
        <is>
          <t>BRICKMAKERS AG</t>
        </is>
      </c>
      <c r="D379" t="inlineStr">
        <is>
          <t>profit_anchor</t>
        </is>
      </c>
      <c r="E379" t="inlineStr">
        <is>
          <t>technology_digital_anchor</t>
        </is>
      </c>
      <c r="F379" t="inlineStr">
        <is>
          <t>Hochschule Mainz</t>
        </is>
      </c>
      <c r="G379" t="inlineStr">
        <is>
          <t>academic_support</t>
        </is>
      </c>
      <c r="H379" t="inlineStr">
        <is>
          <t>university_applied_sciences</t>
        </is>
      </c>
      <c r="I379" t="n">
        <v>31</v>
      </c>
      <c r="J379" t="n">
        <v>0</v>
      </c>
      <c r="K379" t="n">
        <v>0.02040816</v>
      </c>
      <c r="L379" t="n">
        <v>0.05555556</v>
      </c>
      <c r="M379" t="n">
        <v>0.07596372</v>
      </c>
      <c r="N379" t="n">
        <v>0.97803288</v>
      </c>
      <c r="O379" t="n">
        <v>30.319019</v>
      </c>
      <c r="P379" t="n">
        <v>0.11111111</v>
      </c>
      <c r="Q379" t="n">
        <v>0.09090909</v>
      </c>
      <c r="R379" t="n">
        <v>0.2020202</v>
      </c>
      <c r="S379" t="n">
        <v>0.6502525300000001</v>
      </c>
      <c r="T379" t="n">
        <v>0.7974762399999999</v>
      </c>
      <c r="U379" t="n">
        <v>24.721763</v>
      </c>
      <c r="V379" t="b">
        <v>1</v>
      </c>
      <c r="W379" t="n">
        <v>1</v>
      </c>
      <c r="X379" t="inlineStr">
        <is>
          <t>role_subrole_balanced_score = base_support_score * capped sqrt(avg_macro_multiplier * avg_subrole_multiplier); role/subrole quota constraints use inverse weights.</t>
        </is>
      </c>
    </row>
    <row r="380">
      <c r="A380" t="inlineStr">
        <is>
          <t>C0379</t>
        </is>
      </c>
      <c r="B380" t="inlineStr">
        <is>
          <t>x_0379</t>
        </is>
      </c>
      <c r="C380" t="inlineStr">
        <is>
          <t>BRICKMAKERS AG</t>
        </is>
      </c>
      <c r="D380" t="inlineStr">
        <is>
          <t>profit_anchor</t>
        </is>
      </c>
      <c r="E380" t="inlineStr">
        <is>
          <t>technology_digital_anchor</t>
        </is>
      </c>
      <c r="F380" t="inlineStr">
        <is>
          <t>Johannes Gutenberg-Universität Mainz</t>
        </is>
      </c>
      <c r="G380" t="inlineStr">
        <is>
          <t>academic_support</t>
        </is>
      </c>
      <c r="H380" t="inlineStr">
        <is>
          <t>university_research</t>
        </is>
      </c>
      <c r="I380" t="n">
        <v>31</v>
      </c>
      <c r="J380" t="n">
        <v>0</v>
      </c>
      <c r="K380" t="n">
        <v>0.02040816</v>
      </c>
      <c r="L380" t="n">
        <v>0.05555556</v>
      </c>
      <c r="M380" t="n">
        <v>0.07596372</v>
      </c>
      <c r="N380" t="n">
        <v>0.97803288</v>
      </c>
      <c r="O380" t="n">
        <v>30.319019</v>
      </c>
      <c r="P380" t="n">
        <v>0.11111111</v>
      </c>
      <c r="Q380" t="n">
        <v>0.14285714</v>
      </c>
      <c r="R380" t="n">
        <v>0.25396825</v>
      </c>
      <c r="S380" t="n">
        <v>0.81746032</v>
      </c>
      <c r="T380" t="n">
        <v>0.89414935</v>
      </c>
      <c r="U380" t="n">
        <v>27.71863</v>
      </c>
      <c r="V380" t="b">
        <v>1</v>
      </c>
      <c r="W380" t="n">
        <v>1</v>
      </c>
      <c r="X380" t="inlineStr">
        <is>
          <t>role_subrole_balanced_score = base_support_score * capped sqrt(avg_macro_multiplier * avg_subrole_multiplier); role/subrole quota constraints use inverse weights.</t>
        </is>
      </c>
    </row>
    <row r="381">
      <c r="A381" t="inlineStr">
        <is>
          <t>C0380</t>
        </is>
      </c>
      <c r="B381" t="inlineStr">
        <is>
          <t>x_0380</t>
        </is>
      </c>
      <c r="C381" t="inlineStr">
        <is>
          <t>BRICKMAKERS AG</t>
        </is>
      </c>
      <c r="D381" t="inlineStr">
        <is>
          <t>profit_anchor</t>
        </is>
      </c>
      <c r="E381" t="inlineStr">
        <is>
          <t>technology_digital_anchor</t>
        </is>
      </c>
      <c r="F381" t="inlineStr">
        <is>
          <t>SmartFactory KL e.V.</t>
        </is>
      </c>
      <c r="G381" t="inlineStr">
        <is>
          <t>context_actor</t>
        </is>
      </c>
      <c r="H381" t="inlineStr">
        <is>
          <t>technology_digital_anchor</t>
        </is>
      </c>
      <c r="I381" t="n">
        <v>31</v>
      </c>
      <c r="J381" t="n">
        <v>0</v>
      </c>
      <c r="K381" t="n">
        <v>0.02040816</v>
      </c>
      <c r="L381" t="n">
        <v>0.03846154</v>
      </c>
      <c r="M381" t="n">
        <v>0.0588697</v>
      </c>
      <c r="N381" t="n">
        <v>0.75794741</v>
      </c>
      <c r="O381" t="n">
        <v>23.49637</v>
      </c>
      <c r="P381" t="n">
        <v>0.11111111</v>
      </c>
      <c r="Q381" t="n">
        <v>0.11111111</v>
      </c>
      <c r="R381" t="n">
        <v>0.22222222</v>
      </c>
      <c r="S381" t="n">
        <v>0.71527778</v>
      </c>
      <c r="T381" t="n">
        <v>0.73630356</v>
      </c>
      <c r="U381" t="n">
        <v>22.82541</v>
      </c>
      <c r="V381" t="b">
        <v>0</v>
      </c>
      <c r="W381" t="n">
        <v>0</v>
      </c>
      <c r="X381" t="inlineStr">
        <is>
          <t>role_subrole_balanced_score = base_support_score * capped sqrt(avg_macro_multiplier * avg_subrole_multiplier); role/subrole quota constraints use inverse weights.</t>
        </is>
      </c>
    </row>
    <row r="382">
      <c r="A382" t="inlineStr">
        <is>
          <t>C0381</t>
        </is>
      </c>
      <c r="B382" t="inlineStr">
        <is>
          <t>x_0381</t>
        </is>
      </c>
      <c r="C382" t="inlineStr">
        <is>
          <t>BRICKMAKERS AG</t>
        </is>
      </c>
      <c r="D382" t="inlineStr">
        <is>
          <t>profit_anchor</t>
        </is>
      </c>
      <c r="E382" t="inlineStr">
        <is>
          <t>technology_digital_anchor</t>
        </is>
      </c>
      <c r="F382" t="inlineStr">
        <is>
          <t>TÜV Rheinland Berlin Brandenburg Pfalz e.V.</t>
        </is>
      </c>
      <c r="G382" t="inlineStr">
        <is>
          <t>context_actor</t>
        </is>
      </c>
      <c r="H382" t="inlineStr">
        <is>
          <t>chamber_association_anchor</t>
        </is>
      </c>
      <c r="I382" t="n">
        <v>31</v>
      </c>
      <c r="J382" t="n">
        <v>0</v>
      </c>
      <c r="K382" t="n">
        <v>0.02040816</v>
      </c>
      <c r="L382" t="n">
        <v>0.03846154</v>
      </c>
      <c r="M382" t="n">
        <v>0.0588697</v>
      </c>
      <c r="N382" t="n">
        <v>0.75794741</v>
      </c>
      <c r="O382" t="n">
        <v>23.49637</v>
      </c>
      <c r="P382" t="n">
        <v>0.11111111</v>
      </c>
      <c r="Q382" t="n">
        <v>0.25</v>
      </c>
      <c r="R382" t="n">
        <v>0.36111111</v>
      </c>
      <c r="S382" t="n">
        <v>1.16232639</v>
      </c>
      <c r="T382" t="n">
        <v>0.93860656</v>
      </c>
      <c r="U382" t="n">
        <v>29.096803</v>
      </c>
      <c r="V382" t="b">
        <v>0</v>
      </c>
      <c r="W382" t="n">
        <v>0</v>
      </c>
      <c r="X382" t="inlineStr">
        <is>
          <t>role_subrole_balanced_score = base_support_score * capped sqrt(avg_macro_multiplier * avg_subrole_multiplier); role/subrole quota constraints use inverse weights.</t>
        </is>
      </c>
    </row>
    <row r="383">
      <c r="A383" t="inlineStr">
        <is>
          <t>C0382</t>
        </is>
      </c>
      <c r="B383" t="inlineStr">
        <is>
          <t>x_0382</t>
        </is>
      </c>
      <c r="C383" t="inlineStr">
        <is>
          <t>BRICKMAKERS AG</t>
        </is>
      </c>
      <c r="D383" t="inlineStr">
        <is>
          <t>profit_anchor</t>
        </is>
      </c>
      <c r="E383" t="inlineStr">
        <is>
          <t>technology_digital_anchor</t>
        </is>
      </c>
      <c r="F383" t="inlineStr">
        <is>
          <t>Universität Koblenz</t>
        </is>
      </c>
      <c r="G383" t="inlineStr">
        <is>
          <t>academic_support</t>
        </is>
      </c>
      <c r="H383" t="inlineStr">
        <is>
          <t>university_research</t>
        </is>
      </c>
      <c r="I383" t="n">
        <v>31</v>
      </c>
      <c r="J383" t="n">
        <v>0</v>
      </c>
      <c r="K383" t="n">
        <v>0.02040816</v>
      </c>
      <c r="L383" t="n">
        <v>0.05555556</v>
      </c>
      <c r="M383" t="n">
        <v>0.07596372</v>
      </c>
      <c r="N383" t="n">
        <v>0.97803288</v>
      </c>
      <c r="O383" t="n">
        <v>30.319019</v>
      </c>
      <c r="P383" t="n">
        <v>0.11111111</v>
      </c>
      <c r="Q383" t="n">
        <v>0.14285714</v>
      </c>
      <c r="R383" t="n">
        <v>0.25396825</v>
      </c>
      <c r="S383" t="n">
        <v>0.81746032</v>
      </c>
      <c r="T383" t="n">
        <v>0.89414935</v>
      </c>
      <c r="U383" t="n">
        <v>27.71863</v>
      </c>
      <c r="V383" t="b">
        <v>1</v>
      </c>
      <c r="W383" t="n">
        <v>1</v>
      </c>
      <c r="X383" t="inlineStr">
        <is>
          <t>role_subrole_balanced_score = base_support_score * capped sqrt(avg_macro_multiplier * avg_subrole_multiplier); role/subrole quota constraints use inverse weights.</t>
        </is>
      </c>
    </row>
    <row r="384">
      <c r="A384" t="inlineStr">
        <is>
          <t>C0383</t>
        </is>
      </c>
      <c r="B384" t="inlineStr">
        <is>
          <t>x_0383</t>
        </is>
      </c>
      <c r="C384" t="inlineStr">
        <is>
          <t>BRICKMAKERS AG</t>
        </is>
      </c>
      <c r="D384" t="inlineStr">
        <is>
          <t>profit_anchor</t>
        </is>
      </c>
      <c r="E384" t="inlineStr">
        <is>
          <t>technology_digital_anchor</t>
        </is>
      </c>
      <c r="F384" t="inlineStr">
        <is>
          <t>Universität Trier</t>
        </is>
      </c>
      <c r="G384" t="inlineStr">
        <is>
          <t>academic_support</t>
        </is>
      </c>
      <c r="H384" t="inlineStr">
        <is>
          <t>university_research</t>
        </is>
      </c>
      <c r="I384" t="n">
        <v>31</v>
      </c>
      <c r="J384" t="n">
        <v>0</v>
      </c>
      <c r="K384" t="n">
        <v>0.02040816</v>
      </c>
      <c r="L384" t="n">
        <v>0.05555556</v>
      </c>
      <c r="M384" t="n">
        <v>0.07596372</v>
      </c>
      <c r="N384" t="n">
        <v>0.97803288</v>
      </c>
      <c r="O384" t="n">
        <v>30.319019</v>
      </c>
      <c r="P384" t="n">
        <v>0.11111111</v>
      </c>
      <c r="Q384" t="n">
        <v>0.14285714</v>
      </c>
      <c r="R384" t="n">
        <v>0.25396825</v>
      </c>
      <c r="S384" t="n">
        <v>0.81746032</v>
      </c>
      <c r="T384" t="n">
        <v>0.89414935</v>
      </c>
      <c r="U384" t="n">
        <v>27.71863</v>
      </c>
      <c r="V384" t="b">
        <v>1</v>
      </c>
      <c r="W384" t="n">
        <v>1</v>
      </c>
      <c r="X384" t="inlineStr">
        <is>
          <t>role_subrole_balanced_score = base_support_score * capped sqrt(avg_macro_multiplier * avg_subrole_multiplier); role/subrole quota constraints use inverse weights.</t>
        </is>
      </c>
    </row>
    <row r="385">
      <c r="A385" t="inlineStr">
        <is>
          <t>C0384</t>
        </is>
      </c>
      <c r="B385" t="inlineStr">
        <is>
          <t>x_0384</t>
        </is>
      </c>
      <c r="C385" t="inlineStr">
        <is>
          <t>Deutsche Telekom AG</t>
        </is>
      </c>
      <c r="D385" t="inlineStr">
        <is>
          <t>profit_anchor</t>
        </is>
      </c>
      <c r="E385" t="inlineStr">
        <is>
          <t>technology_digital_anchor</t>
        </is>
      </c>
      <c r="F385" t="inlineStr">
        <is>
          <t>Hochschule Kaiserslautern</t>
        </is>
      </c>
      <c r="G385" t="inlineStr">
        <is>
          <t>academic_support</t>
        </is>
      </c>
      <c r="H385" t="inlineStr">
        <is>
          <t>university_applied_sciences</t>
        </is>
      </c>
      <c r="I385" t="n">
        <v>31</v>
      </c>
      <c r="J385" t="n">
        <v>0</v>
      </c>
      <c r="K385" t="n">
        <v>0.02040816</v>
      </c>
      <c r="L385" t="n">
        <v>0.05555556</v>
      </c>
      <c r="M385" t="n">
        <v>0.07596372</v>
      </c>
      <c r="N385" t="n">
        <v>0.97803288</v>
      </c>
      <c r="O385" t="n">
        <v>30.319019</v>
      </c>
      <c r="P385" t="n">
        <v>0.11111111</v>
      </c>
      <c r="Q385" t="n">
        <v>0.09090909</v>
      </c>
      <c r="R385" t="n">
        <v>0.2020202</v>
      </c>
      <c r="S385" t="n">
        <v>0.6502525300000001</v>
      </c>
      <c r="T385" t="n">
        <v>0.7974762399999999</v>
      </c>
      <c r="U385" t="n">
        <v>24.721763</v>
      </c>
      <c r="V385" t="b">
        <v>1</v>
      </c>
      <c r="W385" t="n">
        <v>1</v>
      </c>
      <c r="X385" t="inlineStr">
        <is>
          <t>role_subrole_balanced_score = base_support_score * capped sqrt(avg_macro_multiplier * avg_subrole_multiplier); role/subrole quota constraints use inverse weights.</t>
        </is>
      </c>
    </row>
    <row r="386">
      <c r="A386" t="inlineStr">
        <is>
          <t>C0385</t>
        </is>
      </c>
      <c r="B386" t="inlineStr">
        <is>
          <t>x_0385</t>
        </is>
      </c>
      <c r="C386" t="inlineStr">
        <is>
          <t>Deutsche Telekom AG</t>
        </is>
      </c>
      <c r="D386" t="inlineStr">
        <is>
          <t>profit_anchor</t>
        </is>
      </c>
      <c r="E386" t="inlineStr">
        <is>
          <t>technology_digital_anchor</t>
        </is>
      </c>
      <c r="F386" t="inlineStr">
        <is>
          <t>Hochschule Mainz</t>
        </is>
      </c>
      <c r="G386" t="inlineStr">
        <is>
          <t>academic_support</t>
        </is>
      </c>
      <c r="H386" t="inlineStr">
        <is>
          <t>university_applied_sciences</t>
        </is>
      </c>
      <c r="I386" t="n">
        <v>31</v>
      </c>
      <c r="J386" t="n">
        <v>0</v>
      </c>
      <c r="K386" t="n">
        <v>0.02040816</v>
      </c>
      <c r="L386" t="n">
        <v>0.05555556</v>
      </c>
      <c r="M386" t="n">
        <v>0.07596372</v>
      </c>
      <c r="N386" t="n">
        <v>0.97803288</v>
      </c>
      <c r="O386" t="n">
        <v>30.319019</v>
      </c>
      <c r="P386" t="n">
        <v>0.11111111</v>
      </c>
      <c r="Q386" t="n">
        <v>0.09090909</v>
      </c>
      <c r="R386" t="n">
        <v>0.2020202</v>
      </c>
      <c r="S386" t="n">
        <v>0.6502525300000001</v>
      </c>
      <c r="T386" t="n">
        <v>0.7974762399999999</v>
      </c>
      <c r="U386" t="n">
        <v>24.721763</v>
      </c>
      <c r="V386" t="b">
        <v>1</v>
      </c>
      <c r="W386" t="n">
        <v>1</v>
      </c>
      <c r="X386" t="inlineStr">
        <is>
          <t>role_subrole_balanced_score = base_support_score * capped sqrt(avg_macro_multiplier * avg_subrole_multiplier); role/subrole quota constraints use inverse weights.</t>
        </is>
      </c>
    </row>
    <row r="387">
      <c r="A387" t="inlineStr">
        <is>
          <t>C0386</t>
        </is>
      </c>
      <c r="B387" t="inlineStr">
        <is>
          <t>x_0386</t>
        </is>
      </c>
      <c r="C387" t="inlineStr">
        <is>
          <t>Deutsche Telekom AG</t>
        </is>
      </c>
      <c r="D387" t="inlineStr">
        <is>
          <t>profit_anchor</t>
        </is>
      </c>
      <c r="E387" t="inlineStr">
        <is>
          <t>technology_digital_anchor</t>
        </is>
      </c>
      <c r="F387" t="inlineStr">
        <is>
          <t>Johannes Gutenberg-Universität Mainz</t>
        </is>
      </c>
      <c r="G387" t="inlineStr">
        <is>
          <t>academic_support</t>
        </is>
      </c>
      <c r="H387" t="inlineStr">
        <is>
          <t>university_research</t>
        </is>
      </c>
      <c r="I387" t="n">
        <v>31</v>
      </c>
      <c r="J387" t="n">
        <v>0</v>
      </c>
      <c r="K387" t="n">
        <v>0.02040816</v>
      </c>
      <c r="L387" t="n">
        <v>0.05555556</v>
      </c>
      <c r="M387" t="n">
        <v>0.07596372</v>
      </c>
      <c r="N387" t="n">
        <v>0.97803288</v>
      </c>
      <c r="O387" t="n">
        <v>30.319019</v>
      </c>
      <c r="P387" t="n">
        <v>0.11111111</v>
      </c>
      <c r="Q387" t="n">
        <v>0.14285714</v>
      </c>
      <c r="R387" t="n">
        <v>0.25396825</v>
      </c>
      <c r="S387" t="n">
        <v>0.81746032</v>
      </c>
      <c r="T387" t="n">
        <v>0.89414935</v>
      </c>
      <c r="U387" t="n">
        <v>27.71863</v>
      </c>
      <c r="V387" t="b">
        <v>1</v>
      </c>
      <c r="W387" t="n">
        <v>1</v>
      </c>
      <c r="X387" t="inlineStr">
        <is>
          <t>role_subrole_balanced_score = base_support_score * capped sqrt(avg_macro_multiplier * avg_subrole_multiplier); role/subrole quota constraints use inverse weights.</t>
        </is>
      </c>
    </row>
    <row r="388">
      <c r="A388" t="inlineStr">
        <is>
          <t>C0387</t>
        </is>
      </c>
      <c r="B388" t="inlineStr">
        <is>
          <t>x_0387</t>
        </is>
      </c>
      <c r="C388" t="inlineStr">
        <is>
          <t>Deutsche Telekom AG</t>
        </is>
      </c>
      <c r="D388" t="inlineStr">
        <is>
          <t>profit_anchor</t>
        </is>
      </c>
      <c r="E388" t="inlineStr">
        <is>
          <t>technology_digital_anchor</t>
        </is>
      </c>
      <c r="F388" t="inlineStr">
        <is>
          <t>SmartFactory KL e.V.</t>
        </is>
      </c>
      <c r="G388" t="inlineStr">
        <is>
          <t>context_actor</t>
        </is>
      </c>
      <c r="H388" t="inlineStr">
        <is>
          <t>technology_digital_anchor</t>
        </is>
      </c>
      <c r="I388" t="n">
        <v>31</v>
      </c>
      <c r="J388" t="n">
        <v>0</v>
      </c>
      <c r="K388" t="n">
        <v>0.02040816</v>
      </c>
      <c r="L388" t="n">
        <v>0.03846154</v>
      </c>
      <c r="M388" t="n">
        <v>0.0588697</v>
      </c>
      <c r="N388" t="n">
        <v>0.75794741</v>
      </c>
      <c r="O388" t="n">
        <v>23.49637</v>
      </c>
      <c r="P388" t="n">
        <v>0.11111111</v>
      </c>
      <c r="Q388" t="n">
        <v>0.11111111</v>
      </c>
      <c r="R388" t="n">
        <v>0.22222222</v>
      </c>
      <c r="S388" t="n">
        <v>0.71527778</v>
      </c>
      <c r="T388" t="n">
        <v>0.73630356</v>
      </c>
      <c r="U388" t="n">
        <v>22.82541</v>
      </c>
      <c r="V388" t="b">
        <v>0</v>
      </c>
      <c r="W388" t="n">
        <v>0</v>
      </c>
      <c r="X388" t="inlineStr">
        <is>
          <t>role_subrole_balanced_score = base_support_score * capped sqrt(avg_macro_multiplier * avg_subrole_multiplier); role/subrole quota constraints use inverse weights.</t>
        </is>
      </c>
    </row>
    <row r="389">
      <c r="A389" t="inlineStr">
        <is>
          <t>C0388</t>
        </is>
      </c>
      <c r="B389" t="inlineStr">
        <is>
          <t>x_0388</t>
        </is>
      </c>
      <c r="C389" t="inlineStr">
        <is>
          <t>Deutsche Telekom AG</t>
        </is>
      </c>
      <c r="D389" t="inlineStr">
        <is>
          <t>profit_anchor</t>
        </is>
      </c>
      <c r="E389" t="inlineStr">
        <is>
          <t>technology_digital_anchor</t>
        </is>
      </c>
      <c r="F389" t="inlineStr">
        <is>
          <t>TÜV Rheinland Berlin Brandenburg Pfalz e.V.</t>
        </is>
      </c>
      <c r="G389" t="inlineStr">
        <is>
          <t>context_actor</t>
        </is>
      </c>
      <c r="H389" t="inlineStr">
        <is>
          <t>chamber_association_anchor</t>
        </is>
      </c>
      <c r="I389" t="n">
        <v>31</v>
      </c>
      <c r="J389" t="n">
        <v>0</v>
      </c>
      <c r="K389" t="n">
        <v>0.02040816</v>
      </c>
      <c r="L389" t="n">
        <v>0.03846154</v>
      </c>
      <c r="M389" t="n">
        <v>0.0588697</v>
      </c>
      <c r="N389" t="n">
        <v>0.75794741</v>
      </c>
      <c r="O389" t="n">
        <v>23.49637</v>
      </c>
      <c r="P389" t="n">
        <v>0.11111111</v>
      </c>
      <c r="Q389" t="n">
        <v>0.25</v>
      </c>
      <c r="R389" t="n">
        <v>0.36111111</v>
      </c>
      <c r="S389" t="n">
        <v>1.16232639</v>
      </c>
      <c r="T389" t="n">
        <v>0.93860656</v>
      </c>
      <c r="U389" t="n">
        <v>29.096803</v>
      </c>
      <c r="V389" t="b">
        <v>0</v>
      </c>
      <c r="W389" t="n">
        <v>0</v>
      </c>
      <c r="X389" t="inlineStr">
        <is>
          <t>role_subrole_balanced_score = base_support_score * capped sqrt(avg_macro_multiplier * avg_subrole_multiplier); role/subrole quota constraints use inverse weights.</t>
        </is>
      </c>
    </row>
    <row r="390">
      <c r="A390" t="inlineStr">
        <is>
          <t>C0389</t>
        </is>
      </c>
      <c r="B390" t="inlineStr">
        <is>
          <t>x_0389</t>
        </is>
      </c>
      <c r="C390" t="inlineStr">
        <is>
          <t>Deutsche Telekom AG</t>
        </is>
      </c>
      <c r="D390" t="inlineStr">
        <is>
          <t>profit_anchor</t>
        </is>
      </c>
      <c r="E390" t="inlineStr">
        <is>
          <t>technology_digital_anchor</t>
        </is>
      </c>
      <c r="F390" t="inlineStr">
        <is>
          <t>Universität Koblenz</t>
        </is>
      </c>
      <c r="G390" t="inlineStr">
        <is>
          <t>academic_support</t>
        </is>
      </c>
      <c r="H390" t="inlineStr">
        <is>
          <t>university_research</t>
        </is>
      </c>
      <c r="I390" t="n">
        <v>31</v>
      </c>
      <c r="J390" t="n">
        <v>0</v>
      </c>
      <c r="K390" t="n">
        <v>0.02040816</v>
      </c>
      <c r="L390" t="n">
        <v>0.05555556</v>
      </c>
      <c r="M390" t="n">
        <v>0.07596372</v>
      </c>
      <c r="N390" t="n">
        <v>0.97803288</v>
      </c>
      <c r="O390" t="n">
        <v>30.319019</v>
      </c>
      <c r="P390" t="n">
        <v>0.11111111</v>
      </c>
      <c r="Q390" t="n">
        <v>0.14285714</v>
      </c>
      <c r="R390" t="n">
        <v>0.25396825</v>
      </c>
      <c r="S390" t="n">
        <v>0.81746032</v>
      </c>
      <c r="T390" t="n">
        <v>0.89414935</v>
      </c>
      <c r="U390" t="n">
        <v>27.71863</v>
      </c>
      <c r="V390" t="b">
        <v>1</v>
      </c>
      <c r="W390" t="n">
        <v>1</v>
      </c>
      <c r="X390" t="inlineStr">
        <is>
          <t>role_subrole_balanced_score = base_support_score * capped sqrt(avg_macro_multiplier * avg_subrole_multiplier); role/subrole quota constraints use inverse weights.</t>
        </is>
      </c>
    </row>
    <row r="391">
      <c r="A391" t="inlineStr">
        <is>
          <t>C0390</t>
        </is>
      </c>
      <c r="B391" t="inlineStr">
        <is>
          <t>x_0390</t>
        </is>
      </c>
      <c r="C391" t="inlineStr">
        <is>
          <t>Deutsche Telekom AG</t>
        </is>
      </c>
      <c r="D391" t="inlineStr">
        <is>
          <t>profit_anchor</t>
        </is>
      </c>
      <c r="E391" t="inlineStr">
        <is>
          <t>technology_digital_anchor</t>
        </is>
      </c>
      <c r="F391" t="inlineStr">
        <is>
          <t>Universität Trier</t>
        </is>
      </c>
      <c r="G391" t="inlineStr">
        <is>
          <t>academic_support</t>
        </is>
      </c>
      <c r="H391" t="inlineStr">
        <is>
          <t>university_research</t>
        </is>
      </c>
      <c r="I391" t="n">
        <v>31</v>
      </c>
      <c r="J391" t="n">
        <v>0</v>
      </c>
      <c r="K391" t="n">
        <v>0.02040816</v>
      </c>
      <c r="L391" t="n">
        <v>0.05555556</v>
      </c>
      <c r="M391" t="n">
        <v>0.07596372</v>
      </c>
      <c r="N391" t="n">
        <v>0.97803288</v>
      </c>
      <c r="O391" t="n">
        <v>30.319019</v>
      </c>
      <c r="P391" t="n">
        <v>0.11111111</v>
      </c>
      <c r="Q391" t="n">
        <v>0.14285714</v>
      </c>
      <c r="R391" t="n">
        <v>0.25396825</v>
      </c>
      <c r="S391" t="n">
        <v>0.81746032</v>
      </c>
      <c r="T391" t="n">
        <v>0.89414935</v>
      </c>
      <c r="U391" t="n">
        <v>27.71863</v>
      </c>
      <c r="V391" t="b">
        <v>1</v>
      </c>
      <c r="W391" t="n">
        <v>1</v>
      </c>
      <c r="X391" t="inlineStr">
        <is>
          <t>role_subrole_balanced_score = base_support_score * capped sqrt(avg_macro_multiplier * avg_subrole_multiplier); role/subrole quota constraints use inverse weights.</t>
        </is>
      </c>
    </row>
    <row r="392">
      <c r="A392" t="inlineStr">
        <is>
          <t>C0391</t>
        </is>
      </c>
      <c r="B392" t="inlineStr">
        <is>
          <t>x_0391</t>
        </is>
      </c>
      <c r="C392" t="inlineStr">
        <is>
          <t>Deutsche Universität für Verwaltungswissenschaften Speyer</t>
        </is>
      </c>
      <c r="D392" t="inlineStr">
        <is>
          <t>academic_support</t>
        </is>
      </c>
      <c r="E392" t="inlineStr">
        <is>
          <t>university_research</t>
        </is>
      </c>
      <c r="F392" t="inlineStr">
        <is>
          <t>IQIB - Institut für qualifizierende Innovationsforschung und -beratung GmbH</t>
        </is>
      </c>
      <c r="G392" t="inlineStr">
        <is>
          <t>profit_anchor</t>
        </is>
      </c>
      <c r="H392" t="inlineStr">
        <is>
          <t>technology_digital_anchor</t>
        </is>
      </c>
      <c r="I392" t="n">
        <v>31</v>
      </c>
      <c r="J392" t="n">
        <v>0</v>
      </c>
      <c r="K392" t="n">
        <v>0.05555556</v>
      </c>
      <c r="L392" t="n">
        <v>0.02040816</v>
      </c>
      <c r="M392" t="n">
        <v>0.07596372</v>
      </c>
      <c r="N392" t="n">
        <v>0.97803288</v>
      </c>
      <c r="O392" t="n">
        <v>30.319019</v>
      </c>
      <c r="P392" t="n">
        <v>0.14285714</v>
      </c>
      <c r="Q392" t="n">
        <v>0.11111111</v>
      </c>
      <c r="R392" t="n">
        <v>0.25396825</v>
      </c>
      <c r="S392" t="n">
        <v>0.81746032</v>
      </c>
      <c r="T392" t="n">
        <v>0.89414935</v>
      </c>
      <c r="U392" t="n">
        <v>27.71863</v>
      </c>
      <c r="V392" t="b">
        <v>1</v>
      </c>
      <c r="W392" t="n">
        <v>1</v>
      </c>
      <c r="X392" t="inlineStr">
        <is>
          <t>role_subrole_balanced_score = base_support_score * capped sqrt(avg_macro_multiplier * avg_subrole_multiplier); role/subrole quota constraints use inverse weights.</t>
        </is>
      </c>
    </row>
    <row r="393">
      <c r="A393" t="inlineStr">
        <is>
          <t>C0392</t>
        </is>
      </c>
      <c r="B393" t="inlineStr">
        <is>
          <t>x_0392</t>
        </is>
      </c>
      <c r="C393" t="inlineStr">
        <is>
          <t>Deutsche Universität für Verwaltungswissenschaften Speyer</t>
        </is>
      </c>
      <c r="D393" t="inlineStr">
        <is>
          <t>academic_support</t>
        </is>
      </c>
      <c r="E393" t="inlineStr">
        <is>
          <t>university_research</t>
        </is>
      </c>
      <c r="F393" t="inlineStr">
        <is>
          <t>ITK Engineering GmbH</t>
        </is>
      </c>
      <c r="G393" t="inlineStr">
        <is>
          <t>profit_anchor</t>
        </is>
      </c>
      <c r="H393" t="inlineStr">
        <is>
          <t>technology_digital_anchor</t>
        </is>
      </c>
      <c r="I393" t="n">
        <v>31</v>
      </c>
      <c r="J393" t="n">
        <v>0</v>
      </c>
      <c r="K393" t="n">
        <v>0.05555556</v>
      </c>
      <c r="L393" t="n">
        <v>0.02040816</v>
      </c>
      <c r="M393" t="n">
        <v>0.07596372</v>
      </c>
      <c r="N393" t="n">
        <v>0.97803288</v>
      </c>
      <c r="O393" t="n">
        <v>30.319019</v>
      </c>
      <c r="P393" t="n">
        <v>0.14285714</v>
      </c>
      <c r="Q393" t="n">
        <v>0.11111111</v>
      </c>
      <c r="R393" t="n">
        <v>0.25396825</v>
      </c>
      <c r="S393" t="n">
        <v>0.81746032</v>
      </c>
      <c r="T393" t="n">
        <v>0.89414935</v>
      </c>
      <c r="U393" t="n">
        <v>27.71863</v>
      </c>
      <c r="V393" t="b">
        <v>1</v>
      </c>
      <c r="W393" t="n">
        <v>1</v>
      </c>
      <c r="X393" t="inlineStr">
        <is>
          <t>role_subrole_balanced_score = base_support_score * capped sqrt(avg_macro_multiplier * avg_subrole_multiplier); role/subrole quota constraints use inverse weights.</t>
        </is>
      </c>
    </row>
    <row r="394">
      <c r="A394" t="inlineStr">
        <is>
          <t>C0393</t>
        </is>
      </c>
      <c r="B394" t="inlineStr">
        <is>
          <t>x_0393</t>
        </is>
      </c>
      <c r="C394" t="inlineStr">
        <is>
          <t>Empolis Information Management GmbH</t>
        </is>
      </c>
      <c r="D394" t="inlineStr">
        <is>
          <t>profit_anchor</t>
        </is>
      </c>
      <c r="E394" t="inlineStr">
        <is>
          <t>technology_digital_anchor</t>
        </is>
      </c>
      <c r="F394" t="inlineStr">
        <is>
          <t>Hochschule Kaiserslautern</t>
        </is>
      </c>
      <c r="G394" t="inlineStr">
        <is>
          <t>academic_support</t>
        </is>
      </c>
      <c r="H394" t="inlineStr">
        <is>
          <t>university_applied_sciences</t>
        </is>
      </c>
      <c r="I394" t="n">
        <v>31</v>
      </c>
      <c r="J394" t="n">
        <v>0</v>
      </c>
      <c r="K394" t="n">
        <v>0.02040816</v>
      </c>
      <c r="L394" t="n">
        <v>0.05555556</v>
      </c>
      <c r="M394" t="n">
        <v>0.07596372</v>
      </c>
      <c r="N394" t="n">
        <v>0.97803288</v>
      </c>
      <c r="O394" t="n">
        <v>30.319019</v>
      </c>
      <c r="P394" t="n">
        <v>0.11111111</v>
      </c>
      <c r="Q394" t="n">
        <v>0.09090909</v>
      </c>
      <c r="R394" t="n">
        <v>0.2020202</v>
      </c>
      <c r="S394" t="n">
        <v>0.6502525300000001</v>
      </c>
      <c r="T394" t="n">
        <v>0.7974762399999999</v>
      </c>
      <c r="U394" t="n">
        <v>24.721763</v>
      </c>
      <c r="V394" t="b">
        <v>1</v>
      </c>
      <c r="W394" t="n">
        <v>1</v>
      </c>
      <c r="X394" t="inlineStr">
        <is>
          <t>role_subrole_balanced_score = base_support_score * capped sqrt(avg_macro_multiplier * avg_subrole_multiplier); role/subrole quota constraints use inverse weights.</t>
        </is>
      </c>
    </row>
    <row r="395">
      <c r="A395" t="inlineStr">
        <is>
          <t>C0394</t>
        </is>
      </c>
      <c r="B395" t="inlineStr">
        <is>
          <t>x_0394</t>
        </is>
      </c>
      <c r="C395" t="inlineStr">
        <is>
          <t>Empolis Information Management GmbH</t>
        </is>
      </c>
      <c r="D395" t="inlineStr">
        <is>
          <t>profit_anchor</t>
        </is>
      </c>
      <c r="E395" t="inlineStr">
        <is>
          <t>technology_digital_anchor</t>
        </is>
      </c>
      <c r="F395" t="inlineStr">
        <is>
          <t>Hochschule Mainz</t>
        </is>
      </c>
      <c r="G395" t="inlineStr">
        <is>
          <t>academic_support</t>
        </is>
      </c>
      <c r="H395" t="inlineStr">
        <is>
          <t>university_applied_sciences</t>
        </is>
      </c>
      <c r="I395" t="n">
        <v>31</v>
      </c>
      <c r="J395" t="n">
        <v>0</v>
      </c>
      <c r="K395" t="n">
        <v>0.02040816</v>
      </c>
      <c r="L395" t="n">
        <v>0.05555556</v>
      </c>
      <c r="M395" t="n">
        <v>0.07596372</v>
      </c>
      <c r="N395" t="n">
        <v>0.97803288</v>
      </c>
      <c r="O395" t="n">
        <v>30.319019</v>
      </c>
      <c r="P395" t="n">
        <v>0.11111111</v>
      </c>
      <c r="Q395" t="n">
        <v>0.09090909</v>
      </c>
      <c r="R395" t="n">
        <v>0.2020202</v>
      </c>
      <c r="S395" t="n">
        <v>0.6502525300000001</v>
      </c>
      <c r="T395" t="n">
        <v>0.7974762399999999</v>
      </c>
      <c r="U395" t="n">
        <v>24.721763</v>
      </c>
      <c r="V395" t="b">
        <v>1</v>
      </c>
      <c r="W395" t="n">
        <v>1</v>
      </c>
      <c r="X395" t="inlineStr">
        <is>
          <t>role_subrole_balanced_score = base_support_score * capped sqrt(avg_macro_multiplier * avg_subrole_multiplier); role/subrole quota constraints use inverse weights.</t>
        </is>
      </c>
    </row>
    <row r="396">
      <c r="A396" t="inlineStr">
        <is>
          <t>C0395</t>
        </is>
      </c>
      <c r="B396" t="inlineStr">
        <is>
          <t>x_0395</t>
        </is>
      </c>
      <c r="C396" t="inlineStr">
        <is>
          <t>Deutsche Telekom AG</t>
        </is>
      </c>
      <c r="D396" t="inlineStr">
        <is>
          <t>profit_anchor</t>
        </is>
      </c>
      <c r="E396" t="inlineStr">
        <is>
          <t>technology_digital_anchor</t>
        </is>
      </c>
      <c r="F396" t="inlineStr">
        <is>
          <t>Hochschule Mainz</t>
        </is>
      </c>
      <c r="G396" t="inlineStr">
        <is>
          <t>academic_support</t>
        </is>
      </c>
      <c r="H396" t="inlineStr">
        <is>
          <t>university_applied_sciences</t>
        </is>
      </c>
      <c r="I396" t="n">
        <v>31</v>
      </c>
      <c r="J396" t="n">
        <v>0</v>
      </c>
      <c r="K396" t="n">
        <v>0.02040816</v>
      </c>
      <c r="L396" t="n">
        <v>0.05555556</v>
      </c>
      <c r="M396" t="n">
        <v>0.07596372</v>
      </c>
      <c r="N396" t="n">
        <v>0.97803288</v>
      </c>
      <c r="O396" t="n">
        <v>30.319019</v>
      </c>
      <c r="P396" t="n">
        <v>0.11111111</v>
      </c>
      <c r="Q396" t="n">
        <v>0.09090909</v>
      </c>
      <c r="R396" t="n">
        <v>0.2020202</v>
      </c>
      <c r="S396" t="n">
        <v>0.6502525300000001</v>
      </c>
      <c r="T396" t="n">
        <v>0.7974762399999999</v>
      </c>
      <c r="U396" t="n">
        <v>24.721763</v>
      </c>
      <c r="V396" t="b">
        <v>1</v>
      </c>
      <c r="W396" t="n">
        <v>1</v>
      </c>
      <c r="X396" t="inlineStr">
        <is>
          <t>role_subrole_balanced_score = base_support_score * capped sqrt(avg_macro_multiplier * avg_subrole_multiplier); role/subrole quota constraints use inverse weights.</t>
        </is>
      </c>
    </row>
    <row r="397">
      <c r="A397" t="inlineStr">
        <is>
          <t>C0396</t>
        </is>
      </c>
      <c r="B397" t="inlineStr">
        <is>
          <t>x_0396</t>
        </is>
      </c>
      <c r="C397" t="inlineStr">
        <is>
          <t>Deutsche Telekom AG</t>
        </is>
      </c>
      <c r="D397" t="inlineStr">
        <is>
          <t>profit_anchor</t>
        </is>
      </c>
      <c r="E397" t="inlineStr">
        <is>
          <t>technology_digital_anchor</t>
        </is>
      </c>
      <c r="F397" t="inlineStr">
        <is>
          <t>RPR1.</t>
        </is>
      </c>
      <c r="G397" t="inlineStr">
        <is>
          <t>context_actor</t>
        </is>
      </c>
      <c r="H397" t="inlineStr">
        <is>
          <t>media_publicity_anchor</t>
        </is>
      </c>
      <c r="I397" t="n">
        <v>31</v>
      </c>
      <c r="J397" t="n">
        <v>0</v>
      </c>
      <c r="K397" t="n">
        <v>0.02040816</v>
      </c>
      <c r="L397" t="n">
        <v>0.03846154</v>
      </c>
      <c r="M397" t="n">
        <v>0.0588697</v>
      </c>
      <c r="N397" t="n">
        <v>0.75794741</v>
      </c>
      <c r="O397" t="n">
        <v>23.49637</v>
      </c>
      <c r="P397" t="n">
        <v>0.11111111</v>
      </c>
      <c r="Q397" t="n">
        <v>0.33333333</v>
      </c>
      <c r="R397" t="n">
        <v>0.44444444</v>
      </c>
      <c r="S397" t="n">
        <v>1.43055556</v>
      </c>
      <c r="T397" t="n">
        <v>1.04129049</v>
      </c>
      <c r="U397" t="n">
        <v>32.280005</v>
      </c>
      <c r="V397" t="b">
        <v>0</v>
      </c>
      <c r="W397" t="n">
        <v>0</v>
      </c>
      <c r="X397" t="inlineStr">
        <is>
          <t>role_subrole_balanced_score = base_support_score * capped sqrt(avg_macro_multiplier * avg_subrole_multiplier); role/subrole quota constraints use inverse weights.</t>
        </is>
      </c>
    </row>
    <row r="398">
      <c r="A398" t="inlineStr">
        <is>
          <t>C0397</t>
        </is>
      </c>
      <c r="B398" t="inlineStr">
        <is>
          <t>x_0397</t>
        </is>
      </c>
      <c r="C398" t="inlineStr">
        <is>
          <t>Deutsche Telekom AG</t>
        </is>
      </c>
      <c r="D398" t="inlineStr">
        <is>
          <t>profit_anchor</t>
        </is>
      </c>
      <c r="E398" t="inlineStr">
        <is>
          <t>technology_digital_anchor</t>
        </is>
      </c>
      <c r="F398" t="inlineStr">
        <is>
          <t>SWR – Südwestrundfunk</t>
        </is>
      </c>
      <c r="G398" t="inlineStr">
        <is>
          <t>context_actor</t>
        </is>
      </c>
      <c r="H398" t="inlineStr">
        <is>
          <t>media_publicity_anchor</t>
        </is>
      </c>
      <c r="I398" t="n">
        <v>31</v>
      </c>
      <c r="J398" t="n">
        <v>0</v>
      </c>
      <c r="K398" t="n">
        <v>0.02040816</v>
      </c>
      <c r="L398" t="n">
        <v>0.03846154</v>
      </c>
      <c r="M398" t="n">
        <v>0.0588697</v>
      </c>
      <c r="N398" t="n">
        <v>0.75794741</v>
      </c>
      <c r="O398" t="n">
        <v>23.49637</v>
      </c>
      <c r="P398" t="n">
        <v>0.11111111</v>
      </c>
      <c r="Q398" t="n">
        <v>0.33333333</v>
      </c>
      <c r="R398" t="n">
        <v>0.44444444</v>
      </c>
      <c r="S398" t="n">
        <v>1.43055556</v>
      </c>
      <c r="T398" t="n">
        <v>1.04129049</v>
      </c>
      <c r="U398" t="n">
        <v>32.280005</v>
      </c>
      <c r="V398" t="b">
        <v>0</v>
      </c>
      <c r="W398" t="n">
        <v>0</v>
      </c>
      <c r="X398" t="inlineStr">
        <is>
          <t>role_subrole_balanced_score = base_support_score * capped sqrt(avg_macro_multiplier * avg_subrole_multiplier); role/subrole quota constraints use inverse weights.</t>
        </is>
      </c>
    </row>
    <row r="399">
      <c r="A399" t="inlineStr">
        <is>
          <t>C0398</t>
        </is>
      </c>
      <c r="B399" t="inlineStr">
        <is>
          <t>x_0398</t>
        </is>
      </c>
      <c r="C399" t="inlineStr">
        <is>
          <t>Deutsche Telekom AG</t>
        </is>
      </c>
      <c r="D399" t="inlineStr">
        <is>
          <t>profit_anchor</t>
        </is>
      </c>
      <c r="E399" t="inlineStr">
        <is>
          <t>technology_digital_anchor</t>
        </is>
      </c>
      <c r="F399" t="inlineStr">
        <is>
          <t>ZDF – Zweites Deutsches Fernsehen</t>
        </is>
      </c>
      <c r="G399" t="inlineStr">
        <is>
          <t>context_actor</t>
        </is>
      </c>
      <c r="H399" t="inlineStr">
        <is>
          <t>media_publicity_anchor</t>
        </is>
      </c>
      <c r="I399" t="n">
        <v>31</v>
      </c>
      <c r="J399" t="n">
        <v>0</v>
      </c>
      <c r="K399" t="n">
        <v>0.02040816</v>
      </c>
      <c r="L399" t="n">
        <v>0.03846154</v>
      </c>
      <c r="M399" t="n">
        <v>0.0588697</v>
      </c>
      <c r="N399" t="n">
        <v>0.75794741</v>
      </c>
      <c r="O399" t="n">
        <v>23.49637</v>
      </c>
      <c r="P399" t="n">
        <v>0.11111111</v>
      </c>
      <c r="Q399" t="n">
        <v>0.33333333</v>
      </c>
      <c r="R399" t="n">
        <v>0.44444444</v>
      </c>
      <c r="S399" t="n">
        <v>1.43055556</v>
      </c>
      <c r="T399" t="n">
        <v>1.04129049</v>
      </c>
      <c r="U399" t="n">
        <v>32.280005</v>
      </c>
      <c r="V399" t="b">
        <v>0</v>
      </c>
      <c r="W399" t="n">
        <v>0</v>
      </c>
      <c r="X399" t="inlineStr">
        <is>
          <t>role_subrole_balanced_score = base_support_score * capped sqrt(avg_macro_multiplier * avg_subrole_multiplier); role/subrole quota constraints use inverse weights.</t>
        </is>
      </c>
    </row>
    <row r="400">
      <c r="A400" t="inlineStr">
        <is>
          <t>C0399</t>
        </is>
      </c>
      <c r="B400" t="inlineStr">
        <is>
          <t>x_0399</t>
        </is>
      </c>
      <c r="C400" t="inlineStr">
        <is>
          <t>Entwicklungsagentur Rheinland-Pfalz e.V.</t>
        </is>
      </c>
      <c r="D400" t="inlineStr">
        <is>
          <t>implementation_anchor</t>
        </is>
      </c>
      <c r="E400" t="inlineStr">
        <is>
          <t>public_policy_anchor</t>
        </is>
      </c>
      <c r="F400" t="inlineStr">
        <is>
          <t>Johannes Gutenberg-Universität Mainz</t>
        </is>
      </c>
      <c r="G400" t="inlineStr">
        <is>
          <t>academic_support</t>
        </is>
      </c>
      <c r="H400" t="inlineStr">
        <is>
          <t>university_research</t>
        </is>
      </c>
      <c r="I400" t="n">
        <v>31</v>
      </c>
      <c r="J400" t="n">
        <v>0</v>
      </c>
      <c r="K400" t="n">
        <v>0.1</v>
      </c>
      <c r="L400" t="n">
        <v>0.05555556</v>
      </c>
      <c r="M400" t="n">
        <v>0.15555556</v>
      </c>
      <c r="N400" t="n">
        <v>2.00277778</v>
      </c>
      <c r="O400" t="n">
        <v>62.086111</v>
      </c>
      <c r="P400" t="n">
        <v>0.16666667</v>
      </c>
      <c r="Q400" t="n">
        <v>0.14285714</v>
      </c>
      <c r="R400" t="n">
        <v>0.30952381</v>
      </c>
      <c r="S400" t="n">
        <v>0.99627976</v>
      </c>
      <c r="T400" t="n">
        <v>1.41256043</v>
      </c>
      <c r="U400" t="n">
        <v>43.789373</v>
      </c>
      <c r="V400" t="b">
        <v>1</v>
      </c>
      <c r="W400" t="n">
        <v>1</v>
      </c>
      <c r="X400" t="inlineStr">
        <is>
          <t>role_subrole_balanced_score = base_support_score * capped sqrt(avg_macro_multiplier * avg_subrole_multiplier); role/subrole quota constraints use inverse weights.</t>
        </is>
      </c>
    </row>
    <row r="401">
      <c r="A401" t="inlineStr">
        <is>
          <t>C0400</t>
        </is>
      </c>
      <c r="B401" t="inlineStr">
        <is>
          <t>x_0400</t>
        </is>
      </c>
      <c r="C401" t="inlineStr">
        <is>
          <t>Architektenkammer Rheinland-Pfalz</t>
        </is>
      </c>
      <c r="D401" t="inlineStr">
        <is>
          <t>implementation_anchor</t>
        </is>
      </c>
      <c r="E401" t="inlineStr">
        <is>
          <t>construction_planning_anchor</t>
        </is>
      </c>
      <c r="F401" t="inlineStr">
        <is>
          <t>Bauwirtschaft Rheinland-Pfalz e.V.</t>
        </is>
      </c>
      <c r="G401" t="inlineStr">
        <is>
          <t>context_actor</t>
        </is>
      </c>
      <c r="H401" t="inlineStr">
        <is>
          <t>construction_planning_anchor</t>
        </is>
      </c>
      <c r="I401" t="n">
        <v>31</v>
      </c>
      <c r="J401" t="n">
        <v>0</v>
      </c>
      <c r="K401" t="n">
        <v>0.1</v>
      </c>
      <c r="L401" t="n">
        <v>0.03846154</v>
      </c>
      <c r="M401" t="n">
        <v>0.13846154</v>
      </c>
      <c r="N401" t="n">
        <v>1.78269231</v>
      </c>
      <c r="O401" t="n">
        <v>55.263462</v>
      </c>
      <c r="P401" t="n">
        <v>0.125</v>
      </c>
      <c r="Q401" t="n">
        <v>0.125</v>
      </c>
      <c r="R401" t="n">
        <v>0.25</v>
      </c>
      <c r="S401" t="n">
        <v>0.8046875</v>
      </c>
      <c r="T401" t="n">
        <v>1.19771041</v>
      </c>
      <c r="U401" t="n">
        <v>37.129023</v>
      </c>
      <c r="V401" t="b">
        <v>0</v>
      </c>
      <c r="W401" t="n">
        <v>0</v>
      </c>
      <c r="X401" t="inlineStr">
        <is>
          <t>role_subrole_balanced_score = base_support_score * capped sqrt(avg_macro_multiplier * avg_subrole_multiplier); role/subrole quota constraints use inverse weights.</t>
        </is>
      </c>
    </row>
    <row r="402">
      <c r="A402" t="inlineStr">
        <is>
          <t>C0401</t>
        </is>
      </c>
      <c r="B402" t="inlineStr">
        <is>
          <t>x_0401</t>
        </is>
      </c>
      <c r="C402" t="inlineStr">
        <is>
          <t>Architektenkammer Rheinland-Pfalz</t>
        </is>
      </c>
      <c r="D402" t="inlineStr">
        <is>
          <t>implementation_anchor</t>
        </is>
      </c>
      <c r="E402" t="inlineStr">
        <is>
          <t>construction_planning_anchor</t>
        </is>
      </c>
      <c r="F402" t="inlineStr">
        <is>
          <t>Landkreistag Rheinland-Pfalz</t>
        </is>
      </c>
      <c r="G402" t="inlineStr">
        <is>
          <t>context_actor</t>
        </is>
      </c>
      <c r="H402" t="inlineStr">
        <is>
          <t>public_policy_anchor</t>
        </is>
      </c>
      <c r="I402" t="n">
        <v>31</v>
      </c>
      <c r="J402" t="n">
        <v>0</v>
      </c>
      <c r="K402" t="n">
        <v>0.1</v>
      </c>
      <c r="L402" t="n">
        <v>0.03846154</v>
      </c>
      <c r="M402" t="n">
        <v>0.13846154</v>
      </c>
      <c r="N402" t="n">
        <v>1.78269231</v>
      </c>
      <c r="O402" t="n">
        <v>55.263462</v>
      </c>
      <c r="P402" t="n">
        <v>0.125</v>
      </c>
      <c r="Q402" t="n">
        <v>0.16666667</v>
      </c>
      <c r="R402" t="n">
        <v>0.29166667</v>
      </c>
      <c r="S402" t="n">
        <v>0.93880208</v>
      </c>
      <c r="T402" t="n">
        <v>1.2936751</v>
      </c>
      <c r="U402" t="n">
        <v>40.103928</v>
      </c>
      <c r="V402" t="b">
        <v>0</v>
      </c>
      <c r="W402" t="n">
        <v>0</v>
      </c>
      <c r="X402" t="inlineStr">
        <is>
          <t>role_subrole_balanced_score = base_support_score * capped sqrt(avg_macro_multiplier * avg_subrole_multiplier); role/subrole quota constraints use inverse weights.</t>
        </is>
      </c>
    </row>
    <row r="403">
      <c r="A403" t="inlineStr">
        <is>
          <t>C0402</t>
        </is>
      </c>
      <c r="B403" t="inlineStr">
        <is>
          <t>x_0402</t>
        </is>
      </c>
      <c r="C403" t="inlineStr">
        <is>
          <t>Architektenkammer Rheinland-Pfalz</t>
        </is>
      </c>
      <c r="D403" t="inlineStr">
        <is>
          <t>implementation_anchor</t>
        </is>
      </c>
      <c r="E403" t="inlineStr">
        <is>
          <t>construction_planning_anchor</t>
        </is>
      </c>
      <c r="F403" t="inlineStr">
        <is>
          <t>Städtetag Rheinland-Pfalz</t>
        </is>
      </c>
      <c r="G403" t="inlineStr">
        <is>
          <t>context_actor</t>
        </is>
      </c>
      <c r="H403" t="inlineStr">
        <is>
          <t>public_policy_anchor</t>
        </is>
      </c>
      <c r="I403" t="n">
        <v>31</v>
      </c>
      <c r="J403" t="n">
        <v>0</v>
      </c>
      <c r="K403" t="n">
        <v>0.1</v>
      </c>
      <c r="L403" t="n">
        <v>0.03846154</v>
      </c>
      <c r="M403" t="n">
        <v>0.13846154</v>
      </c>
      <c r="N403" t="n">
        <v>1.78269231</v>
      </c>
      <c r="O403" t="n">
        <v>55.263462</v>
      </c>
      <c r="P403" t="n">
        <v>0.125</v>
      </c>
      <c r="Q403" t="n">
        <v>0.16666667</v>
      </c>
      <c r="R403" t="n">
        <v>0.29166667</v>
      </c>
      <c r="S403" t="n">
        <v>0.93880208</v>
      </c>
      <c r="T403" t="n">
        <v>1.2936751</v>
      </c>
      <c r="U403" t="n">
        <v>40.103928</v>
      </c>
      <c r="V403" t="b">
        <v>0</v>
      </c>
      <c r="W403" t="n">
        <v>0</v>
      </c>
      <c r="X403" t="inlineStr">
        <is>
          <t>role_subrole_balanced_score = base_support_score * capped sqrt(avg_macro_multiplier * avg_subrole_multiplier); role/subrole quota constraints use inverse weights.</t>
        </is>
      </c>
    </row>
    <row r="404">
      <c r="A404" t="inlineStr">
        <is>
          <t>C0403</t>
        </is>
      </c>
      <c r="B404" t="inlineStr">
        <is>
          <t>x_0403</t>
        </is>
      </c>
      <c r="C404" t="inlineStr">
        <is>
          <t>Bauwirtschaft Rheinland-Pfalz e.V.</t>
        </is>
      </c>
      <c r="D404" t="inlineStr">
        <is>
          <t>context_actor</t>
        </is>
      </c>
      <c r="E404" t="inlineStr">
        <is>
          <t>construction_planning_anchor</t>
        </is>
      </c>
      <c r="F404" t="inlineStr">
        <is>
          <t>Ingenieurkammer Rheinland-Pfalz</t>
        </is>
      </c>
      <c r="G404" t="inlineStr">
        <is>
          <t>implementation_anchor</t>
        </is>
      </c>
      <c r="H404" t="inlineStr">
        <is>
          <t>construction_planning_anchor</t>
        </is>
      </c>
      <c r="I404" t="n">
        <v>31</v>
      </c>
      <c r="J404" t="n">
        <v>0</v>
      </c>
      <c r="K404" t="n">
        <v>0.03846154</v>
      </c>
      <c r="L404" t="n">
        <v>0.1</v>
      </c>
      <c r="M404" t="n">
        <v>0.13846154</v>
      </c>
      <c r="N404" t="n">
        <v>1.78269231</v>
      </c>
      <c r="O404" t="n">
        <v>55.263462</v>
      </c>
      <c r="P404" t="n">
        <v>0.125</v>
      </c>
      <c r="Q404" t="n">
        <v>0.125</v>
      </c>
      <c r="R404" t="n">
        <v>0.25</v>
      </c>
      <c r="S404" t="n">
        <v>0.8046875</v>
      </c>
      <c r="T404" t="n">
        <v>1.19771041</v>
      </c>
      <c r="U404" t="n">
        <v>37.129023</v>
      </c>
      <c r="V404" t="b">
        <v>0</v>
      </c>
      <c r="W404" t="n">
        <v>0</v>
      </c>
      <c r="X404" t="inlineStr">
        <is>
          <t>role_subrole_balanced_score = base_support_score * capped sqrt(avg_macro_multiplier * avg_subrole_multiplier); role/subrole quota constraints use inverse weights.</t>
        </is>
      </c>
    </row>
    <row r="405">
      <c r="A405" t="inlineStr">
        <is>
          <t>C0404</t>
        </is>
      </c>
      <c r="B405" t="inlineStr">
        <is>
          <t>x_0404</t>
        </is>
      </c>
      <c r="C405" t="inlineStr">
        <is>
          <t>Bauwirtschaft Rheinland-Pfalz e.V.</t>
        </is>
      </c>
      <c r="D405" t="inlineStr">
        <is>
          <t>context_actor</t>
        </is>
      </c>
      <c r="E405" t="inlineStr">
        <is>
          <t>construction_planning_anchor</t>
        </is>
      </c>
      <c r="F405" t="inlineStr">
        <is>
          <t>Karl Gemünden GmbH &amp; Co. KG</t>
        </is>
      </c>
      <c r="G405" t="inlineStr">
        <is>
          <t>profit_anchor</t>
        </is>
      </c>
      <c r="H405" t="inlineStr">
        <is>
          <t>construction_planning_anchor</t>
        </is>
      </c>
      <c r="I405" t="n">
        <v>31</v>
      </c>
      <c r="J405" t="n">
        <v>0</v>
      </c>
      <c r="K405" t="n">
        <v>0.03846154</v>
      </c>
      <c r="L405" t="n">
        <v>0.02040816</v>
      </c>
      <c r="M405" t="n">
        <v>0.0588697</v>
      </c>
      <c r="N405" t="n">
        <v>0.75794741</v>
      </c>
      <c r="O405" t="n">
        <v>23.49637</v>
      </c>
      <c r="P405" t="n">
        <v>0.125</v>
      </c>
      <c r="Q405" t="n">
        <v>0.125</v>
      </c>
      <c r="R405" t="n">
        <v>0.25</v>
      </c>
      <c r="S405" t="n">
        <v>0.8046875</v>
      </c>
      <c r="T405" t="n">
        <v>0.78096787</v>
      </c>
      <c r="U405" t="n">
        <v>24.210004</v>
      </c>
      <c r="V405" t="b">
        <v>0</v>
      </c>
      <c r="W405" t="n">
        <v>0</v>
      </c>
      <c r="X405" t="inlineStr">
        <is>
          <t>role_subrole_balanced_score = base_support_score * capped sqrt(avg_macro_multiplier * avg_subrole_multiplier); role/subrole quota constraints use inverse weights.</t>
        </is>
      </c>
    </row>
    <row r="406">
      <c r="A406" t="inlineStr">
        <is>
          <t>C0405</t>
        </is>
      </c>
      <c r="B406" t="inlineStr">
        <is>
          <t>x_0405</t>
        </is>
      </c>
      <c r="C406" t="inlineStr">
        <is>
          <t>Heberger Gruppe</t>
        </is>
      </c>
      <c r="D406" t="inlineStr">
        <is>
          <t>context_actor</t>
        </is>
      </c>
      <c r="E406" t="inlineStr">
        <is>
          <t>construction_planning_anchor</t>
        </is>
      </c>
      <c r="F406" t="inlineStr">
        <is>
          <t>vero – Verband der Bau- und Rohstoffindustrie</t>
        </is>
      </c>
      <c r="G406" t="inlineStr">
        <is>
          <t>profit_anchor</t>
        </is>
      </c>
      <c r="H406" t="inlineStr">
        <is>
          <t>construction_planning_anchor</t>
        </is>
      </c>
      <c r="I406" t="n">
        <v>31</v>
      </c>
      <c r="J406" t="n">
        <v>0</v>
      </c>
      <c r="K406" t="n">
        <v>0.03846154</v>
      </c>
      <c r="L406" t="n">
        <v>0.02040816</v>
      </c>
      <c r="M406" t="n">
        <v>0.0588697</v>
      </c>
      <c r="N406" t="n">
        <v>0.75794741</v>
      </c>
      <c r="O406" t="n">
        <v>23.49637</v>
      </c>
      <c r="P406" t="n">
        <v>0.125</v>
      </c>
      <c r="Q406" t="n">
        <v>0.125</v>
      </c>
      <c r="R406" t="n">
        <v>0.25</v>
      </c>
      <c r="S406" t="n">
        <v>0.8046875</v>
      </c>
      <c r="T406" t="n">
        <v>0.78096787</v>
      </c>
      <c r="U406" t="n">
        <v>24.210004</v>
      </c>
      <c r="V406" t="b">
        <v>0</v>
      </c>
      <c r="W406" t="n">
        <v>0</v>
      </c>
      <c r="X406" t="inlineStr">
        <is>
          <t>role_subrole_balanced_score = base_support_score * capped sqrt(avg_macro_multiplier * avg_subrole_multiplier); role/subrole quota constraints use inverse weights.</t>
        </is>
      </c>
    </row>
    <row r="407">
      <c r="A407" t="inlineStr">
        <is>
          <t>C0406</t>
        </is>
      </c>
      <c r="B407" t="inlineStr">
        <is>
          <t>x_0406</t>
        </is>
      </c>
      <c r="C407" t="inlineStr">
        <is>
          <t>Ingenieurkammer Rheinland-Pfalz</t>
        </is>
      </c>
      <c r="D407" t="inlineStr">
        <is>
          <t>implementation_anchor</t>
        </is>
      </c>
      <c r="E407" t="inlineStr">
        <is>
          <t>construction_planning_anchor</t>
        </is>
      </c>
      <c r="F407" t="inlineStr">
        <is>
          <t>Landkreistag Rheinland-Pfalz</t>
        </is>
      </c>
      <c r="G407" t="inlineStr">
        <is>
          <t>context_actor</t>
        </is>
      </c>
      <c r="H407" t="inlineStr">
        <is>
          <t>public_policy_anchor</t>
        </is>
      </c>
      <c r="I407" t="n">
        <v>31</v>
      </c>
      <c r="J407" t="n">
        <v>0</v>
      </c>
      <c r="K407" t="n">
        <v>0.1</v>
      </c>
      <c r="L407" t="n">
        <v>0.03846154</v>
      </c>
      <c r="M407" t="n">
        <v>0.13846154</v>
      </c>
      <c r="N407" t="n">
        <v>1.78269231</v>
      </c>
      <c r="O407" t="n">
        <v>55.263462</v>
      </c>
      <c r="P407" t="n">
        <v>0.125</v>
      </c>
      <c r="Q407" t="n">
        <v>0.16666667</v>
      </c>
      <c r="R407" t="n">
        <v>0.29166667</v>
      </c>
      <c r="S407" t="n">
        <v>0.93880208</v>
      </c>
      <c r="T407" t="n">
        <v>1.2936751</v>
      </c>
      <c r="U407" t="n">
        <v>40.103928</v>
      </c>
      <c r="V407" t="b">
        <v>0</v>
      </c>
      <c r="W407" t="n">
        <v>0</v>
      </c>
      <c r="X407" t="inlineStr">
        <is>
          <t>role_subrole_balanced_score = base_support_score * capped sqrt(avg_macro_multiplier * avg_subrole_multiplier); role/subrole quota constraints use inverse weights.</t>
        </is>
      </c>
    </row>
    <row r="408">
      <c r="A408" t="inlineStr">
        <is>
          <t>C0407</t>
        </is>
      </c>
      <c r="B408" t="inlineStr">
        <is>
          <t>x_0407</t>
        </is>
      </c>
      <c r="C408" t="inlineStr">
        <is>
          <t>Ingenieurkammer Rheinland-Pfalz</t>
        </is>
      </c>
      <c r="D408" t="inlineStr">
        <is>
          <t>implementation_anchor</t>
        </is>
      </c>
      <c r="E408" t="inlineStr">
        <is>
          <t>construction_planning_anchor</t>
        </is>
      </c>
      <c r="F408" t="inlineStr">
        <is>
          <t>Städtetag Rheinland-Pfalz</t>
        </is>
      </c>
      <c r="G408" t="inlineStr">
        <is>
          <t>context_actor</t>
        </is>
      </c>
      <c r="H408" t="inlineStr">
        <is>
          <t>public_policy_anchor</t>
        </is>
      </c>
      <c r="I408" t="n">
        <v>31</v>
      </c>
      <c r="J408" t="n">
        <v>0</v>
      </c>
      <c r="K408" t="n">
        <v>0.1</v>
      </c>
      <c r="L408" t="n">
        <v>0.03846154</v>
      </c>
      <c r="M408" t="n">
        <v>0.13846154</v>
      </c>
      <c r="N408" t="n">
        <v>1.78269231</v>
      </c>
      <c r="O408" t="n">
        <v>55.263462</v>
      </c>
      <c r="P408" t="n">
        <v>0.125</v>
      </c>
      <c r="Q408" t="n">
        <v>0.16666667</v>
      </c>
      <c r="R408" t="n">
        <v>0.29166667</v>
      </c>
      <c r="S408" t="n">
        <v>0.93880208</v>
      </c>
      <c r="T408" t="n">
        <v>1.2936751</v>
      </c>
      <c r="U408" t="n">
        <v>40.103928</v>
      </c>
      <c r="V408" t="b">
        <v>0</v>
      </c>
      <c r="W408" t="n">
        <v>0</v>
      </c>
      <c r="X408" t="inlineStr">
        <is>
          <t>role_subrole_balanced_score = base_support_score * capped sqrt(avg_macro_multiplier * avg_subrole_multiplier); role/subrole quota constraints use inverse weights.</t>
        </is>
      </c>
    </row>
    <row r="409">
      <c r="A409" t="inlineStr">
        <is>
          <t>C0408</t>
        </is>
      </c>
      <c r="B409" t="inlineStr">
        <is>
          <t>x_0408</t>
        </is>
      </c>
      <c r="C409" t="inlineStr">
        <is>
          <t>Karl Gemünden GmbH &amp; Co. KG</t>
        </is>
      </c>
      <c r="D409" t="inlineStr">
        <is>
          <t>profit_anchor</t>
        </is>
      </c>
      <c r="E409" t="inlineStr">
        <is>
          <t>construction_planning_anchor</t>
        </is>
      </c>
      <c r="F409" t="inlineStr">
        <is>
          <t>Landkreistag Rheinland-Pfalz</t>
        </is>
      </c>
      <c r="G409" t="inlineStr">
        <is>
          <t>context_actor</t>
        </is>
      </c>
      <c r="H409" t="inlineStr">
        <is>
          <t>public_policy_anchor</t>
        </is>
      </c>
      <c r="I409" t="n">
        <v>31</v>
      </c>
      <c r="J409" t="n">
        <v>0</v>
      </c>
      <c r="K409" t="n">
        <v>0.02040816</v>
      </c>
      <c r="L409" t="n">
        <v>0.03846154</v>
      </c>
      <c r="M409" t="n">
        <v>0.0588697</v>
      </c>
      <c r="N409" t="n">
        <v>0.75794741</v>
      </c>
      <c r="O409" t="n">
        <v>23.49637</v>
      </c>
      <c r="P409" t="n">
        <v>0.125</v>
      </c>
      <c r="Q409" t="n">
        <v>0.16666667</v>
      </c>
      <c r="R409" t="n">
        <v>0.29166667</v>
      </c>
      <c r="S409" t="n">
        <v>0.93880208</v>
      </c>
      <c r="T409" t="n">
        <v>0.8435416999999999</v>
      </c>
      <c r="U409" t="n">
        <v>26.149793</v>
      </c>
      <c r="V409" t="b">
        <v>0</v>
      </c>
      <c r="W409" t="n">
        <v>0</v>
      </c>
      <c r="X409" t="inlineStr">
        <is>
          <t>role_subrole_balanced_score = base_support_score * capped sqrt(avg_macro_multiplier * avg_subrole_multiplier); role/subrole quota constraints use inverse weights.</t>
        </is>
      </c>
    </row>
    <row r="410">
      <c r="A410" t="inlineStr">
        <is>
          <t>C0409</t>
        </is>
      </c>
      <c r="B410" t="inlineStr">
        <is>
          <t>x_0409</t>
        </is>
      </c>
      <c r="C410" t="inlineStr">
        <is>
          <t>Karl Gemünden GmbH &amp; Co. KG</t>
        </is>
      </c>
      <c r="D410" t="inlineStr">
        <is>
          <t>profit_anchor</t>
        </is>
      </c>
      <c r="E410" t="inlineStr">
        <is>
          <t>construction_planning_anchor</t>
        </is>
      </c>
      <c r="F410" t="inlineStr">
        <is>
          <t>Städtetag Rheinland-Pfalz</t>
        </is>
      </c>
      <c r="G410" t="inlineStr">
        <is>
          <t>context_actor</t>
        </is>
      </c>
      <c r="H410" t="inlineStr">
        <is>
          <t>public_policy_anchor</t>
        </is>
      </c>
      <c r="I410" t="n">
        <v>31</v>
      </c>
      <c r="J410" t="n">
        <v>0</v>
      </c>
      <c r="K410" t="n">
        <v>0.02040816</v>
      </c>
      <c r="L410" t="n">
        <v>0.03846154</v>
      </c>
      <c r="M410" t="n">
        <v>0.0588697</v>
      </c>
      <c r="N410" t="n">
        <v>0.75794741</v>
      </c>
      <c r="O410" t="n">
        <v>23.49637</v>
      </c>
      <c r="P410" t="n">
        <v>0.125</v>
      </c>
      <c r="Q410" t="n">
        <v>0.16666667</v>
      </c>
      <c r="R410" t="n">
        <v>0.29166667</v>
      </c>
      <c r="S410" t="n">
        <v>0.93880208</v>
      </c>
      <c r="T410" t="n">
        <v>0.8435416999999999</v>
      </c>
      <c r="U410" t="n">
        <v>26.149793</v>
      </c>
      <c r="V410" t="b">
        <v>0</v>
      </c>
      <c r="W410" t="n">
        <v>0</v>
      </c>
      <c r="X410" t="inlineStr">
        <is>
          <t>role_subrole_balanced_score = base_support_score * capped sqrt(avg_macro_multiplier * avg_subrole_multiplier); role/subrole quota constraints use inverse weights.</t>
        </is>
      </c>
    </row>
    <row r="411">
      <c r="A411" t="inlineStr">
        <is>
          <t>C0410</t>
        </is>
      </c>
      <c r="B411" t="inlineStr">
        <is>
          <t>x_0410</t>
        </is>
      </c>
      <c r="C411" t="inlineStr">
        <is>
          <t>TÜV Rheinland Berlin Brandenburg Pfalz e.V.</t>
        </is>
      </c>
      <c r="D411" t="inlineStr">
        <is>
          <t>context_actor</t>
        </is>
      </c>
      <c r="E411" t="inlineStr">
        <is>
          <t>chamber_association_anchor</t>
        </is>
      </c>
      <c r="F411" t="inlineStr">
        <is>
          <t>vero – Verband der Bau- und Rohstoffindustrie</t>
        </is>
      </c>
      <c r="G411" t="inlineStr">
        <is>
          <t>profit_anchor</t>
        </is>
      </c>
      <c r="H411" t="inlineStr">
        <is>
          <t>construction_planning_anchor</t>
        </is>
      </c>
      <c r="I411" t="n">
        <v>31</v>
      </c>
      <c r="J411" t="n">
        <v>0</v>
      </c>
      <c r="K411" t="n">
        <v>0.03846154</v>
      </c>
      <c r="L411" t="n">
        <v>0.02040816</v>
      </c>
      <c r="M411" t="n">
        <v>0.0588697</v>
      </c>
      <c r="N411" t="n">
        <v>0.75794741</v>
      </c>
      <c r="O411" t="n">
        <v>23.49637</v>
      </c>
      <c r="P411" t="n">
        <v>0.25</v>
      </c>
      <c r="Q411" t="n">
        <v>0.125</v>
      </c>
      <c r="R411" t="n">
        <v>0.375</v>
      </c>
      <c r="S411" t="n">
        <v>1.20703125</v>
      </c>
      <c r="T411" t="n">
        <v>0.95648639</v>
      </c>
      <c r="U411" t="n">
        <v>29.651078</v>
      </c>
      <c r="V411" t="b">
        <v>0</v>
      </c>
      <c r="W411" t="n">
        <v>0</v>
      </c>
      <c r="X411" t="inlineStr">
        <is>
          <t>role_subrole_balanced_score = base_support_score * capped sqrt(avg_macro_multiplier * avg_subrole_multiplier); role/subrole quota constraints use inverse weights.</t>
        </is>
      </c>
    </row>
    <row r="412">
      <c r="A412" t="inlineStr">
        <is>
          <t>C0411</t>
        </is>
      </c>
      <c r="B412" t="inlineStr">
        <is>
          <t>x_0411</t>
        </is>
      </c>
      <c r="C412" t="inlineStr">
        <is>
          <t>1. FSV Mainz 05 e.V.</t>
        </is>
      </c>
      <c r="D412" t="inlineStr">
        <is>
          <t>context_actor</t>
        </is>
      </c>
      <c r="E412" t="inlineStr">
        <is>
          <t>sports_regional_identity_anchor</t>
        </is>
      </c>
      <c r="F412" t="inlineStr">
        <is>
          <t>Entwicklungsagentur Rheinland-Pfalz e.V.</t>
        </is>
      </c>
      <c r="G412" t="inlineStr">
        <is>
          <t>implementation_anchor</t>
        </is>
      </c>
      <c r="H412" t="inlineStr">
        <is>
          <t>public_policy_anchor</t>
        </is>
      </c>
      <c r="I412" t="n">
        <v>31</v>
      </c>
      <c r="J412" t="n">
        <v>0</v>
      </c>
      <c r="K412" t="n">
        <v>0.03846154</v>
      </c>
      <c r="L412" t="n">
        <v>0.1</v>
      </c>
      <c r="M412" t="n">
        <v>0.13846154</v>
      </c>
      <c r="N412" t="n">
        <v>1.78269231</v>
      </c>
      <c r="O412" t="n">
        <v>55.263462</v>
      </c>
      <c r="P412" t="n">
        <v>0.5</v>
      </c>
      <c r="Q412" t="n">
        <v>0.16666667</v>
      </c>
      <c r="R412" t="n">
        <v>0.66666667</v>
      </c>
      <c r="S412" t="n">
        <v>2.14583333</v>
      </c>
      <c r="T412" t="n">
        <v>1.9558529</v>
      </c>
      <c r="U412" t="n">
        <v>60.63144</v>
      </c>
      <c r="V412" t="b">
        <v>0</v>
      </c>
      <c r="W412" t="n">
        <v>0</v>
      </c>
      <c r="X412" t="inlineStr">
        <is>
          <t>role_subrole_balanced_score = base_support_score * capped sqrt(avg_macro_multiplier * avg_subrole_multiplier); role/subrole quota constraints use inverse weights.</t>
        </is>
      </c>
    </row>
    <row r="413">
      <c r="A413" t="inlineStr">
        <is>
          <t>C0412</t>
        </is>
      </c>
      <c r="B413" t="inlineStr">
        <is>
          <t>x_0412</t>
        </is>
      </c>
      <c r="C413" t="inlineStr">
        <is>
          <t>Entwicklungsagentur Rheinland-Pfalz e.V.</t>
        </is>
      </c>
      <c r="D413" t="inlineStr">
        <is>
          <t>implementation_anchor</t>
        </is>
      </c>
      <c r="E413" t="inlineStr">
        <is>
          <t>public_policy_anchor</t>
        </is>
      </c>
      <c r="F413" t="inlineStr">
        <is>
          <t>Evangelische Kirche der Pfalz</t>
        </is>
      </c>
      <c r="G413" t="inlineStr">
        <is>
          <t>context_actor</t>
        </is>
      </c>
      <c r="H413" t="inlineStr">
        <is>
          <t>culture_foundation_anchor</t>
        </is>
      </c>
      <c r="I413" t="n">
        <v>31</v>
      </c>
      <c r="J413" t="n">
        <v>0</v>
      </c>
      <c r="K413" t="n">
        <v>0.1</v>
      </c>
      <c r="L413" t="n">
        <v>0.03846154</v>
      </c>
      <c r="M413" t="n">
        <v>0.13846154</v>
      </c>
      <c r="N413" t="n">
        <v>1.78269231</v>
      </c>
      <c r="O413" t="n">
        <v>55.263462</v>
      </c>
      <c r="P413" t="n">
        <v>0.16666667</v>
      </c>
      <c r="Q413" t="n">
        <v>0.33333333</v>
      </c>
      <c r="R413" t="n">
        <v>0.5</v>
      </c>
      <c r="S413" t="n">
        <v>1.609375</v>
      </c>
      <c r="T413" t="n">
        <v>1.6938183</v>
      </c>
      <c r="U413" t="n">
        <v>52.508367</v>
      </c>
      <c r="V413" t="b">
        <v>0</v>
      </c>
      <c r="W413" t="n">
        <v>0</v>
      </c>
      <c r="X413" t="inlineStr">
        <is>
          <t>role_subrole_balanced_score = base_support_score * capped sqrt(avg_macro_multiplier * avg_subrole_multiplier); role/subrole quota constraints use inverse weights.</t>
        </is>
      </c>
    </row>
    <row r="414">
      <c r="A414" t="inlineStr">
        <is>
          <t>C0413</t>
        </is>
      </c>
      <c r="B414" t="inlineStr">
        <is>
          <t>x_0413</t>
        </is>
      </c>
      <c r="C414" t="inlineStr">
        <is>
          <t>Entwicklungsagentur Rheinland-Pfalz e.V.</t>
        </is>
      </c>
      <c r="D414" t="inlineStr">
        <is>
          <t>implementation_anchor</t>
        </is>
      </c>
      <c r="E414" t="inlineStr">
        <is>
          <t>public_policy_anchor</t>
        </is>
      </c>
      <c r="F414" t="inlineStr">
        <is>
          <t>RPR1.</t>
        </is>
      </c>
      <c r="G414" t="inlineStr">
        <is>
          <t>context_actor</t>
        </is>
      </c>
      <c r="H414" t="inlineStr">
        <is>
          <t>media_publicity_anchor</t>
        </is>
      </c>
      <c r="I414" t="n">
        <v>31</v>
      </c>
      <c r="J414" t="n">
        <v>0</v>
      </c>
      <c r="K414" t="n">
        <v>0.1</v>
      </c>
      <c r="L414" t="n">
        <v>0.03846154</v>
      </c>
      <c r="M414" t="n">
        <v>0.13846154</v>
      </c>
      <c r="N414" t="n">
        <v>1.78269231</v>
      </c>
      <c r="O414" t="n">
        <v>55.263462</v>
      </c>
      <c r="P414" t="n">
        <v>0.16666667</v>
      </c>
      <c r="Q414" t="n">
        <v>0.33333333</v>
      </c>
      <c r="R414" t="n">
        <v>0.5</v>
      </c>
      <c r="S414" t="n">
        <v>1.609375</v>
      </c>
      <c r="T414" t="n">
        <v>1.6938183</v>
      </c>
      <c r="U414" t="n">
        <v>52.508367</v>
      </c>
      <c r="V414" t="b">
        <v>0</v>
      </c>
      <c r="W414" t="n">
        <v>0</v>
      </c>
      <c r="X414" t="inlineStr">
        <is>
          <t>role_subrole_balanced_score = base_support_score * capped sqrt(avg_macro_multiplier * avg_subrole_multiplier); role/subrole quota constraints use inverse weights.</t>
        </is>
      </c>
    </row>
    <row r="415">
      <c r="A415" t="inlineStr">
        <is>
          <t>C0414</t>
        </is>
      </c>
      <c r="B415" t="inlineStr">
        <is>
          <t>x_0414</t>
        </is>
      </c>
      <c r="C415" t="inlineStr">
        <is>
          <t>Erster FC Kaiserslautern GmbH &amp; Co. KGaA</t>
        </is>
      </c>
      <c r="D415" t="inlineStr">
        <is>
          <t>profit_anchor</t>
        </is>
      </c>
      <c r="E415" t="inlineStr">
        <is>
          <t>sports_regional_identity_anchor</t>
        </is>
      </c>
      <c r="F415" t="inlineStr">
        <is>
          <t>SWR – Südwestrundfunk</t>
        </is>
      </c>
      <c r="G415" t="inlineStr">
        <is>
          <t>context_actor</t>
        </is>
      </c>
      <c r="H415" t="inlineStr">
        <is>
          <t>media_publicity_anchor</t>
        </is>
      </c>
      <c r="I415" t="n">
        <v>31</v>
      </c>
      <c r="J415" t="n">
        <v>0</v>
      </c>
      <c r="K415" t="n">
        <v>0.02040816</v>
      </c>
      <c r="L415" t="n">
        <v>0.03846154</v>
      </c>
      <c r="M415" t="n">
        <v>0.0588697</v>
      </c>
      <c r="N415" t="n">
        <v>0.75794741</v>
      </c>
      <c r="O415" t="n">
        <v>23.49637</v>
      </c>
      <c r="P415" t="n">
        <v>0.5</v>
      </c>
      <c r="Q415" t="n">
        <v>0.33333333</v>
      </c>
      <c r="R415" t="n">
        <v>0.83333333</v>
      </c>
      <c r="S415" t="n">
        <v>2.68229167</v>
      </c>
      <c r="T415" t="n">
        <v>1.42584572</v>
      </c>
      <c r="U415" t="n">
        <v>44.201217</v>
      </c>
      <c r="V415" t="b">
        <v>0</v>
      </c>
      <c r="W415" t="n">
        <v>0</v>
      </c>
      <c r="X415" t="inlineStr">
        <is>
          <t>role_subrole_balanced_score = base_support_score * capped sqrt(avg_macro_multiplier * avg_subrole_multiplier); role/subrole quota constraints use inverse weights.</t>
        </is>
      </c>
    </row>
    <row r="416">
      <c r="A416" t="inlineStr">
        <is>
          <t>C0415</t>
        </is>
      </c>
      <c r="B416" t="inlineStr">
        <is>
          <t>x_0415</t>
        </is>
      </c>
      <c r="C416" t="inlineStr">
        <is>
          <t>Erster FC Kaiserslautern GmbH &amp; Co. KGaA</t>
        </is>
      </c>
      <c r="D416" t="inlineStr">
        <is>
          <t>profit_anchor</t>
        </is>
      </c>
      <c r="E416" t="inlineStr">
        <is>
          <t>sports_regional_identity_anchor</t>
        </is>
      </c>
      <c r="F416" t="inlineStr">
        <is>
          <t>Städtetag Rheinland-Pfalz</t>
        </is>
      </c>
      <c r="G416" t="inlineStr">
        <is>
          <t>context_actor</t>
        </is>
      </c>
      <c r="H416" t="inlineStr">
        <is>
          <t>public_policy_anchor</t>
        </is>
      </c>
      <c r="I416" t="n">
        <v>31</v>
      </c>
      <c r="J416" t="n">
        <v>0</v>
      </c>
      <c r="K416" t="n">
        <v>0.02040816</v>
      </c>
      <c r="L416" t="n">
        <v>0.03846154</v>
      </c>
      <c r="M416" t="n">
        <v>0.0588697</v>
      </c>
      <c r="N416" t="n">
        <v>0.75794741</v>
      </c>
      <c r="O416" t="n">
        <v>23.49637</v>
      </c>
      <c r="P416" t="n">
        <v>0.5</v>
      </c>
      <c r="Q416" t="n">
        <v>0.16666667</v>
      </c>
      <c r="R416" t="n">
        <v>0.66666667</v>
      </c>
      <c r="S416" t="n">
        <v>2.14583333</v>
      </c>
      <c r="T416" t="n">
        <v>1.27531518</v>
      </c>
      <c r="U416" t="n">
        <v>39.534771</v>
      </c>
      <c r="V416" t="b">
        <v>0</v>
      </c>
      <c r="W416" t="n">
        <v>0</v>
      </c>
      <c r="X416" t="inlineStr">
        <is>
          <t>role_subrole_balanced_score = base_support_score * capped sqrt(avg_macro_multiplier * avg_subrole_multiplier); role/subrole quota constraints use inverse weights.</t>
        </is>
      </c>
    </row>
    <row r="417">
      <c r="A417" t="inlineStr">
        <is>
          <t>C0416</t>
        </is>
      </c>
      <c r="B417" t="inlineStr">
        <is>
          <t>x_0416</t>
        </is>
      </c>
      <c r="C417" t="inlineStr">
        <is>
          <t>Erster FC Kaiserslautern GmbH &amp; Co. KGaA</t>
        </is>
      </c>
      <c r="D417" t="inlineStr">
        <is>
          <t>profit_anchor</t>
        </is>
      </c>
      <c r="E417" t="inlineStr">
        <is>
          <t>sports_regional_identity_anchor</t>
        </is>
      </c>
      <c r="F417" t="inlineStr">
        <is>
          <t>Villa Musica Rheinland-Pfalz</t>
        </is>
      </c>
      <c r="G417" t="inlineStr">
        <is>
          <t>context_actor</t>
        </is>
      </c>
      <c r="H417" t="inlineStr">
        <is>
          <t>culture_foundation_anchor</t>
        </is>
      </c>
      <c r="I417" t="n">
        <v>31</v>
      </c>
      <c r="J417" t="n">
        <v>0</v>
      </c>
      <c r="K417" t="n">
        <v>0.02040816</v>
      </c>
      <c r="L417" t="n">
        <v>0.03846154</v>
      </c>
      <c r="M417" t="n">
        <v>0.0588697</v>
      </c>
      <c r="N417" t="n">
        <v>0.75794741</v>
      </c>
      <c r="O417" t="n">
        <v>23.49637</v>
      </c>
      <c r="P417" t="n">
        <v>0.5</v>
      </c>
      <c r="Q417" t="n">
        <v>0.33333333</v>
      </c>
      <c r="R417" t="n">
        <v>0.83333333</v>
      </c>
      <c r="S417" t="n">
        <v>2.68229167</v>
      </c>
      <c r="T417" t="n">
        <v>1.42584572</v>
      </c>
      <c r="U417" t="n">
        <v>44.201217</v>
      </c>
      <c r="V417" t="b">
        <v>0</v>
      </c>
      <c r="W417" t="n">
        <v>0</v>
      </c>
      <c r="X417" t="inlineStr">
        <is>
          <t>role_subrole_balanced_score = base_support_score * capped sqrt(avg_macro_multiplier * avg_subrole_multiplier); role/subrole quota constraints use inverse weights.</t>
        </is>
      </c>
    </row>
    <row r="418">
      <c r="A418" t="inlineStr">
        <is>
          <t>C0417</t>
        </is>
      </c>
      <c r="B418" t="inlineStr">
        <is>
          <t>x_0417</t>
        </is>
      </c>
      <c r="C418" t="inlineStr">
        <is>
          <t>Erster FC Kaiserslautern GmbH &amp; Co. KGaA</t>
        </is>
      </c>
      <c r="D418" t="inlineStr">
        <is>
          <t>profit_anchor</t>
        </is>
      </c>
      <c r="E418" t="inlineStr">
        <is>
          <t>sports_regional_identity_anchor</t>
        </is>
      </c>
      <c r="F418" t="inlineStr">
        <is>
          <t>ZDF – Zweites Deutsches Fernsehen</t>
        </is>
      </c>
      <c r="G418" t="inlineStr">
        <is>
          <t>context_actor</t>
        </is>
      </c>
      <c r="H418" t="inlineStr">
        <is>
          <t>media_publicity_anchor</t>
        </is>
      </c>
      <c r="I418" t="n">
        <v>31</v>
      </c>
      <c r="J418" t="n">
        <v>0</v>
      </c>
      <c r="K418" t="n">
        <v>0.02040816</v>
      </c>
      <c r="L418" t="n">
        <v>0.03846154</v>
      </c>
      <c r="M418" t="n">
        <v>0.0588697</v>
      </c>
      <c r="N418" t="n">
        <v>0.75794741</v>
      </c>
      <c r="O418" t="n">
        <v>23.49637</v>
      </c>
      <c r="P418" t="n">
        <v>0.5</v>
      </c>
      <c r="Q418" t="n">
        <v>0.33333333</v>
      </c>
      <c r="R418" t="n">
        <v>0.83333333</v>
      </c>
      <c r="S418" t="n">
        <v>2.68229167</v>
      </c>
      <c r="T418" t="n">
        <v>1.42584572</v>
      </c>
      <c r="U418" t="n">
        <v>44.201217</v>
      </c>
      <c r="V418" t="b">
        <v>0</v>
      </c>
      <c r="W418" t="n">
        <v>0</v>
      </c>
      <c r="X418" t="inlineStr">
        <is>
          <t>role_subrole_balanced_score = base_support_score * capped sqrt(avg_macro_multiplier * avg_subrole_multiplier); role/subrole quota constraints use inverse weights.</t>
        </is>
      </c>
    </row>
    <row r="419">
      <c r="A419" t="inlineStr">
        <is>
          <t>C0418</t>
        </is>
      </c>
      <c r="B419" t="inlineStr">
        <is>
          <t>x_0418</t>
        </is>
      </c>
      <c r="C419" t="inlineStr">
        <is>
          <t>Aturas GmbH</t>
        </is>
      </c>
      <c r="D419" t="inlineStr">
        <is>
          <t>profit_anchor</t>
        </is>
      </c>
      <c r="E419" t="inlineStr">
        <is>
          <t>technology_digital_anchor</t>
        </is>
      </c>
      <c r="F419" t="inlineStr">
        <is>
          <t>Rheinland-Pfälzische Technische Universität Kaiserslautern-Landau (RPTU)</t>
        </is>
      </c>
      <c r="G419" t="inlineStr">
        <is>
          <t>academic_support</t>
        </is>
      </c>
      <c r="H419" t="inlineStr">
        <is>
          <t>university_research</t>
        </is>
      </c>
      <c r="I419" t="n">
        <v>31</v>
      </c>
      <c r="J419" t="n">
        <v>0</v>
      </c>
      <c r="K419" t="n">
        <v>0.02040816</v>
      </c>
      <c r="L419" t="n">
        <v>0.05555556</v>
      </c>
      <c r="M419" t="n">
        <v>0.07596372</v>
      </c>
      <c r="N419" t="n">
        <v>0.97803288</v>
      </c>
      <c r="O419" t="n">
        <v>30.319019</v>
      </c>
      <c r="P419" t="n">
        <v>0.11111111</v>
      </c>
      <c r="Q419" t="n">
        <v>0.14285714</v>
      </c>
      <c r="R419" t="n">
        <v>0.25396825</v>
      </c>
      <c r="S419" t="n">
        <v>0.81746032</v>
      </c>
      <c r="T419" t="n">
        <v>0.89414935</v>
      </c>
      <c r="U419" t="n">
        <v>27.71863</v>
      </c>
      <c r="V419" t="b">
        <v>1</v>
      </c>
      <c r="W419" t="n">
        <v>1</v>
      </c>
      <c r="X419" t="inlineStr">
        <is>
          <t>role_subrole_balanced_score = base_support_score * capped sqrt(avg_macro_multiplier * avg_subrole_multiplier); role/subrole quota constraints use inverse weights.</t>
        </is>
      </c>
    </row>
    <row r="420">
      <c r="A420" t="inlineStr">
        <is>
          <t>C0419</t>
        </is>
      </c>
      <c r="B420" t="inlineStr">
        <is>
          <t>x_0419</t>
        </is>
      </c>
      <c r="C420" t="inlineStr">
        <is>
          <t>Aturas GmbH</t>
        </is>
      </c>
      <c r="D420" t="inlineStr">
        <is>
          <t>profit_anchor</t>
        </is>
      </c>
      <c r="E420" t="inlineStr">
        <is>
          <t>technology_digital_anchor</t>
        </is>
      </c>
      <c r="F420" t="inlineStr">
        <is>
          <t>SmartFactory KL e.V.</t>
        </is>
      </c>
      <c r="G420" t="inlineStr">
        <is>
          <t>context_actor</t>
        </is>
      </c>
      <c r="H420" t="inlineStr">
        <is>
          <t>technology_digital_anchor</t>
        </is>
      </c>
      <c r="I420" t="n">
        <v>31</v>
      </c>
      <c r="J420" t="n">
        <v>0</v>
      </c>
      <c r="K420" t="n">
        <v>0.02040816</v>
      </c>
      <c r="L420" t="n">
        <v>0.03846154</v>
      </c>
      <c r="M420" t="n">
        <v>0.0588697</v>
      </c>
      <c r="N420" t="n">
        <v>0.75794741</v>
      </c>
      <c r="O420" t="n">
        <v>23.49637</v>
      </c>
      <c r="P420" t="n">
        <v>0.11111111</v>
      </c>
      <c r="Q420" t="n">
        <v>0.11111111</v>
      </c>
      <c r="R420" t="n">
        <v>0.22222222</v>
      </c>
      <c r="S420" t="n">
        <v>0.71527778</v>
      </c>
      <c r="T420" t="n">
        <v>0.73630356</v>
      </c>
      <c r="U420" t="n">
        <v>22.82541</v>
      </c>
      <c r="V420" t="b">
        <v>0</v>
      </c>
      <c r="W420" t="n">
        <v>0</v>
      </c>
      <c r="X420" t="inlineStr">
        <is>
          <t>role_subrole_balanced_score = base_support_score * capped sqrt(avg_macro_multiplier * avg_subrole_multiplier); role/subrole quota constraints use inverse weights.</t>
        </is>
      </c>
    </row>
    <row r="421">
      <c r="A421" t="inlineStr">
        <is>
          <t>C0420</t>
        </is>
      </c>
      <c r="B421" t="inlineStr">
        <is>
          <t>x_0420</t>
        </is>
      </c>
      <c r="C421" t="inlineStr">
        <is>
          <t>Aturas GmbH</t>
        </is>
      </c>
      <c r="D421" t="inlineStr">
        <is>
          <t>profit_anchor</t>
        </is>
      </c>
      <c r="E421" t="inlineStr">
        <is>
          <t>technology_digital_anchor</t>
        </is>
      </c>
      <c r="F421" t="inlineStr">
        <is>
          <t>robotspaceship</t>
        </is>
      </c>
      <c r="G421" t="inlineStr">
        <is>
          <t>context_actor</t>
        </is>
      </c>
      <c r="H421" t="inlineStr">
        <is>
          <t>technology_digital_anchor</t>
        </is>
      </c>
      <c r="I421" t="n">
        <v>31</v>
      </c>
      <c r="J421" t="n">
        <v>0</v>
      </c>
      <c r="K421" t="n">
        <v>0.02040816</v>
      </c>
      <c r="L421" t="n">
        <v>0.03846154</v>
      </c>
      <c r="M421" t="n">
        <v>0.0588697</v>
      </c>
      <c r="N421" t="n">
        <v>0.75794741</v>
      </c>
      <c r="O421" t="n">
        <v>23.49637</v>
      </c>
      <c r="P421" t="n">
        <v>0.11111111</v>
      </c>
      <c r="Q421" t="n">
        <v>0.11111111</v>
      </c>
      <c r="R421" t="n">
        <v>0.22222222</v>
      </c>
      <c r="S421" t="n">
        <v>0.71527778</v>
      </c>
      <c r="T421" t="n">
        <v>0.73630356</v>
      </c>
      <c r="U421" t="n">
        <v>22.82541</v>
      </c>
      <c r="V421" t="b">
        <v>0</v>
      </c>
      <c r="W421" t="n">
        <v>0</v>
      </c>
      <c r="X421" t="inlineStr">
        <is>
          <t>role_subrole_balanced_score = base_support_score * capped sqrt(avg_macro_multiplier * avg_subrole_multiplier); role/subrole quota constraints use inverse weights.</t>
        </is>
      </c>
    </row>
    <row r="422">
      <c r="A422" t="inlineStr">
        <is>
          <t>C0421</t>
        </is>
      </c>
      <c r="B422" t="inlineStr">
        <is>
          <t>x_0421</t>
        </is>
      </c>
      <c r="C422" t="inlineStr">
        <is>
          <t>Handwerkskammern Rheinland-Pfalz</t>
        </is>
      </c>
      <c r="D422" t="inlineStr">
        <is>
          <t>implementation_anchor</t>
        </is>
      </c>
      <c r="E422" t="inlineStr">
        <is>
          <t>chamber_association_anchor</t>
        </is>
      </c>
      <c r="F422" t="inlineStr">
        <is>
          <t>Hochschule Koblenz</t>
        </is>
      </c>
      <c r="G422" t="inlineStr">
        <is>
          <t>academic_support</t>
        </is>
      </c>
      <c r="H422" t="inlineStr">
        <is>
          <t>university_applied_sciences</t>
        </is>
      </c>
      <c r="I422" t="n">
        <v>31</v>
      </c>
      <c r="J422" t="n">
        <v>0</v>
      </c>
      <c r="K422" t="n">
        <v>0.1</v>
      </c>
      <c r="L422" t="n">
        <v>0.05555556</v>
      </c>
      <c r="M422" t="n">
        <v>0.15555556</v>
      </c>
      <c r="N422" t="n">
        <v>2.00277778</v>
      </c>
      <c r="O422" t="n">
        <v>62.086111</v>
      </c>
      <c r="P422" t="n">
        <v>0.25</v>
      </c>
      <c r="Q422" t="n">
        <v>0.09090909</v>
      </c>
      <c r="R422" t="n">
        <v>0.34090909</v>
      </c>
      <c r="S422" t="n">
        <v>1.09730114</v>
      </c>
      <c r="T422" t="n">
        <v>1.48244741</v>
      </c>
      <c r="U422" t="n">
        <v>45.95587</v>
      </c>
      <c r="V422" t="b">
        <v>1</v>
      </c>
      <c r="W422" t="n">
        <v>1</v>
      </c>
      <c r="X422" t="inlineStr">
        <is>
          <t>role_subrole_balanced_score = base_support_score * capped sqrt(avg_macro_multiplier * avg_subrole_multiplier); role/subrole quota constraints use inverse weights.</t>
        </is>
      </c>
    </row>
    <row r="423">
      <c r="A423" t="inlineStr">
        <is>
          <t>C0422</t>
        </is>
      </c>
      <c r="B423" t="inlineStr">
        <is>
          <t>x_0422</t>
        </is>
      </c>
      <c r="C423" t="inlineStr">
        <is>
          <t>AOK Rheinland-Pfalz/Saarland</t>
        </is>
      </c>
      <c r="D423" t="inlineStr">
        <is>
          <t>context_actor</t>
        </is>
      </c>
      <c r="E423" t="inlineStr">
        <is>
          <t>health_social_anchor</t>
        </is>
      </c>
      <c r="F423" t="inlineStr">
        <is>
          <t>Bundesagentur für Arbeit, Regionaldirektion Rheinland-Pfalz-Saarland</t>
        </is>
      </c>
      <c r="G423" t="inlineStr">
        <is>
          <t>implementation_anchor</t>
        </is>
      </c>
      <c r="H423" t="inlineStr">
        <is>
          <t>public_policy_anchor</t>
        </is>
      </c>
      <c r="I423" t="n">
        <v>31</v>
      </c>
      <c r="J423" t="n">
        <v>0</v>
      </c>
      <c r="K423" t="n">
        <v>0.03846154</v>
      </c>
      <c r="L423" t="n">
        <v>0.1</v>
      </c>
      <c r="M423" t="n">
        <v>0.13846154</v>
      </c>
      <c r="N423" t="n">
        <v>1.78269231</v>
      </c>
      <c r="O423" t="n">
        <v>55.263462</v>
      </c>
      <c r="P423" t="n">
        <v>0.08333333</v>
      </c>
      <c r="Q423" t="n">
        <v>0.16666667</v>
      </c>
      <c r="R423" t="n">
        <v>0.25</v>
      </c>
      <c r="S423" t="n">
        <v>0.8046875</v>
      </c>
      <c r="T423" t="n">
        <v>1.19771041</v>
      </c>
      <c r="U423" t="n">
        <v>37.129023</v>
      </c>
      <c r="V423" t="b">
        <v>0</v>
      </c>
      <c r="W423" t="n">
        <v>0</v>
      </c>
      <c r="X423" t="inlineStr">
        <is>
          <t>role_subrole_balanced_score = base_support_score * capped sqrt(avg_macro_multiplier * avg_subrole_multiplier); role/subrole quota constraints use inverse weights.</t>
        </is>
      </c>
    </row>
    <row r="424">
      <c r="A424" t="inlineStr">
        <is>
          <t>C0423</t>
        </is>
      </c>
      <c r="B424" t="inlineStr">
        <is>
          <t>x_0423</t>
        </is>
      </c>
      <c r="C424" t="inlineStr">
        <is>
          <t>AOK Rheinland-Pfalz/Saarland</t>
        </is>
      </c>
      <c r="D424" t="inlineStr">
        <is>
          <t>context_actor</t>
        </is>
      </c>
      <c r="E424" t="inlineStr">
        <is>
          <t>health_social_anchor</t>
        </is>
      </c>
      <c r="F424" t="inlineStr">
        <is>
          <t>Caritasverband für die Diözese Speyer e.V.</t>
        </is>
      </c>
      <c r="G424" t="inlineStr">
        <is>
          <t>implementation_anchor</t>
        </is>
      </c>
      <c r="H424" t="inlineStr">
        <is>
          <t>health_social_anchor</t>
        </is>
      </c>
      <c r="I424" t="n">
        <v>31</v>
      </c>
      <c r="J424" t="n">
        <v>0</v>
      </c>
      <c r="K424" t="n">
        <v>0.03846154</v>
      </c>
      <c r="L424" t="n">
        <v>0.1</v>
      </c>
      <c r="M424" t="n">
        <v>0.13846154</v>
      </c>
      <c r="N424" t="n">
        <v>1.78269231</v>
      </c>
      <c r="O424" t="n">
        <v>55.263462</v>
      </c>
      <c r="P424" t="n">
        <v>0.08333333</v>
      </c>
      <c r="Q424" t="n">
        <v>0.08333333</v>
      </c>
      <c r="R424" t="n">
        <v>0.16666667</v>
      </c>
      <c r="S424" t="n">
        <v>0.53645833</v>
      </c>
      <c r="T424" t="n">
        <v>0.97792645</v>
      </c>
      <c r="U424" t="n">
        <v>30.31572</v>
      </c>
      <c r="V424" t="b">
        <v>0</v>
      </c>
      <c r="W424" t="n">
        <v>0</v>
      </c>
      <c r="X424" t="inlineStr">
        <is>
          <t>role_subrole_balanced_score = base_support_score * capped sqrt(avg_macro_multiplier * avg_subrole_multiplier); role/subrole quota constraints use inverse weights.</t>
        </is>
      </c>
    </row>
    <row r="425">
      <c r="A425" t="inlineStr">
        <is>
          <t>C0424</t>
        </is>
      </c>
      <c r="B425" t="inlineStr">
        <is>
          <t>x_0424</t>
        </is>
      </c>
      <c r="C425" t="inlineStr">
        <is>
          <t>Barmherzige Brüder Trier gGmbH</t>
        </is>
      </c>
      <c r="D425" t="inlineStr">
        <is>
          <t>context_actor</t>
        </is>
      </c>
      <c r="E425" t="inlineStr">
        <is>
          <t>health_social_anchor</t>
        </is>
      </c>
      <c r="F425" t="inlineStr">
        <is>
          <t>LandesPsychotherapeutenKammer Rheinland-Pfalz</t>
        </is>
      </c>
      <c r="G425" t="inlineStr">
        <is>
          <t>implementation_anchor</t>
        </is>
      </c>
      <c r="H425" t="inlineStr">
        <is>
          <t>health_social_anchor</t>
        </is>
      </c>
      <c r="I425" t="n">
        <v>31</v>
      </c>
      <c r="J425" t="n">
        <v>0</v>
      </c>
      <c r="K425" t="n">
        <v>0.03846154</v>
      </c>
      <c r="L425" t="n">
        <v>0.1</v>
      </c>
      <c r="M425" t="n">
        <v>0.13846154</v>
      </c>
      <c r="N425" t="n">
        <v>1.78269231</v>
      </c>
      <c r="O425" t="n">
        <v>55.263462</v>
      </c>
      <c r="P425" t="n">
        <v>0.08333333</v>
      </c>
      <c r="Q425" t="n">
        <v>0.08333333</v>
      </c>
      <c r="R425" t="n">
        <v>0.16666667</v>
      </c>
      <c r="S425" t="n">
        <v>0.53645833</v>
      </c>
      <c r="T425" t="n">
        <v>0.97792645</v>
      </c>
      <c r="U425" t="n">
        <v>30.31572</v>
      </c>
      <c r="V425" t="b">
        <v>0</v>
      </c>
      <c r="W425" t="n">
        <v>0</v>
      </c>
      <c r="X425" t="inlineStr">
        <is>
          <t>role_subrole_balanced_score = base_support_score * capped sqrt(avg_macro_multiplier * avg_subrole_multiplier); role/subrole quota constraints use inverse weights.</t>
        </is>
      </c>
    </row>
    <row r="426">
      <c r="A426" t="inlineStr">
        <is>
          <t>C0425</t>
        </is>
      </c>
      <c r="B426" t="inlineStr">
        <is>
          <t>x_0425</t>
        </is>
      </c>
      <c r="C426" t="inlineStr">
        <is>
          <t>Barmherzige Brüder Trier gGmbH</t>
        </is>
      </c>
      <c r="D426" t="inlineStr">
        <is>
          <t>context_actor</t>
        </is>
      </c>
      <c r="E426" t="inlineStr">
        <is>
          <t>health_social_anchor</t>
        </is>
      </c>
      <c r="F426" t="inlineStr">
        <is>
          <t>Landesärztekammer Rheinland-Pfalz</t>
        </is>
      </c>
      <c r="G426" t="inlineStr">
        <is>
          <t>implementation_anchor</t>
        </is>
      </c>
      <c r="H426" t="inlineStr">
        <is>
          <t>health_social_anchor</t>
        </is>
      </c>
      <c r="I426" t="n">
        <v>31</v>
      </c>
      <c r="J426" t="n">
        <v>0</v>
      </c>
      <c r="K426" t="n">
        <v>0.03846154</v>
      </c>
      <c r="L426" t="n">
        <v>0.1</v>
      </c>
      <c r="M426" t="n">
        <v>0.13846154</v>
      </c>
      <c r="N426" t="n">
        <v>1.78269231</v>
      </c>
      <c r="O426" t="n">
        <v>55.263462</v>
      </c>
      <c r="P426" t="n">
        <v>0.08333333</v>
      </c>
      <c r="Q426" t="n">
        <v>0.08333333</v>
      </c>
      <c r="R426" t="n">
        <v>0.16666667</v>
      </c>
      <c r="S426" t="n">
        <v>0.53645833</v>
      </c>
      <c r="T426" t="n">
        <v>0.97792645</v>
      </c>
      <c r="U426" t="n">
        <v>30.31572</v>
      </c>
      <c r="V426" t="b">
        <v>0</v>
      </c>
      <c r="W426" t="n">
        <v>0</v>
      </c>
      <c r="X426" t="inlineStr">
        <is>
          <t>role_subrole_balanced_score = base_support_score * capped sqrt(avg_macro_multiplier * avg_subrole_multiplier); role/subrole quota constraints use inverse weights.</t>
        </is>
      </c>
    </row>
    <row r="427">
      <c r="A427" t="inlineStr">
        <is>
          <t>C0426</t>
        </is>
      </c>
      <c r="B427" t="inlineStr">
        <is>
          <t>x_0426</t>
        </is>
      </c>
      <c r="C427" t="inlineStr">
        <is>
          <t>Bundesagentur für Arbeit, Regionaldirektion Rheinland-Pfalz-Saarland</t>
        </is>
      </c>
      <c r="D427" t="inlineStr">
        <is>
          <t>implementation_anchor</t>
        </is>
      </c>
      <c r="E427" t="inlineStr">
        <is>
          <t>public_policy_anchor</t>
        </is>
      </c>
      <c r="F427" t="inlineStr">
        <is>
          <t>Deutscher Gewerkschaftsbund (DGB) Rheinland-Pfalz/Saarland</t>
        </is>
      </c>
      <c r="G427" t="inlineStr">
        <is>
          <t>context_actor</t>
        </is>
      </c>
      <c r="H427" t="inlineStr">
        <is>
          <t>chamber_association_anchor</t>
        </is>
      </c>
      <c r="I427" t="n">
        <v>31</v>
      </c>
      <c r="J427" t="n">
        <v>0</v>
      </c>
      <c r="K427" t="n">
        <v>0.1</v>
      </c>
      <c r="L427" t="n">
        <v>0.03846154</v>
      </c>
      <c r="M427" t="n">
        <v>0.13846154</v>
      </c>
      <c r="N427" t="n">
        <v>1.78269231</v>
      </c>
      <c r="O427" t="n">
        <v>55.263462</v>
      </c>
      <c r="P427" t="n">
        <v>0.16666667</v>
      </c>
      <c r="Q427" t="n">
        <v>0.25</v>
      </c>
      <c r="R427" t="n">
        <v>0.41666667</v>
      </c>
      <c r="S427" t="n">
        <v>1.34114583</v>
      </c>
      <c r="T427" t="n">
        <v>1.54623749</v>
      </c>
      <c r="U427" t="n">
        <v>47.933362</v>
      </c>
      <c r="V427" t="b">
        <v>0</v>
      </c>
      <c r="W427" t="n">
        <v>0</v>
      </c>
      <c r="X427" t="inlineStr">
        <is>
          <t>role_subrole_balanced_score = base_support_score * capped sqrt(avg_macro_multiplier * avg_subrole_multiplier); role/subrole quota constraints use inverse weights.</t>
        </is>
      </c>
    </row>
    <row r="428">
      <c r="A428" t="inlineStr">
        <is>
          <t>C0427</t>
        </is>
      </c>
      <c r="B428" t="inlineStr">
        <is>
          <t>x_0427</t>
        </is>
      </c>
      <c r="C428" t="inlineStr">
        <is>
          <t>Bundesagentur für Arbeit, Regionaldirektion Rheinland-Pfalz-Saarland</t>
        </is>
      </c>
      <c r="D428" t="inlineStr">
        <is>
          <t>implementation_anchor</t>
        </is>
      </c>
      <c r="E428" t="inlineStr">
        <is>
          <t>public_policy_anchor</t>
        </is>
      </c>
      <c r="F428" t="inlineStr">
        <is>
          <t>IKK Südwest</t>
        </is>
      </c>
      <c r="G428" t="inlineStr">
        <is>
          <t>context_actor</t>
        </is>
      </c>
      <c r="H428" t="inlineStr">
        <is>
          <t>health_social_anchor</t>
        </is>
      </c>
      <c r="I428" t="n">
        <v>31</v>
      </c>
      <c r="J428" t="n">
        <v>0</v>
      </c>
      <c r="K428" t="n">
        <v>0.1</v>
      </c>
      <c r="L428" t="n">
        <v>0.03846154</v>
      </c>
      <c r="M428" t="n">
        <v>0.13846154</v>
      </c>
      <c r="N428" t="n">
        <v>1.78269231</v>
      </c>
      <c r="O428" t="n">
        <v>55.263462</v>
      </c>
      <c r="P428" t="n">
        <v>0.16666667</v>
      </c>
      <c r="Q428" t="n">
        <v>0.08333333</v>
      </c>
      <c r="R428" t="n">
        <v>0.25</v>
      </c>
      <c r="S428" t="n">
        <v>0.8046875</v>
      </c>
      <c r="T428" t="n">
        <v>1.19771041</v>
      </c>
      <c r="U428" t="n">
        <v>37.129023</v>
      </c>
      <c r="V428" t="b">
        <v>0</v>
      </c>
      <c r="W428" t="n">
        <v>0</v>
      </c>
      <c r="X428" t="inlineStr">
        <is>
          <t>role_subrole_balanced_score = base_support_score * capped sqrt(avg_macro_multiplier * avg_subrole_multiplier); role/subrole quota constraints use inverse weights.</t>
        </is>
      </c>
    </row>
    <row r="429">
      <c r="A429" t="inlineStr">
        <is>
          <t>C0428</t>
        </is>
      </c>
      <c r="B429" t="inlineStr">
        <is>
          <t>x_0428</t>
        </is>
      </c>
      <c r="C429" t="inlineStr">
        <is>
          <t>Bundesagentur für Arbeit, Regionaldirektion Rheinland-Pfalz-Saarland</t>
        </is>
      </c>
      <c r="D429" t="inlineStr">
        <is>
          <t>implementation_anchor</t>
        </is>
      </c>
      <c r="E429" t="inlineStr">
        <is>
          <t>public_policy_anchor</t>
        </is>
      </c>
      <c r="F429" t="inlineStr">
        <is>
          <t>Kassenärztliche Vereinigung Rheinland-Pfalz</t>
        </is>
      </c>
      <c r="G429" t="inlineStr">
        <is>
          <t>context_actor</t>
        </is>
      </c>
      <c r="H429" t="inlineStr">
        <is>
          <t>health_social_anchor</t>
        </is>
      </c>
      <c r="I429" t="n">
        <v>31</v>
      </c>
      <c r="J429" t="n">
        <v>0</v>
      </c>
      <c r="K429" t="n">
        <v>0.1</v>
      </c>
      <c r="L429" t="n">
        <v>0.03846154</v>
      </c>
      <c r="M429" t="n">
        <v>0.13846154</v>
      </c>
      <c r="N429" t="n">
        <v>1.78269231</v>
      </c>
      <c r="O429" t="n">
        <v>55.263462</v>
      </c>
      <c r="P429" t="n">
        <v>0.16666667</v>
      </c>
      <c r="Q429" t="n">
        <v>0.08333333</v>
      </c>
      <c r="R429" t="n">
        <v>0.25</v>
      </c>
      <c r="S429" t="n">
        <v>0.8046875</v>
      </c>
      <c r="T429" t="n">
        <v>1.19771041</v>
      </c>
      <c r="U429" t="n">
        <v>37.129023</v>
      </c>
      <c r="V429" t="b">
        <v>0</v>
      </c>
      <c r="W429" t="n">
        <v>0</v>
      </c>
      <c r="X429" t="inlineStr">
        <is>
          <t>role_subrole_balanced_score = base_support_score * capped sqrt(avg_macro_multiplier * avg_subrole_multiplier); role/subrole quota constraints use inverse weights.</t>
        </is>
      </c>
    </row>
    <row r="430">
      <c r="A430" t="inlineStr">
        <is>
          <t>C0429</t>
        </is>
      </c>
      <c r="B430" t="inlineStr">
        <is>
          <t>x_0429</t>
        </is>
      </c>
      <c r="C430" t="inlineStr">
        <is>
          <t>Bundesagentur für Arbeit, Regionaldirektion Rheinland-Pfalz-Saarland</t>
        </is>
      </c>
      <c r="D430" t="inlineStr">
        <is>
          <t>implementation_anchor</t>
        </is>
      </c>
      <c r="E430" t="inlineStr">
        <is>
          <t>public_policy_anchor</t>
        </is>
      </c>
      <c r="F430" t="inlineStr">
        <is>
          <t>Techniker Krankenkasse</t>
        </is>
      </c>
      <c r="G430" t="inlineStr">
        <is>
          <t>context_actor</t>
        </is>
      </c>
      <c r="H430" t="inlineStr">
        <is>
          <t>health_social_anchor</t>
        </is>
      </c>
      <c r="I430" t="n">
        <v>31</v>
      </c>
      <c r="J430" t="n">
        <v>0</v>
      </c>
      <c r="K430" t="n">
        <v>0.1</v>
      </c>
      <c r="L430" t="n">
        <v>0.03846154</v>
      </c>
      <c r="M430" t="n">
        <v>0.13846154</v>
      </c>
      <c r="N430" t="n">
        <v>1.78269231</v>
      </c>
      <c r="O430" t="n">
        <v>55.263462</v>
      </c>
      <c r="P430" t="n">
        <v>0.16666667</v>
      </c>
      <c r="Q430" t="n">
        <v>0.08333333</v>
      </c>
      <c r="R430" t="n">
        <v>0.25</v>
      </c>
      <c r="S430" t="n">
        <v>0.8046875</v>
      </c>
      <c r="T430" t="n">
        <v>1.19771041</v>
      </c>
      <c r="U430" t="n">
        <v>37.129023</v>
      </c>
      <c r="V430" t="b">
        <v>0</v>
      </c>
      <c r="W430" t="n">
        <v>0</v>
      </c>
      <c r="X430" t="inlineStr">
        <is>
          <t>role_subrole_balanced_score = base_support_score * capped sqrt(avg_macro_multiplier * avg_subrole_multiplier); role/subrole quota constraints use inverse weights.</t>
        </is>
      </c>
    </row>
    <row r="431">
      <c r="A431" t="inlineStr">
        <is>
          <t>C0430</t>
        </is>
      </c>
      <c r="B431" t="inlineStr">
        <is>
          <t>x_0430</t>
        </is>
      </c>
      <c r="C431" t="inlineStr">
        <is>
          <t>Caritasverband für die Diözese Speyer e.V.</t>
        </is>
      </c>
      <c r="D431" t="inlineStr">
        <is>
          <t>implementation_anchor</t>
        </is>
      </c>
      <c r="E431" t="inlineStr">
        <is>
          <t>health_social_anchor</t>
        </is>
      </c>
      <c r="F431" t="inlineStr">
        <is>
          <t>Deutscher Gewerkschaftsbund (DGB) Rheinland-Pfalz/Saarland</t>
        </is>
      </c>
      <c r="G431" t="inlineStr">
        <is>
          <t>context_actor</t>
        </is>
      </c>
      <c r="H431" t="inlineStr">
        <is>
          <t>chamber_association_anchor</t>
        </is>
      </c>
      <c r="I431" t="n">
        <v>31</v>
      </c>
      <c r="J431" t="n">
        <v>0</v>
      </c>
      <c r="K431" t="n">
        <v>0.1</v>
      </c>
      <c r="L431" t="n">
        <v>0.03846154</v>
      </c>
      <c r="M431" t="n">
        <v>0.13846154</v>
      </c>
      <c r="N431" t="n">
        <v>1.78269231</v>
      </c>
      <c r="O431" t="n">
        <v>55.263462</v>
      </c>
      <c r="P431" t="n">
        <v>0.08333333</v>
      </c>
      <c r="Q431" t="n">
        <v>0.25</v>
      </c>
      <c r="R431" t="n">
        <v>0.33333333</v>
      </c>
      <c r="S431" t="n">
        <v>1.07291667</v>
      </c>
      <c r="T431" t="n">
        <v>1.38299685</v>
      </c>
      <c r="U431" t="n">
        <v>42.872902</v>
      </c>
      <c r="V431" t="b">
        <v>0</v>
      </c>
      <c r="W431" t="n">
        <v>0</v>
      </c>
      <c r="X431" t="inlineStr">
        <is>
          <t>role_subrole_balanced_score = base_support_score * capped sqrt(avg_macro_multiplier * avg_subrole_multiplier); role/subrole quota constraints use inverse weights.</t>
        </is>
      </c>
    </row>
    <row r="432">
      <c r="A432" t="inlineStr">
        <is>
          <t>C0431</t>
        </is>
      </c>
      <c r="B432" t="inlineStr">
        <is>
          <t>x_0431</t>
        </is>
      </c>
      <c r="C432" t="inlineStr">
        <is>
          <t>Caritasverband für die Diözese Speyer e.V.</t>
        </is>
      </c>
      <c r="D432" t="inlineStr">
        <is>
          <t>implementation_anchor</t>
        </is>
      </c>
      <c r="E432" t="inlineStr">
        <is>
          <t>health_social_anchor</t>
        </is>
      </c>
      <c r="F432" t="inlineStr">
        <is>
          <t>IKK Südwest</t>
        </is>
      </c>
      <c r="G432" t="inlineStr">
        <is>
          <t>context_actor</t>
        </is>
      </c>
      <c r="H432" t="inlineStr">
        <is>
          <t>health_social_anchor</t>
        </is>
      </c>
      <c r="I432" t="n">
        <v>31</v>
      </c>
      <c r="J432" t="n">
        <v>0</v>
      </c>
      <c r="K432" t="n">
        <v>0.1</v>
      </c>
      <c r="L432" t="n">
        <v>0.03846154</v>
      </c>
      <c r="M432" t="n">
        <v>0.13846154</v>
      </c>
      <c r="N432" t="n">
        <v>1.78269231</v>
      </c>
      <c r="O432" t="n">
        <v>55.263462</v>
      </c>
      <c r="P432" t="n">
        <v>0.08333333</v>
      </c>
      <c r="Q432" t="n">
        <v>0.08333333</v>
      </c>
      <c r="R432" t="n">
        <v>0.16666667</v>
      </c>
      <c r="S432" t="n">
        <v>0.53645833</v>
      </c>
      <c r="T432" t="n">
        <v>0.97792645</v>
      </c>
      <c r="U432" t="n">
        <v>30.31572</v>
      </c>
      <c r="V432" t="b">
        <v>0</v>
      </c>
      <c r="W432" t="n">
        <v>0</v>
      </c>
      <c r="X432" t="inlineStr">
        <is>
          <t>role_subrole_balanced_score = base_support_score * capped sqrt(avg_macro_multiplier * avg_subrole_multiplier); role/subrole quota constraints use inverse weights.</t>
        </is>
      </c>
    </row>
    <row r="433">
      <c r="A433" t="inlineStr">
        <is>
          <t>C0432</t>
        </is>
      </c>
      <c r="B433" t="inlineStr">
        <is>
          <t>x_0432</t>
        </is>
      </c>
      <c r="C433" t="inlineStr">
        <is>
          <t>1. FSV Mainz 05 e.V.</t>
        </is>
      </c>
      <c r="D433" t="inlineStr">
        <is>
          <t>context_actor</t>
        </is>
      </c>
      <c r="E433" t="inlineStr">
        <is>
          <t>sports_regional_identity_anchor</t>
        </is>
      </c>
      <c r="F433" t="inlineStr">
        <is>
          <t>LOTTO Rheinland-Pfalz GmbH</t>
        </is>
      </c>
      <c r="G433" t="inlineStr">
        <is>
          <t>profit_anchor</t>
        </is>
      </c>
      <c r="H433" t="inlineStr">
        <is>
          <t>culture_foundation_anchor</t>
        </is>
      </c>
      <c r="I433" t="n">
        <v>31</v>
      </c>
      <c r="J433" t="n">
        <v>0</v>
      </c>
      <c r="K433" t="n">
        <v>0.03846154</v>
      </c>
      <c r="L433" t="n">
        <v>0.02040816</v>
      </c>
      <c r="M433" t="n">
        <v>0.0588697</v>
      </c>
      <c r="N433" t="n">
        <v>0.75794741</v>
      </c>
      <c r="O433" t="n">
        <v>23.49637</v>
      </c>
      <c r="P433" t="n">
        <v>0.5</v>
      </c>
      <c r="Q433" t="n">
        <v>0.33333333</v>
      </c>
      <c r="R433" t="n">
        <v>0.83333333</v>
      </c>
      <c r="S433" t="n">
        <v>2.68229167</v>
      </c>
      <c r="T433" t="n">
        <v>1.42584572</v>
      </c>
      <c r="U433" t="n">
        <v>44.201217</v>
      </c>
      <c r="V433" t="b">
        <v>0</v>
      </c>
      <c r="W433" t="n">
        <v>0</v>
      </c>
      <c r="X433" t="inlineStr">
        <is>
          <t>role_subrole_balanced_score = base_support_score * capped sqrt(avg_macro_multiplier * avg_subrole_multiplier); role/subrole quota constraints use inverse weights.</t>
        </is>
      </c>
    </row>
    <row r="434">
      <c r="A434" t="inlineStr">
        <is>
          <t>C0433</t>
        </is>
      </c>
      <c r="B434" t="inlineStr">
        <is>
          <t>x_0433</t>
        </is>
      </c>
      <c r="C434" t="inlineStr">
        <is>
          <t>AOK Rheinland-Pfalz/Saarland</t>
        </is>
      </c>
      <c r="D434" t="inlineStr">
        <is>
          <t>context_actor</t>
        </is>
      </c>
      <c r="E434" t="inlineStr">
        <is>
          <t>health_social_anchor</t>
        </is>
      </c>
      <c r="F434" t="inlineStr">
        <is>
          <t>Erster FC Kaiserslautern GmbH &amp; Co. KGaA</t>
        </is>
      </c>
      <c r="G434" t="inlineStr">
        <is>
          <t>profit_anchor</t>
        </is>
      </c>
      <c r="H434" t="inlineStr">
        <is>
          <t>sports_regional_identity_anchor</t>
        </is>
      </c>
      <c r="I434" t="n">
        <v>31</v>
      </c>
      <c r="J434" t="n">
        <v>0</v>
      </c>
      <c r="K434" t="n">
        <v>0.03846154</v>
      </c>
      <c r="L434" t="n">
        <v>0.02040816</v>
      </c>
      <c r="M434" t="n">
        <v>0.0588697</v>
      </c>
      <c r="N434" t="n">
        <v>0.75794741</v>
      </c>
      <c r="O434" t="n">
        <v>23.49637</v>
      </c>
      <c r="P434" t="n">
        <v>0.08333333</v>
      </c>
      <c r="Q434" t="n">
        <v>0.5</v>
      </c>
      <c r="R434" t="n">
        <v>0.58333333</v>
      </c>
      <c r="S434" t="n">
        <v>1.87760417</v>
      </c>
      <c r="T434" t="n">
        <v>1.19294812</v>
      </c>
      <c r="U434" t="n">
        <v>36.981392</v>
      </c>
      <c r="V434" t="b">
        <v>0</v>
      </c>
      <c r="W434" t="n">
        <v>0</v>
      </c>
      <c r="X434" t="inlineStr">
        <is>
          <t>role_subrole_balanced_score = base_support_score * capped sqrt(avg_macro_multiplier * avg_subrole_multiplier); role/subrole quota constraints use inverse weights.</t>
        </is>
      </c>
    </row>
    <row r="435">
      <c r="A435" t="inlineStr">
        <is>
          <t>C0434</t>
        </is>
      </c>
      <c r="B435" t="inlineStr">
        <is>
          <t>x_0434</t>
        </is>
      </c>
      <c r="C435" t="inlineStr">
        <is>
          <t>Erster FC Kaiserslautern GmbH &amp; Co. KGaA</t>
        </is>
      </c>
      <c r="D435" t="inlineStr">
        <is>
          <t>profit_anchor</t>
        </is>
      </c>
      <c r="E435" t="inlineStr">
        <is>
          <t>sports_regional_identity_anchor</t>
        </is>
      </c>
      <c r="F435" t="inlineStr">
        <is>
          <t>IKK Südwest</t>
        </is>
      </c>
      <c r="G435" t="inlineStr">
        <is>
          <t>context_actor</t>
        </is>
      </c>
      <c r="H435" t="inlineStr">
        <is>
          <t>health_social_anchor</t>
        </is>
      </c>
      <c r="I435" t="n">
        <v>31</v>
      </c>
      <c r="J435" t="n">
        <v>0</v>
      </c>
      <c r="K435" t="n">
        <v>0.02040816</v>
      </c>
      <c r="L435" t="n">
        <v>0.03846154</v>
      </c>
      <c r="M435" t="n">
        <v>0.0588697</v>
      </c>
      <c r="N435" t="n">
        <v>0.75794741</v>
      </c>
      <c r="O435" t="n">
        <v>23.49637</v>
      </c>
      <c r="P435" t="n">
        <v>0.5</v>
      </c>
      <c r="Q435" t="n">
        <v>0.08333333</v>
      </c>
      <c r="R435" t="n">
        <v>0.58333333</v>
      </c>
      <c r="S435" t="n">
        <v>1.87760417</v>
      </c>
      <c r="T435" t="n">
        <v>1.19294812</v>
      </c>
      <c r="U435" t="n">
        <v>36.981392</v>
      </c>
      <c r="V435" t="b">
        <v>0</v>
      </c>
      <c r="W435" t="n">
        <v>0</v>
      </c>
      <c r="X435" t="inlineStr">
        <is>
          <t>role_subrole_balanced_score = base_support_score * capped sqrt(avg_macro_multiplier * avg_subrole_multiplier); role/subrole quota constraints use inverse weights.</t>
        </is>
      </c>
    </row>
    <row r="436">
      <c r="A436" t="inlineStr">
        <is>
          <t>C0435</t>
        </is>
      </c>
      <c r="B436" t="inlineStr">
        <is>
          <t>x_0435</t>
        </is>
      </c>
      <c r="C436" t="inlineStr">
        <is>
          <t>Erster FC Kaiserslautern GmbH &amp; Co. KGaA</t>
        </is>
      </c>
      <c r="D436" t="inlineStr">
        <is>
          <t>profit_anchor</t>
        </is>
      </c>
      <c r="E436" t="inlineStr">
        <is>
          <t>sports_regional_identity_anchor</t>
        </is>
      </c>
      <c r="F436" t="inlineStr">
        <is>
          <t>RPR1.</t>
        </is>
      </c>
      <c r="G436" t="inlineStr">
        <is>
          <t>context_actor</t>
        </is>
      </c>
      <c r="H436" t="inlineStr">
        <is>
          <t>media_publicity_anchor</t>
        </is>
      </c>
      <c r="I436" t="n">
        <v>31</v>
      </c>
      <c r="J436" t="n">
        <v>0</v>
      </c>
      <c r="K436" t="n">
        <v>0.02040816</v>
      </c>
      <c r="L436" t="n">
        <v>0.03846154</v>
      </c>
      <c r="M436" t="n">
        <v>0.0588697</v>
      </c>
      <c r="N436" t="n">
        <v>0.75794741</v>
      </c>
      <c r="O436" t="n">
        <v>23.49637</v>
      </c>
      <c r="P436" t="n">
        <v>0.5</v>
      </c>
      <c r="Q436" t="n">
        <v>0.33333333</v>
      </c>
      <c r="R436" t="n">
        <v>0.83333333</v>
      </c>
      <c r="S436" t="n">
        <v>2.68229167</v>
      </c>
      <c r="T436" t="n">
        <v>1.42584572</v>
      </c>
      <c r="U436" t="n">
        <v>44.201217</v>
      </c>
      <c r="V436" t="b">
        <v>0</v>
      </c>
      <c r="W436" t="n">
        <v>0</v>
      </c>
      <c r="X436" t="inlineStr">
        <is>
          <t>role_subrole_balanced_score = base_support_score * capped sqrt(avg_macro_multiplier * avg_subrole_multiplier); role/subrole quota constraints use inverse weights.</t>
        </is>
      </c>
    </row>
    <row r="437">
      <c r="A437" t="inlineStr">
        <is>
          <t>C0436</t>
        </is>
      </c>
      <c r="B437" t="inlineStr">
        <is>
          <t>x_0436</t>
        </is>
      </c>
      <c r="C437" t="inlineStr">
        <is>
          <t>Erster FC Kaiserslautern GmbH &amp; Co. KGaA</t>
        </is>
      </c>
      <c r="D437" t="inlineStr">
        <is>
          <t>profit_anchor</t>
        </is>
      </c>
      <c r="E437" t="inlineStr">
        <is>
          <t>sports_regional_identity_anchor</t>
        </is>
      </c>
      <c r="F437" t="inlineStr">
        <is>
          <t>Techniker Krankenkasse</t>
        </is>
      </c>
      <c r="G437" t="inlineStr">
        <is>
          <t>context_actor</t>
        </is>
      </c>
      <c r="H437" t="inlineStr">
        <is>
          <t>health_social_anchor</t>
        </is>
      </c>
      <c r="I437" t="n">
        <v>31</v>
      </c>
      <c r="J437" t="n">
        <v>0</v>
      </c>
      <c r="K437" t="n">
        <v>0.02040816</v>
      </c>
      <c r="L437" t="n">
        <v>0.03846154</v>
      </c>
      <c r="M437" t="n">
        <v>0.0588697</v>
      </c>
      <c r="N437" t="n">
        <v>0.75794741</v>
      </c>
      <c r="O437" t="n">
        <v>23.49637</v>
      </c>
      <c r="P437" t="n">
        <v>0.5</v>
      </c>
      <c r="Q437" t="n">
        <v>0.08333333</v>
      </c>
      <c r="R437" t="n">
        <v>0.58333333</v>
      </c>
      <c r="S437" t="n">
        <v>1.87760417</v>
      </c>
      <c r="T437" t="n">
        <v>1.19294812</v>
      </c>
      <c r="U437" t="n">
        <v>36.981392</v>
      </c>
      <c r="V437" t="b">
        <v>0</v>
      </c>
      <c r="W437" t="n">
        <v>0</v>
      </c>
      <c r="X437" t="inlineStr">
        <is>
          <t>role_subrole_balanced_score = base_support_score * capped sqrt(avg_macro_multiplier * avg_subrole_multiplier); role/subrole quota constraints use inverse weights.</t>
        </is>
      </c>
    </row>
    <row r="438">
      <c r="A438" t="inlineStr">
        <is>
          <t>C0437</t>
        </is>
      </c>
      <c r="B438" t="inlineStr">
        <is>
          <t>x_0437</t>
        </is>
      </c>
      <c r="C438" t="inlineStr">
        <is>
          <t>BASF SE</t>
        </is>
      </c>
      <c r="D438" t="inlineStr">
        <is>
          <t>profit_anchor</t>
        </is>
      </c>
      <c r="E438" t="inlineStr">
        <is>
          <t>industry_anchor</t>
        </is>
      </c>
      <c r="F438" t="inlineStr">
        <is>
          <t>WHU – Otto Beisheim School of Management</t>
        </is>
      </c>
      <c r="G438" t="inlineStr">
        <is>
          <t>academic_support</t>
        </is>
      </c>
      <c r="H438" t="inlineStr">
        <is>
          <t>university_research</t>
        </is>
      </c>
      <c r="I438" t="n">
        <v>31</v>
      </c>
      <c r="J438" t="n">
        <v>0</v>
      </c>
      <c r="K438" t="n">
        <v>0.02040816</v>
      </c>
      <c r="L438" t="n">
        <v>0.05555556</v>
      </c>
      <c r="M438" t="n">
        <v>0.07596372</v>
      </c>
      <c r="N438" t="n">
        <v>0.97803288</v>
      </c>
      <c r="O438" t="n">
        <v>30.319019</v>
      </c>
      <c r="P438" t="n">
        <v>0.09090909</v>
      </c>
      <c r="Q438" t="n">
        <v>0.14285714</v>
      </c>
      <c r="R438" t="n">
        <v>0.23376623</v>
      </c>
      <c r="S438" t="n">
        <v>0.75243506</v>
      </c>
      <c r="T438" t="n">
        <v>0.85784977</v>
      </c>
      <c r="U438" t="n">
        <v>26.593343</v>
      </c>
      <c r="V438" t="b">
        <v>1</v>
      </c>
      <c r="W438" t="n">
        <v>1</v>
      </c>
      <c r="X438" t="inlineStr">
        <is>
          <t>role_subrole_balanced_score = base_support_score * capped sqrt(avg_macro_multiplier * avg_subrole_multiplier); role/subrole quota constraints use inverse weights.</t>
        </is>
      </c>
    </row>
    <row r="439">
      <c r="A439" t="inlineStr">
        <is>
          <t>C0438</t>
        </is>
      </c>
      <c r="B439" t="inlineStr">
        <is>
          <t>x_0438</t>
        </is>
      </c>
      <c r="C439" t="inlineStr">
        <is>
          <t>Bitburger Braugruppe GmbH</t>
        </is>
      </c>
      <c r="D439" t="inlineStr">
        <is>
          <t>profit_anchor</t>
        </is>
      </c>
      <c r="E439" t="inlineStr">
        <is>
          <t>food_beverage_consumer_anchor</t>
        </is>
      </c>
      <c r="F439" t="inlineStr">
        <is>
          <t>Investitions- und Strukturbank Rheinland-Pfalz (ISB)</t>
        </is>
      </c>
      <c r="G439" t="inlineStr">
        <is>
          <t>context_actor</t>
        </is>
      </c>
      <c r="H439" t="inlineStr">
        <is>
          <t>bank_finance_anchor</t>
        </is>
      </c>
      <c r="I439" t="n">
        <v>31</v>
      </c>
      <c r="J439" t="n">
        <v>0</v>
      </c>
      <c r="K439" t="n">
        <v>0.02040816</v>
      </c>
      <c r="L439" t="n">
        <v>0.03846154</v>
      </c>
      <c r="M439" t="n">
        <v>0.0588697</v>
      </c>
      <c r="N439" t="n">
        <v>0.75794741</v>
      </c>
      <c r="O439" t="n">
        <v>23.49637</v>
      </c>
      <c r="P439" t="n">
        <v>0.2</v>
      </c>
      <c r="Q439" t="n">
        <v>0.14285714</v>
      </c>
      <c r="R439" t="n">
        <v>0.34285714</v>
      </c>
      <c r="S439" t="n">
        <v>1.10357143</v>
      </c>
      <c r="T439" t="n">
        <v>0.91457592</v>
      </c>
      <c r="U439" t="n">
        <v>28.351853</v>
      </c>
      <c r="V439" t="b">
        <v>0</v>
      </c>
      <c r="W439" t="n">
        <v>0</v>
      </c>
      <c r="X439" t="inlineStr">
        <is>
          <t>role_subrole_balanced_score = base_support_score * capped sqrt(avg_macro_multiplier * avg_subrole_multiplier); role/subrole quota constraints use inverse weights.</t>
        </is>
      </c>
    </row>
    <row r="440">
      <c r="A440" t="inlineStr">
        <is>
          <t>C0439</t>
        </is>
      </c>
      <c r="B440" t="inlineStr">
        <is>
          <t>x_0439</t>
        </is>
      </c>
      <c r="C440" t="inlineStr">
        <is>
          <t>Boehringer Ingelheim Pharma GmbH &amp; Co. KG</t>
        </is>
      </c>
      <c r="D440" t="inlineStr">
        <is>
          <t>profit_anchor</t>
        </is>
      </c>
      <c r="E440" t="inlineStr">
        <is>
          <t>health_social_anchor</t>
        </is>
      </c>
      <c r="F440" t="inlineStr">
        <is>
          <t>WHU – Otto Beisheim School of Management</t>
        </is>
      </c>
      <c r="G440" t="inlineStr">
        <is>
          <t>academic_support</t>
        </is>
      </c>
      <c r="H440" t="inlineStr">
        <is>
          <t>university_research</t>
        </is>
      </c>
      <c r="I440" t="n">
        <v>31</v>
      </c>
      <c r="J440" t="n">
        <v>0</v>
      </c>
      <c r="K440" t="n">
        <v>0.02040816</v>
      </c>
      <c r="L440" t="n">
        <v>0.05555556</v>
      </c>
      <c r="M440" t="n">
        <v>0.07596372</v>
      </c>
      <c r="N440" t="n">
        <v>0.97803288</v>
      </c>
      <c r="O440" t="n">
        <v>30.319019</v>
      </c>
      <c r="P440" t="n">
        <v>0.08333333</v>
      </c>
      <c r="Q440" t="n">
        <v>0.14285714</v>
      </c>
      <c r="R440" t="n">
        <v>0.22619048</v>
      </c>
      <c r="S440" t="n">
        <v>0.7280506</v>
      </c>
      <c r="T440" t="n">
        <v>0.84383495</v>
      </c>
      <c r="U440" t="n">
        <v>26.158883</v>
      </c>
      <c r="V440" t="b">
        <v>1</v>
      </c>
      <c r="W440" t="n">
        <v>1</v>
      </c>
      <c r="X440" t="inlineStr">
        <is>
          <t>role_subrole_balanced_score = base_support_score * capped sqrt(avg_macro_multiplier * avg_subrole_multiplier); role/subrole quota constraints use inverse weights.</t>
        </is>
      </c>
    </row>
    <row r="441">
      <c r="A441" t="inlineStr">
        <is>
          <t>C0440</t>
        </is>
      </c>
      <c r="B441" t="inlineStr">
        <is>
          <t>x_0440</t>
        </is>
      </c>
      <c r="C441" t="inlineStr">
        <is>
          <t>Continental Automotive Technologies GmbH, Safety and Motion (SAM), Standort Rheinböllen</t>
        </is>
      </c>
      <c r="D441" t="inlineStr">
        <is>
          <t>profit_anchor</t>
        </is>
      </c>
      <c r="E441" t="inlineStr">
        <is>
          <t>industry_anchor</t>
        </is>
      </c>
      <c r="F441" t="inlineStr">
        <is>
          <t>Investitions- und Strukturbank Rheinland-Pfalz (ISB)</t>
        </is>
      </c>
      <c r="G441" t="inlineStr">
        <is>
          <t>context_actor</t>
        </is>
      </c>
      <c r="H441" t="inlineStr">
        <is>
          <t>bank_finance_anchor</t>
        </is>
      </c>
      <c r="I441" t="n">
        <v>31</v>
      </c>
      <c r="J441" t="n">
        <v>0</v>
      </c>
      <c r="K441" t="n">
        <v>0.02040816</v>
      </c>
      <c r="L441" t="n">
        <v>0.03846154</v>
      </c>
      <c r="M441" t="n">
        <v>0.0588697</v>
      </c>
      <c r="N441" t="n">
        <v>0.75794741</v>
      </c>
      <c r="O441" t="n">
        <v>23.49637</v>
      </c>
      <c r="P441" t="n">
        <v>0.09090909</v>
      </c>
      <c r="Q441" t="n">
        <v>0.14285714</v>
      </c>
      <c r="R441" t="n">
        <v>0.23376623</v>
      </c>
      <c r="S441" t="n">
        <v>0.75243506</v>
      </c>
      <c r="T441" t="n">
        <v>0.75518621</v>
      </c>
      <c r="U441" t="n">
        <v>23.410772</v>
      </c>
      <c r="V441" t="b">
        <v>0</v>
      </c>
      <c r="W441" t="n">
        <v>0</v>
      </c>
      <c r="X441" t="inlineStr">
        <is>
          <t>role_subrole_balanced_score = base_support_score * capped sqrt(avg_macro_multiplier * avg_subrole_multiplier); role/subrole quota constraints use inverse weights.</t>
        </is>
      </c>
    </row>
    <row r="442">
      <c r="A442" t="inlineStr">
        <is>
          <t>C0441</t>
        </is>
      </c>
      <c r="B442" t="inlineStr">
        <is>
          <t>x_0441</t>
        </is>
      </c>
      <c r="C442" t="inlineStr">
        <is>
          <t>Debeka Versicherungsgruppe</t>
        </is>
      </c>
      <c r="D442" t="inlineStr">
        <is>
          <t>profit_anchor</t>
        </is>
      </c>
      <c r="E442" t="inlineStr">
        <is>
          <t>bank_finance_anchor</t>
        </is>
      </c>
      <c r="F442" t="inlineStr">
        <is>
          <t>Investitions- und Strukturbank Rheinland-Pfalz (ISB)</t>
        </is>
      </c>
      <c r="G442" t="inlineStr">
        <is>
          <t>context_actor</t>
        </is>
      </c>
      <c r="H442" t="inlineStr">
        <is>
          <t>bank_finance_anchor</t>
        </is>
      </c>
      <c r="I442" t="n">
        <v>31</v>
      </c>
      <c r="J442" t="n">
        <v>0</v>
      </c>
      <c r="K442" t="n">
        <v>0.02040816</v>
      </c>
      <c r="L442" t="n">
        <v>0.03846154</v>
      </c>
      <c r="M442" t="n">
        <v>0.0588697</v>
      </c>
      <c r="N442" t="n">
        <v>0.75794741</v>
      </c>
      <c r="O442" t="n">
        <v>23.49637</v>
      </c>
      <c r="P442" t="n">
        <v>0.14285714</v>
      </c>
      <c r="Q442" t="n">
        <v>0.14285714</v>
      </c>
      <c r="R442" t="n">
        <v>0.28571429</v>
      </c>
      <c r="S442" t="n">
        <v>0.91964286</v>
      </c>
      <c r="T442" t="n">
        <v>0.83488977</v>
      </c>
      <c r="U442" t="n">
        <v>25.881583</v>
      </c>
      <c r="V442" t="b">
        <v>0</v>
      </c>
      <c r="W442" t="n">
        <v>0</v>
      </c>
      <c r="X442" t="inlineStr">
        <is>
          <t>role_subrole_balanced_score = base_support_score * capped sqrt(avg_macro_multiplier * avg_subrole_multiplier); role/subrole quota constraints use inverse weights.</t>
        </is>
      </c>
    </row>
    <row r="443">
      <c r="A443" t="inlineStr">
        <is>
          <t>C0442</t>
        </is>
      </c>
      <c r="B443" t="inlineStr">
        <is>
          <t>x_0442</t>
        </is>
      </c>
      <c r="C443" t="inlineStr">
        <is>
          <t>Eckes-Granini Deutschland GmbH</t>
        </is>
      </c>
      <c r="D443" t="inlineStr">
        <is>
          <t>profit_anchor</t>
        </is>
      </c>
      <c r="E443" t="inlineStr">
        <is>
          <t>food_beverage_consumer_anchor</t>
        </is>
      </c>
      <c r="F443" t="inlineStr">
        <is>
          <t>Investitions- und Strukturbank Rheinland-Pfalz (ISB)</t>
        </is>
      </c>
      <c r="G443" t="inlineStr">
        <is>
          <t>context_actor</t>
        </is>
      </c>
      <c r="H443" t="inlineStr">
        <is>
          <t>bank_finance_anchor</t>
        </is>
      </c>
      <c r="I443" t="n">
        <v>31</v>
      </c>
      <c r="J443" t="n">
        <v>0</v>
      </c>
      <c r="K443" t="n">
        <v>0.02040816</v>
      </c>
      <c r="L443" t="n">
        <v>0.03846154</v>
      </c>
      <c r="M443" t="n">
        <v>0.0588697</v>
      </c>
      <c r="N443" t="n">
        <v>0.75794741</v>
      </c>
      <c r="O443" t="n">
        <v>23.49637</v>
      </c>
      <c r="P443" t="n">
        <v>0.2</v>
      </c>
      <c r="Q443" t="n">
        <v>0.14285714</v>
      </c>
      <c r="R443" t="n">
        <v>0.34285714</v>
      </c>
      <c r="S443" t="n">
        <v>1.10357143</v>
      </c>
      <c r="T443" t="n">
        <v>0.91457592</v>
      </c>
      <c r="U443" t="n">
        <v>28.351853</v>
      </c>
      <c r="V443" t="b">
        <v>0</v>
      </c>
      <c r="W443" t="n">
        <v>0</v>
      </c>
      <c r="X443" t="inlineStr">
        <is>
          <t>role_subrole_balanced_score = base_support_score * capped sqrt(avg_macro_multiplier * avg_subrole_multiplier); role/subrole quota constraints use inverse weights.</t>
        </is>
      </c>
    </row>
    <row r="444">
      <c r="A444" t="inlineStr">
        <is>
          <t>C0443</t>
        </is>
      </c>
      <c r="B444" t="inlineStr">
        <is>
          <t>x_0443</t>
        </is>
      </c>
      <c r="C444" t="inlineStr">
        <is>
          <t>Ernst &amp; Young GmbH</t>
        </is>
      </c>
      <c r="D444" t="inlineStr">
        <is>
          <t>profit_anchor</t>
        </is>
      </c>
      <c r="E444" t="inlineStr">
        <is>
          <t>professional_services_anchor</t>
        </is>
      </c>
      <c r="F444" t="inlineStr">
        <is>
          <t>Investitions- und Strukturbank Rheinland-Pfalz (ISB)</t>
        </is>
      </c>
      <c r="G444" t="inlineStr">
        <is>
          <t>context_actor</t>
        </is>
      </c>
      <c r="H444" t="inlineStr">
        <is>
          <t>bank_finance_anchor</t>
        </is>
      </c>
      <c r="I444" t="n">
        <v>31</v>
      </c>
      <c r="J444" t="n">
        <v>0</v>
      </c>
      <c r="K444" t="n">
        <v>0.02040816</v>
      </c>
      <c r="L444" t="n">
        <v>0.03846154</v>
      </c>
      <c r="M444" t="n">
        <v>0.0588697</v>
      </c>
      <c r="N444" t="n">
        <v>0.75794741</v>
      </c>
      <c r="O444" t="n">
        <v>23.49637</v>
      </c>
      <c r="P444" t="n">
        <v>0.2</v>
      </c>
      <c r="Q444" t="n">
        <v>0.14285714</v>
      </c>
      <c r="R444" t="n">
        <v>0.34285714</v>
      </c>
      <c r="S444" t="n">
        <v>1.10357143</v>
      </c>
      <c r="T444" t="n">
        <v>0.91457592</v>
      </c>
      <c r="U444" t="n">
        <v>28.351853</v>
      </c>
      <c r="V444" t="b">
        <v>0</v>
      </c>
      <c r="W444" t="n">
        <v>0</v>
      </c>
      <c r="X444" t="inlineStr">
        <is>
          <t>role_subrole_balanced_score = base_support_score * capped sqrt(avg_macro_multiplier * avg_subrole_multiplier); role/subrole quota constraints use inverse weights.</t>
        </is>
      </c>
    </row>
    <row r="445">
      <c r="A445" t="inlineStr">
        <is>
          <t>C0444</t>
        </is>
      </c>
      <c r="B445" t="inlineStr">
        <is>
          <t>x_0444</t>
        </is>
      </c>
      <c r="C445" t="inlineStr">
        <is>
          <t>GLOBUS Markthallen Holding GmbH &amp; Co. KG</t>
        </is>
      </c>
      <c r="D445" t="inlineStr">
        <is>
          <t>profit_anchor</t>
        </is>
      </c>
      <c r="E445" t="inlineStr">
        <is>
          <t>food_beverage_consumer_anchor</t>
        </is>
      </c>
      <c r="F445" t="inlineStr">
        <is>
          <t>Investitions- und Strukturbank Rheinland-Pfalz (ISB)</t>
        </is>
      </c>
      <c r="G445" t="inlineStr">
        <is>
          <t>context_actor</t>
        </is>
      </c>
      <c r="H445" t="inlineStr">
        <is>
          <t>bank_finance_anchor</t>
        </is>
      </c>
      <c r="I445" t="n">
        <v>31</v>
      </c>
      <c r="J445" t="n">
        <v>0</v>
      </c>
      <c r="K445" t="n">
        <v>0.02040816</v>
      </c>
      <c r="L445" t="n">
        <v>0.03846154</v>
      </c>
      <c r="M445" t="n">
        <v>0.0588697</v>
      </c>
      <c r="N445" t="n">
        <v>0.75794741</v>
      </c>
      <c r="O445" t="n">
        <v>23.49637</v>
      </c>
      <c r="P445" t="n">
        <v>0.2</v>
      </c>
      <c r="Q445" t="n">
        <v>0.14285714</v>
      </c>
      <c r="R445" t="n">
        <v>0.34285714</v>
      </c>
      <c r="S445" t="n">
        <v>1.10357143</v>
      </c>
      <c r="T445" t="n">
        <v>0.91457592</v>
      </c>
      <c r="U445" t="n">
        <v>28.351853</v>
      </c>
      <c r="V445" t="b">
        <v>0</v>
      </c>
      <c r="W445" t="n">
        <v>0</v>
      </c>
      <c r="X445" t="inlineStr">
        <is>
          <t>role_subrole_balanced_score = base_support_score * capped sqrt(avg_macro_multiplier * avg_subrole_multiplier); role/subrole quota constraints use inverse weights.</t>
        </is>
      </c>
    </row>
    <row r="446">
      <c r="A446" t="inlineStr">
        <is>
          <t>C0445</t>
        </is>
      </c>
      <c r="B446" t="inlineStr">
        <is>
          <t>x_0445</t>
        </is>
      </c>
      <c r="C446" t="inlineStr">
        <is>
          <t>Investitions- und Strukturbank Rheinland-Pfalz (ISB)</t>
        </is>
      </c>
      <c r="D446" t="inlineStr">
        <is>
          <t>context_actor</t>
        </is>
      </c>
      <c r="E446" t="inlineStr">
        <is>
          <t>bank_finance_anchor</t>
        </is>
      </c>
      <c r="F446" t="inlineStr">
        <is>
          <t>Joseph Vögele AG</t>
        </is>
      </c>
      <c r="G446" t="inlineStr">
        <is>
          <t>profit_anchor</t>
        </is>
      </c>
      <c r="H446" t="inlineStr">
        <is>
          <t>construction_planning_anchor</t>
        </is>
      </c>
      <c r="I446" t="n">
        <v>31</v>
      </c>
      <c r="J446" t="n">
        <v>0</v>
      </c>
      <c r="K446" t="n">
        <v>0.03846154</v>
      </c>
      <c r="L446" t="n">
        <v>0.02040816</v>
      </c>
      <c r="M446" t="n">
        <v>0.0588697</v>
      </c>
      <c r="N446" t="n">
        <v>0.75794741</v>
      </c>
      <c r="O446" t="n">
        <v>23.49637</v>
      </c>
      <c r="P446" t="n">
        <v>0.14285714</v>
      </c>
      <c r="Q446" t="n">
        <v>0.125</v>
      </c>
      <c r="R446" t="n">
        <v>0.26785714</v>
      </c>
      <c r="S446" t="n">
        <v>0.86216518</v>
      </c>
      <c r="T446" t="n">
        <v>0.80837854</v>
      </c>
      <c r="U446" t="n">
        <v>25.059735</v>
      </c>
      <c r="V446" t="b">
        <v>0</v>
      </c>
      <c r="W446" t="n">
        <v>0</v>
      </c>
      <c r="X446" t="inlineStr">
        <is>
          <t>role_subrole_balanced_score = base_support_score * capped sqrt(avg_macro_multiplier * avg_subrole_multiplier); role/subrole quota constraints use inverse weights.</t>
        </is>
      </c>
    </row>
    <row r="447">
      <c r="A447" t="inlineStr">
        <is>
          <t>C0446</t>
        </is>
      </c>
      <c r="B447" t="inlineStr">
        <is>
          <t>x_0446</t>
        </is>
      </c>
      <c r="C447" t="inlineStr">
        <is>
          <t>Investitions- und Strukturbank Rheinland-Pfalz (ISB)</t>
        </is>
      </c>
      <c r="D447" t="inlineStr">
        <is>
          <t>context_actor</t>
        </is>
      </c>
      <c r="E447" t="inlineStr">
        <is>
          <t>bank_finance_anchor</t>
        </is>
      </c>
      <c r="F447" t="inlineStr">
        <is>
          <t>KPMG AG Wirtschaftsprüfungsgesellschaft</t>
        </is>
      </c>
      <c r="G447" t="inlineStr">
        <is>
          <t>profit_anchor</t>
        </is>
      </c>
      <c r="H447" t="inlineStr">
        <is>
          <t>professional_services_anchor</t>
        </is>
      </c>
      <c r="I447" t="n">
        <v>31</v>
      </c>
      <c r="J447" t="n">
        <v>0</v>
      </c>
      <c r="K447" t="n">
        <v>0.03846154</v>
      </c>
      <c r="L447" t="n">
        <v>0.02040816</v>
      </c>
      <c r="M447" t="n">
        <v>0.0588697</v>
      </c>
      <c r="N447" t="n">
        <v>0.75794741</v>
      </c>
      <c r="O447" t="n">
        <v>23.49637</v>
      </c>
      <c r="P447" t="n">
        <v>0.14285714</v>
      </c>
      <c r="Q447" t="n">
        <v>0.2</v>
      </c>
      <c r="R447" t="n">
        <v>0.34285714</v>
      </c>
      <c r="S447" t="n">
        <v>1.10357143</v>
      </c>
      <c r="T447" t="n">
        <v>0.91457592</v>
      </c>
      <c r="U447" t="n">
        <v>28.351853</v>
      </c>
      <c r="V447" t="b">
        <v>0</v>
      </c>
      <c r="W447" t="n">
        <v>0</v>
      </c>
      <c r="X447" t="inlineStr">
        <is>
          <t>role_subrole_balanced_score = base_support_score * capped sqrt(avg_macro_multiplier * avg_subrole_multiplier); role/subrole quota constraints use inverse weights.</t>
        </is>
      </c>
    </row>
    <row r="448">
      <c r="A448" t="inlineStr">
        <is>
          <t>C0447</t>
        </is>
      </c>
      <c r="B448" t="inlineStr">
        <is>
          <t>x_0447</t>
        </is>
      </c>
      <c r="C448" t="inlineStr">
        <is>
          <t>Investitions- und Strukturbank Rheinland-Pfalz (ISB)</t>
        </is>
      </c>
      <c r="D448" t="inlineStr">
        <is>
          <t>context_actor</t>
        </is>
      </c>
      <c r="E448" t="inlineStr">
        <is>
          <t>bank_finance_anchor</t>
        </is>
      </c>
      <c r="F448" t="inlineStr">
        <is>
          <t>KSB AG</t>
        </is>
      </c>
      <c r="G448" t="inlineStr">
        <is>
          <t>profit_anchor</t>
        </is>
      </c>
      <c r="H448" t="inlineStr">
        <is>
          <t>industry_anchor</t>
        </is>
      </c>
      <c r="I448" t="n">
        <v>31</v>
      </c>
      <c r="J448" t="n">
        <v>0</v>
      </c>
      <c r="K448" t="n">
        <v>0.03846154</v>
      </c>
      <c r="L448" t="n">
        <v>0.02040816</v>
      </c>
      <c r="M448" t="n">
        <v>0.0588697</v>
      </c>
      <c r="N448" t="n">
        <v>0.75794741</v>
      </c>
      <c r="O448" t="n">
        <v>23.49637</v>
      </c>
      <c r="P448" t="n">
        <v>0.14285714</v>
      </c>
      <c r="Q448" t="n">
        <v>0.09090909</v>
      </c>
      <c r="R448" t="n">
        <v>0.23376623</v>
      </c>
      <c r="S448" t="n">
        <v>0.75243506</v>
      </c>
      <c r="T448" t="n">
        <v>0.75518621</v>
      </c>
      <c r="U448" t="n">
        <v>23.410772</v>
      </c>
      <c r="V448" t="b">
        <v>0</v>
      </c>
      <c r="W448" t="n">
        <v>0</v>
      </c>
      <c r="X448" t="inlineStr">
        <is>
          <t>role_subrole_balanced_score = base_support_score * capped sqrt(avg_macro_multiplier * avg_subrole_multiplier); role/subrole quota constraints use inverse weights.</t>
        </is>
      </c>
    </row>
    <row r="449">
      <c r="A449" t="inlineStr">
        <is>
          <t>C0448</t>
        </is>
      </c>
      <c r="B449" t="inlineStr">
        <is>
          <t>x_0448</t>
        </is>
      </c>
      <c r="C449" t="inlineStr">
        <is>
          <t>Investitions- und Strukturbank Rheinland-Pfalz (ISB)</t>
        </is>
      </c>
      <c r="D449" t="inlineStr">
        <is>
          <t>context_actor</t>
        </is>
      </c>
      <c r="E449" t="inlineStr">
        <is>
          <t>bank_finance_anchor</t>
        </is>
      </c>
      <c r="F449" t="inlineStr">
        <is>
          <t>Michelin Reifenwerke AG &amp; Co. KGaA</t>
        </is>
      </c>
      <c r="G449" t="inlineStr">
        <is>
          <t>profit_anchor</t>
        </is>
      </c>
      <c r="H449" t="inlineStr">
        <is>
          <t>industry_anchor</t>
        </is>
      </c>
      <c r="I449" t="n">
        <v>31</v>
      </c>
      <c r="J449" t="n">
        <v>0</v>
      </c>
      <c r="K449" t="n">
        <v>0.03846154</v>
      </c>
      <c r="L449" t="n">
        <v>0.02040816</v>
      </c>
      <c r="M449" t="n">
        <v>0.0588697</v>
      </c>
      <c r="N449" t="n">
        <v>0.75794741</v>
      </c>
      <c r="O449" t="n">
        <v>23.49637</v>
      </c>
      <c r="P449" t="n">
        <v>0.14285714</v>
      </c>
      <c r="Q449" t="n">
        <v>0.09090909</v>
      </c>
      <c r="R449" t="n">
        <v>0.23376623</v>
      </c>
      <c r="S449" t="n">
        <v>0.75243506</v>
      </c>
      <c r="T449" t="n">
        <v>0.75518621</v>
      </c>
      <c r="U449" t="n">
        <v>23.410772</v>
      </c>
      <c r="V449" t="b">
        <v>0</v>
      </c>
      <c r="W449" t="n">
        <v>0</v>
      </c>
      <c r="X449" t="inlineStr">
        <is>
          <t>role_subrole_balanced_score = base_support_score * capped sqrt(avg_macro_multiplier * avg_subrole_multiplier); role/subrole quota constraints use inverse weights.</t>
        </is>
      </c>
    </row>
    <row r="450">
      <c r="A450" t="inlineStr">
        <is>
          <t>C0449</t>
        </is>
      </c>
      <c r="B450" t="inlineStr">
        <is>
          <t>x_0449</t>
        </is>
      </c>
      <c r="C450" t="inlineStr">
        <is>
          <t>Investitions- und Strukturbank Rheinland-Pfalz (ISB)</t>
        </is>
      </c>
      <c r="D450" t="inlineStr">
        <is>
          <t>context_actor</t>
        </is>
      </c>
      <c r="E450" t="inlineStr">
        <is>
          <t>bank_finance_anchor</t>
        </is>
      </c>
      <c r="F450" t="inlineStr">
        <is>
          <t>SIMONA AG</t>
        </is>
      </c>
      <c r="G450" t="inlineStr">
        <is>
          <t>profit_anchor</t>
        </is>
      </c>
      <c r="H450" t="inlineStr">
        <is>
          <t>industry_anchor</t>
        </is>
      </c>
      <c r="I450" t="n">
        <v>31</v>
      </c>
      <c r="J450" t="n">
        <v>0</v>
      </c>
      <c r="K450" t="n">
        <v>0.03846154</v>
      </c>
      <c r="L450" t="n">
        <v>0.02040816</v>
      </c>
      <c r="M450" t="n">
        <v>0.0588697</v>
      </c>
      <c r="N450" t="n">
        <v>0.75794741</v>
      </c>
      <c r="O450" t="n">
        <v>23.49637</v>
      </c>
      <c r="P450" t="n">
        <v>0.14285714</v>
      </c>
      <c r="Q450" t="n">
        <v>0.09090909</v>
      </c>
      <c r="R450" t="n">
        <v>0.23376623</v>
      </c>
      <c r="S450" t="n">
        <v>0.75243506</v>
      </c>
      <c r="T450" t="n">
        <v>0.75518621</v>
      </c>
      <c r="U450" t="n">
        <v>23.410772</v>
      </c>
      <c r="V450" t="b">
        <v>0</v>
      </c>
      <c r="W450" t="n">
        <v>0</v>
      </c>
      <c r="X450" t="inlineStr">
        <is>
          <t>role_subrole_balanced_score = base_support_score * capped sqrt(avg_macro_multiplier * avg_subrole_multiplier); role/subrole quota constraints use inverse weights.</t>
        </is>
      </c>
    </row>
    <row r="451">
      <c r="A451" t="inlineStr">
        <is>
          <t>C0450</t>
        </is>
      </c>
      <c r="B451" t="inlineStr">
        <is>
          <t>x_0450</t>
        </is>
      </c>
      <c r="C451" t="inlineStr">
        <is>
          <t>Investitions- und Strukturbank Rheinland-Pfalz (ISB)</t>
        </is>
      </c>
      <c r="D451" t="inlineStr">
        <is>
          <t>context_actor</t>
        </is>
      </c>
      <c r="E451" t="inlineStr">
        <is>
          <t>bank_finance_anchor</t>
        </is>
      </c>
      <c r="F451" t="inlineStr">
        <is>
          <t>Sparkassenverband Rheinland-Pfalz</t>
        </is>
      </c>
      <c r="G451" t="inlineStr">
        <is>
          <t>profit_anchor</t>
        </is>
      </c>
      <c r="H451" t="inlineStr">
        <is>
          <t>bank_finance_anchor</t>
        </is>
      </c>
      <c r="I451" t="n">
        <v>31</v>
      </c>
      <c r="J451" t="n">
        <v>0</v>
      </c>
      <c r="K451" t="n">
        <v>0.03846154</v>
      </c>
      <c r="L451" t="n">
        <v>0.02040816</v>
      </c>
      <c r="M451" t="n">
        <v>0.0588697</v>
      </c>
      <c r="N451" t="n">
        <v>0.75794741</v>
      </c>
      <c r="O451" t="n">
        <v>23.49637</v>
      </c>
      <c r="P451" t="n">
        <v>0.14285714</v>
      </c>
      <c r="Q451" t="n">
        <v>0.14285714</v>
      </c>
      <c r="R451" t="n">
        <v>0.28571429</v>
      </c>
      <c r="S451" t="n">
        <v>0.91964286</v>
      </c>
      <c r="T451" t="n">
        <v>0.83488977</v>
      </c>
      <c r="U451" t="n">
        <v>25.881583</v>
      </c>
      <c r="V451" t="b">
        <v>0</v>
      </c>
      <c r="W451" t="n">
        <v>0</v>
      </c>
      <c r="X451" t="inlineStr">
        <is>
          <t>role_subrole_balanced_score = base_support_score * capped sqrt(avg_macro_multiplier * avg_subrole_multiplier); role/subrole quota constraints use inverse weights.</t>
        </is>
      </c>
    </row>
    <row r="452">
      <c r="A452" t="inlineStr">
        <is>
          <t>C0451</t>
        </is>
      </c>
      <c r="B452" t="inlineStr">
        <is>
          <t>x_0451</t>
        </is>
      </c>
      <c r="C452" t="inlineStr">
        <is>
          <t>Landesbank Baden-Württemberg (LBBW)</t>
        </is>
      </c>
      <c r="D452" t="inlineStr">
        <is>
          <t>profit_anchor</t>
        </is>
      </c>
      <c r="E452" t="inlineStr">
        <is>
          <t>bank_finance_anchor</t>
        </is>
      </c>
      <c r="F452" t="inlineStr">
        <is>
          <t>WHU – Otto Beisheim School of Management</t>
        </is>
      </c>
      <c r="G452" t="inlineStr">
        <is>
          <t>academic_support</t>
        </is>
      </c>
      <c r="H452" t="inlineStr">
        <is>
          <t>university_research</t>
        </is>
      </c>
      <c r="I452" t="n">
        <v>31</v>
      </c>
      <c r="J452" t="n">
        <v>0</v>
      </c>
      <c r="K452" t="n">
        <v>0.02040816</v>
      </c>
      <c r="L452" t="n">
        <v>0.05555556</v>
      </c>
      <c r="M452" t="n">
        <v>0.07596372</v>
      </c>
      <c r="N452" t="n">
        <v>0.97803288</v>
      </c>
      <c r="O452" t="n">
        <v>30.319019</v>
      </c>
      <c r="P452" t="n">
        <v>0.14285714</v>
      </c>
      <c r="Q452" t="n">
        <v>0.14285714</v>
      </c>
      <c r="R452" t="n">
        <v>0.28571429</v>
      </c>
      <c r="S452" t="n">
        <v>0.91964286</v>
      </c>
      <c r="T452" t="n">
        <v>0.94838861</v>
      </c>
      <c r="U452" t="n">
        <v>29.400047</v>
      </c>
      <c r="V452" t="b">
        <v>1</v>
      </c>
      <c r="W452" t="n">
        <v>1</v>
      </c>
      <c r="X452" t="inlineStr">
        <is>
          <t>role_subrole_balanced_score = base_support_score * capped sqrt(avg_macro_multiplier * avg_subrole_multiplier); role/subrole quota constraints use inverse weights.</t>
        </is>
      </c>
    </row>
    <row r="453">
      <c r="A453" t="inlineStr">
        <is>
          <t>C0452</t>
        </is>
      </c>
      <c r="B453" t="inlineStr">
        <is>
          <t>x_0452</t>
        </is>
      </c>
      <c r="C453" t="inlineStr">
        <is>
          <t>Ministerium für Wirtschaft, Verkehr, Landwirtschaft und Weinbau</t>
        </is>
      </c>
      <c r="D453" t="inlineStr">
        <is>
          <t>profit_anchor</t>
        </is>
      </c>
      <c r="E453" t="inlineStr">
        <is>
          <t>public_policy_anchor</t>
        </is>
      </c>
      <c r="F453" t="inlineStr">
        <is>
          <t>WHU – Otto Beisheim School of Management</t>
        </is>
      </c>
      <c r="G453" t="inlineStr">
        <is>
          <t>academic_support</t>
        </is>
      </c>
      <c r="H453" t="inlineStr">
        <is>
          <t>university_research</t>
        </is>
      </c>
      <c r="I453" t="n">
        <v>31</v>
      </c>
      <c r="J453" t="n">
        <v>0</v>
      </c>
      <c r="K453" t="n">
        <v>0.02040816</v>
      </c>
      <c r="L453" t="n">
        <v>0.05555556</v>
      </c>
      <c r="M453" t="n">
        <v>0.07596372</v>
      </c>
      <c r="N453" t="n">
        <v>0.97803288</v>
      </c>
      <c r="O453" t="n">
        <v>30.319019</v>
      </c>
      <c r="P453" t="n">
        <v>0.16666667</v>
      </c>
      <c r="Q453" t="n">
        <v>0.14285714</v>
      </c>
      <c r="R453" t="n">
        <v>0.30952381</v>
      </c>
      <c r="S453" t="n">
        <v>0.99627976</v>
      </c>
      <c r="T453" t="n">
        <v>0.98711416</v>
      </c>
      <c r="U453" t="n">
        <v>30.600539</v>
      </c>
      <c r="V453" t="b">
        <v>1</v>
      </c>
      <c r="W453" t="n">
        <v>1</v>
      </c>
      <c r="X453" t="inlineStr">
        <is>
          <t>role_subrole_balanced_score = base_support_score * capped sqrt(avg_macro_multiplier * avg_subrole_multiplier); role/subrole quota constraints use inverse weights.</t>
        </is>
      </c>
    </row>
    <row r="454">
      <c r="A454" t="inlineStr">
        <is>
          <t>C0453</t>
        </is>
      </c>
      <c r="B454" t="inlineStr">
        <is>
          <t>x_0453</t>
        </is>
      </c>
      <c r="C454" t="inlineStr">
        <is>
          <t>SCHOTT AG</t>
        </is>
      </c>
      <c r="D454" t="inlineStr">
        <is>
          <t>profit_anchor</t>
        </is>
      </c>
      <c r="E454" t="inlineStr">
        <is>
          <t>industry_anchor</t>
        </is>
      </c>
      <c r="F454" t="inlineStr">
        <is>
          <t>WHU – Otto Beisheim School of Management</t>
        </is>
      </c>
      <c r="G454" t="inlineStr">
        <is>
          <t>academic_support</t>
        </is>
      </c>
      <c r="H454" t="inlineStr">
        <is>
          <t>university_research</t>
        </is>
      </c>
      <c r="I454" t="n">
        <v>31</v>
      </c>
      <c r="J454" t="n">
        <v>0</v>
      </c>
      <c r="K454" t="n">
        <v>0.02040816</v>
      </c>
      <c r="L454" t="n">
        <v>0.05555556</v>
      </c>
      <c r="M454" t="n">
        <v>0.07596372</v>
      </c>
      <c r="N454" t="n">
        <v>0.97803288</v>
      </c>
      <c r="O454" t="n">
        <v>30.319019</v>
      </c>
      <c r="P454" t="n">
        <v>0.09090909</v>
      </c>
      <c r="Q454" t="n">
        <v>0.14285714</v>
      </c>
      <c r="R454" t="n">
        <v>0.23376623</v>
      </c>
      <c r="S454" t="n">
        <v>0.75243506</v>
      </c>
      <c r="T454" t="n">
        <v>0.85784977</v>
      </c>
      <c r="U454" t="n">
        <v>26.593343</v>
      </c>
      <c r="V454" t="b">
        <v>1</v>
      </c>
      <c r="W454" t="n">
        <v>1</v>
      </c>
      <c r="X454" t="inlineStr">
        <is>
          <t>role_subrole_balanced_score = base_support_score * capped sqrt(avg_macro_multiplier * avg_subrole_multiplier); role/subrole quota constraints use inverse weights.</t>
        </is>
      </c>
    </row>
    <row r="455">
      <c r="A455" t="inlineStr">
        <is>
          <t>C0454</t>
        </is>
      </c>
      <c r="B455" t="inlineStr">
        <is>
          <t>x_0454</t>
        </is>
      </c>
      <c r="C455" t="inlineStr">
        <is>
          <t>thyssenkrupp Rasselstein GmbH</t>
        </is>
      </c>
      <c r="D455" t="inlineStr">
        <is>
          <t>profit_anchor</t>
        </is>
      </c>
      <c r="E455" t="inlineStr">
        <is>
          <t>industry_anchor</t>
        </is>
      </c>
      <c r="F455" t="inlineStr">
        <is>
          <t>WHU – Otto Beisheim School of Management</t>
        </is>
      </c>
      <c r="G455" t="inlineStr">
        <is>
          <t>academic_support</t>
        </is>
      </c>
      <c r="H455" t="inlineStr">
        <is>
          <t>university_research</t>
        </is>
      </c>
      <c r="I455" t="n">
        <v>31</v>
      </c>
      <c r="J455" t="n">
        <v>0</v>
      </c>
      <c r="K455" t="n">
        <v>0.02040816</v>
      </c>
      <c r="L455" t="n">
        <v>0.05555556</v>
      </c>
      <c r="M455" t="n">
        <v>0.07596372</v>
      </c>
      <c r="N455" t="n">
        <v>0.97803288</v>
      </c>
      <c r="O455" t="n">
        <v>30.319019</v>
      </c>
      <c r="P455" t="n">
        <v>0.09090909</v>
      </c>
      <c r="Q455" t="n">
        <v>0.14285714</v>
      </c>
      <c r="R455" t="n">
        <v>0.23376623</v>
      </c>
      <c r="S455" t="n">
        <v>0.75243506</v>
      </c>
      <c r="T455" t="n">
        <v>0.85784977</v>
      </c>
      <c r="U455" t="n">
        <v>26.593343</v>
      </c>
      <c r="V455" t="b">
        <v>1</v>
      </c>
      <c r="W455" t="n">
        <v>1</v>
      </c>
      <c r="X455" t="inlineStr">
        <is>
          <t>role_subrole_balanced_score = base_support_score * capped sqrt(avg_macro_multiplier * avg_subrole_multiplier); role/subrole quota constraints use inverse weights.</t>
        </is>
      </c>
    </row>
    <row r="456">
      <c r="A456" t="inlineStr">
        <is>
          <t>C0455</t>
        </is>
      </c>
      <c r="B456" t="inlineStr">
        <is>
          <t>x_0455</t>
        </is>
      </c>
      <c r="C456" t="inlineStr">
        <is>
          <t>Barmherzige Brüder Trier gGmbH</t>
        </is>
      </c>
      <c r="D456" t="inlineStr">
        <is>
          <t>context_actor</t>
        </is>
      </c>
      <c r="E456" t="inlineStr">
        <is>
          <t>health_social_anchor</t>
        </is>
      </c>
      <c r="F456" t="inlineStr">
        <is>
          <t>Bundesagentur für Arbeit, Regionaldirektion Rheinland-Pfalz-Saarland</t>
        </is>
      </c>
      <c r="G456" t="inlineStr">
        <is>
          <t>implementation_anchor</t>
        </is>
      </c>
      <c r="H456" t="inlineStr">
        <is>
          <t>public_policy_anchor</t>
        </is>
      </c>
      <c r="I456" t="n">
        <v>31</v>
      </c>
      <c r="J456" t="n">
        <v>0</v>
      </c>
      <c r="K456" t="n">
        <v>0.03846154</v>
      </c>
      <c r="L456" t="n">
        <v>0.1</v>
      </c>
      <c r="M456" t="n">
        <v>0.13846154</v>
      </c>
      <c r="N456" t="n">
        <v>1.78269231</v>
      </c>
      <c r="O456" t="n">
        <v>55.263462</v>
      </c>
      <c r="P456" t="n">
        <v>0.08333333</v>
      </c>
      <c r="Q456" t="n">
        <v>0.16666667</v>
      </c>
      <c r="R456" t="n">
        <v>0.25</v>
      </c>
      <c r="S456" t="n">
        <v>0.8046875</v>
      </c>
      <c r="T456" t="n">
        <v>1.19771041</v>
      </c>
      <c r="U456" t="n">
        <v>37.129023</v>
      </c>
      <c r="V456" t="b">
        <v>0</v>
      </c>
      <c r="W456" t="n">
        <v>0</v>
      </c>
      <c r="X456" t="inlineStr">
        <is>
          <t>role_subrole_balanced_score = base_support_score * capped sqrt(avg_macro_multiplier * avg_subrole_multiplier); role/subrole quota constraints use inverse weights.</t>
        </is>
      </c>
    </row>
    <row r="457">
      <c r="A457" t="inlineStr">
        <is>
          <t>C0456</t>
        </is>
      </c>
      <c r="B457" t="inlineStr">
        <is>
          <t>x_0456</t>
        </is>
      </c>
      <c r="C457" t="inlineStr">
        <is>
          <t>Barmherzige Brüder Trier gGmbH</t>
        </is>
      </c>
      <c r="D457" t="inlineStr">
        <is>
          <t>context_actor</t>
        </is>
      </c>
      <c r="E457" t="inlineStr">
        <is>
          <t>health_social_anchor</t>
        </is>
      </c>
      <c r="F457" t="inlineStr">
        <is>
          <t>Caritasverband für die Diözese Speyer e.V.</t>
        </is>
      </c>
      <c r="G457" t="inlineStr">
        <is>
          <t>implementation_anchor</t>
        </is>
      </c>
      <c r="H457" t="inlineStr">
        <is>
          <t>health_social_anchor</t>
        </is>
      </c>
      <c r="I457" t="n">
        <v>31</v>
      </c>
      <c r="J457" t="n">
        <v>0</v>
      </c>
      <c r="K457" t="n">
        <v>0.03846154</v>
      </c>
      <c r="L457" t="n">
        <v>0.1</v>
      </c>
      <c r="M457" t="n">
        <v>0.13846154</v>
      </c>
      <c r="N457" t="n">
        <v>1.78269231</v>
      </c>
      <c r="O457" t="n">
        <v>55.263462</v>
      </c>
      <c r="P457" t="n">
        <v>0.08333333</v>
      </c>
      <c r="Q457" t="n">
        <v>0.08333333</v>
      </c>
      <c r="R457" t="n">
        <v>0.16666667</v>
      </c>
      <c r="S457" t="n">
        <v>0.53645833</v>
      </c>
      <c r="T457" t="n">
        <v>0.97792645</v>
      </c>
      <c r="U457" t="n">
        <v>30.31572</v>
      </c>
      <c r="V457" t="b">
        <v>0</v>
      </c>
      <c r="W457" t="n">
        <v>0</v>
      </c>
      <c r="X457" t="inlineStr">
        <is>
          <t>role_subrole_balanced_score = base_support_score * capped sqrt(avg_macro_multiplier * avg_subrole_multiplier); role/subrole quota constraints use inverse weights.</t>
        </is>
      </c>
    </row>
    <row r="458">
      <c r="A458" t="inlineStr">
        <is>
          <t>C0457</t>
        </is>
      </c>
      <c r="B458" t="inlineStr">
        <is>
          <t>x_0457</t>
        </is>
      </c>
      <c r="C458" t="inlineStr">
        <is>
          <t>Bundesagentur für Arbeit, Regionaldirektion Rheinland-Pfalz-Saarland</t>
        </is>
      </c>
      <c r="D458" t="inlineStr">
        <is>
          <t>implementation_anchor</t>
        </is>
      </c>
      <c r="E458" t="inlineStr">
        <is>
          <t>public_policy_anchor</t>
        </is>
      </c>
      <c r="F458" t="inlineStr">
        <is>
          <t>Deutscher Gewerkschaftsbund (DGB) Rheinland-Pfalz/Saarland</t>
        </is>
      </c>
      <c r="G458" t="inlineStr">
        <is>
          <t>context_actor</t>
        </is>
      </c>
      <c r="H458" t="inlineStr">
        <is>
          <t>chamber_association_anchor</t>
        </is>
      </c>
      <c r="I458" t="n">
        <v>31</v>
      </c>
      <c r="J458" t="n">
        <v>0</v>
      </c>
      <c r="K458" t="n">
        <v>0.1</v>
      </c>
      <c r="L458" t="n">
        <v>0.03846154</v>
      </c>
      <c r="M458" t="n">
        <v>0.13846154</v>
      </c>
      <c r="N458" t="n">
        <v>1.78269231</v>
      </c>
      <c r="O458" t="n">
        <v>55.263462</v>
      </c>
      <c r="P458" t="n">
        <v>0.16666667</v>
      </c>
      <c r="Q458" t="n">
        <v>0.25</v>
      </c>
      <c r="R458" t="n">
        <v>0.41666667</v>
      </c>
      <c r="S458" t="n">
        <v>1.34114583</v>
      </c>
      <c r="T458" t="n">
        <v>1.54623749</v>
      </c>
      <c r="U458" t="n">
        <v>47.933362</v>
      </c>
      <c r="V458" t="b">
        <v>0</v>
      </c>
      <c r="W458" t="n">
        <v>0</v>
      </c>
      <c r="X458" t="inlineStr">
        <is>
          <t>role_subrole_balanced_score = base_support_score * capped sqrt(avg_macro_multiplier * avg_subrole_multiplier); role/subrole quota constraints use inverse weights.</t>
        </is>
      </c>
    </row>
    <row r="459">
      <c r="A459" t="inlineStr">
        <is>
          <t>C0458</t>
        </is>
      </c>
      <c r="B459" t="inlineStr">
        <is>
          <t>x_0458</t>
        </is>
      </c>
      <c r="C459" t="inlineStr">
        <is>
          <t>Bundesagentur für Arbeit, Regionaldirektion Rheinland-Pfalz-Saarland</t>
        </is>
      </c>
      <c r="D459" t="inlineStr">
        <is>
          <t>implementation_anchor</t>
        </is>
      </c>
      <c r="E459" t="inlineStr">
        <is>
          <t>public_policy_anchor</t>
        </is>
      </c>
      <c r="F459" t="inlineStr">
        <is>
          <t>Evangelische Kirche der Pfalz</t>
        </is>
      </c>
      <c r="G459" t="inlineStr">
        <is>
          <t>context_actor</t>
        </is>
      </c>
      <c r="H459" t="inlineStr">
        <is>
          <t>culture_foundation_anchor</t>
        </is>
      </c>
      <c r="I459" t="n">
        <v>31</v>
      </c>
      <c r="J459" t="n">
        <v>0</v>
      </c>
      <c r="K459" t="n">
        <v>0.1</v>
      </c>
      <c r="L459" t="n">
        <v>0.03846154</v>
      </c>
      <c r="M459" t="n">
        <v>0.13846154</v>
      </c>
      <c r="N459" t="n">
        <v>1.78269231</v>
      </c>
      <c r="O459" t="n">
        <v>55.263462</v>
      </c>
      <c r="P459" t="n">
        <v>0.16666667</v>
      </c>
      <c r="Q459" t="n">
        <v>0.33333333</v>
      </c>
      <c r="R459" t="n">
        <v>0.5</v>
      </c>
      <c r="S459" t="n">
        <v>1.609375</v>
      </c>
      <c r="T459" t="n">
        <v>1.6938183</v>
      </c>
      <c r="U459" t="n">
        <v>52.508367</v>
      </c>
      <c r="V459" t="b">
        <v>0</v>
      </c>
      <c r="W459" t="n">
        <v>0</v>
      </c>
      <c r="X459" t="inlineStr">
        <is>
          <t>role_subrole_balanced_score = base_support_score * capped sqrt(avg_macro_multiplier * avg_subrole_multiplier); role/subrole quota constraints use inverse weights.</t>
        </is>
      </c>
    </row>
    <row r="460">
      <c r="A460" t="inlineStr">
        <is>
          <t>C0459</t>
        </is>
      </c>
      <c r="B460" t="inlineStr">
        <is>
          <t>x_0459</t>
        </is>
      </c>
      <c r="C460" t="inlineStr">
        <is>
          <t>Caritasverband für die Diözese Speyer e.V.</t>
        </is>
      </c>
      <c r="D460" t="inlineStr">
        <is>
          <t>implementation_anchor</t>
        </is>
      </c>
      <c r="E460" t="inlineStr">
        <is>
          <t>health_social_anchor</t>
        </is>
      </c>
      <c r="F460" t="inlineStr">
        <is>
          <t>Deutscher Gewerkschaftsbund (DGB) Rheinland-Pfalz/Saarland</t>
        </is>
      </c>
      <c r="G460" t="inlineStr">
        <is>
          <t>context_actor</t>
        </is>
      </c>
      <c r="H460" t="inlineStr">
        <is>
          <t>chamber_association_anchor</t>
        </is>
      </c>
      <c r="I460" t="n">
        <v>31</v>
      </c>
      <c r="J460" t="n">
        <v>0</v>
      </c>
      <c r="K460" t="n">
        <v>0.1</v>
      </c>
      <c r="L460" t="n">
        <v>0.03846154</v>
      </c>
      <c r="M460" t="n">
        <v>0.13846154</v>
      </c>
      <c r="N460" t="n">
        <v>1.78269231</v>
      </c>
      <c r="O460" t="n">
        <v>55.263462</v>
      </c>
      <c r="P460" t="n">
        <v>0.08333333</v>
      </c>
      <c r="Q460" t="n">
        <v>0.25</v>
      </c>
      <c r="R460" t="n">
        <v>0.33333333</v>
      </c>
      <c r="S460" t="n">
        <v>1.07291667</v>
      </c>
      <c r="T460" t="n">
        <v>1.38299685</v>
      </c>
      <c r="U460" t="n">
        <v>42.872902</v>
      </c>
      <c r="V460" t="b">
        <v>0</v>
      </c>
      <c r="W460" t="n">
        <v>0</v>
      </c>
      <c r="X460" t="inlineStr">
        <is>
          <t>role_subrole_balanced_score = base_support_score * capped sqrt(avg_macro_multiplier * avg_subrole_multiplier); role/subrole quota constraints use inverse weights.</t>
        </is>
      </c>
    </row>
    <row r="461">
      <c r="A461" t="inlineStr">
        <is>
          <t>C0460</t>
        </is>
      </c>
      <c r="B461" t="inlineStr">
        <is>
          <t>x_0460</t>
        </is>
      </c>
      <c r="C461" t="inlineStr">
        <is>
          <t>Caritasverband für die Diözese Speyer e.V.</t>
        </is>
      </c>
      <c r="D461" t="inlineStr">
        <is>
          <t>implementation_anchor</t>
        </is>
      </c>
      <c r="E461" t="inlineStr">
        <is>
          <t>health_social_anchor</t>
        </is>
      </c>
      <c r="F461" t="inlineStr">
        <is>
          <t>Evangelische Kirche der Pfalz</t>
        </is>
      </c>
      <c r="G461" t="inlineStr">
        <is>
          <t>context_actor</t>
        </is>
      </c>
      <c r="H461" t="inlineStr">
        <is>
          <t>culture_foundation_anchor</t>
        </is>
      </c>
      <c r="I461" t="n">
        <v>31</v>
      </c>
      <c r="J461" t="n">
        <v>0</v>
      </c>
      <c r="K461" t="n">
        <v>0.1</v>
      </c>
      <c r="L461" t="n">
        <v>0.03846154</v>
      </c>
      <c r="M461" t="n">
        <v>0.13846154</v>
      </c>
      <c r="N461" t="n">
        <v>1.78269231</v>
      </c>
      <c r="O461" t="n">
        <v>55.263462</v>
      </c>
      <c r="P461" t="n">
        <v>0.08333333</v>
      </c>
      <c r="Q461" t="n">
        <v>0.33333333</v>
      </c>
      <c r="R461" t="n">
        <v>0.41666667</v>
      </c>
      <c r="S461" t="n">
        <v>1.34114583</v>
      </c>
      <c r="T461" t="n">
        <v>1.54623749</v>
      </c>
      <c r="U461" t="n">
        <v>47.933362</v>
      </c>
      <c r="V461" t="b">
        <v>0</v>
      </c>
      <c r="W461" t="n">
        <v>0</v>
      </c>
      <c r="X461" t="inlineStr">
        <is>
          <t>role_subrole_balanced_score = base_support_score * capped sqrt(avg_macro_multiplier * avg_subrole_multiplier); role/subrole quota constraints use inverse weights.</t>
        </is>
      </c>
    </row>
    <row r="462">
      <c r="A462" t="inlineStr">
        <is>
          <t>C0461</t>
        </is>
      </c>
      <c r="B462" t="inlineStr">
        <is>
          <t>x_0461</t>
        </is>
      </c>
      <c r="C462" t="inlineStr">
        <is>
          <t>JOBS FOR MOMS UG</t>
        </is>
      </c>
      <c r="D462" t="inlineStr">
        <is>
          <t>context_actor</t>
        </is>
      </c>
      <c r="E462" t="inlineStr">
        <is>
          <t>professional_services_anchor</t>
        </is>
      </c>
      <c r="F462" t="inlineStr">
        <is>
          <t>Leonardo PersonalKonzept GmbH</t>
        </is>
      </c>
      <c r="G462" t="inlineStr">
        <is>
          <t>profit_anchor</t>
        </is>
      </c>
      <c r="H462" t="inlineStr">
        <is>
          <t>professional_services_anchor</t>
        </is>
      </c>
      <c r="I462" t="n">
        <v>31</v>
      </c>
      <c r="J462" t="n">
        <v>0</v>
      </c>
      <c r="K462" t="n">
        <v>0.03846154</v>
      </c>
      <c r="L462" t="n">
        <v>0.02040816</v>
      </c>
      <c r="M462" t="n">
        <v>0.0588697</v>
      </c>
      <c r="N462" t="n">
        <v>0.75794741</v>
      </c>
      <c r="O462" t="n">
        <v>23.49637</v>
      </c>
      <c r="P462" t="n">
        <v>0.2</v>
      </c>
      <c r="Q462" t="n">
        <v>0.2</v>
      </c>
      <c r="R462" t="n">
        <v>0.4</v>
      </c>
      <c r="S462" t="n">
        <v>1.2875</v>
      </c>
      <c r="T462" t="n">
        <v>0.98785489</v>
      </c>
      <c r="U462" t="n">
        <v>30.623502</v>
      </c>
      <c r="V462" t="b">
        <v>0</v>
      </c>
      <c r="W462" t="n">
        <v>0</v>
      </c>
      <c r="X462" t="inlineStr">
        <is>
          <t>role_subrole_balanced_score = base_support_score * capped sqrt(avg_macro_multiplier * avg_subrole_multiplier); role/subrole quota constraints use inverse weights.</t>
        </is>
      </c>
    </row>
    <row r="463">
      <c r="A463" t="inlineStr">
        <is>
          <t>C0462</t>
        </is>
      </c>
      <c r="B463" t="inlineStr">
        <is>
          <t>x_0462</t>
        </is>
      </c>
      <c r="C463" t="inlineStr">
        <is>
          <t>in.betrieb gGmbH</t>
        </is>
      </c>
      <c r="D463" t="inlineStr">
        <is>
          <t>context_actor</t>
        </is>
      </c>
      <c r="E463" t="inlineStr">
        <is>
          <t>health_social_anchor</t>
        </is>
      </c>
      <c r="F463" t="inlineStr">
        <is>
          <t>Leonardo PersonalKonzept GmbH</t>
        </is>
      </c>
      <c r="G463" t="inlineStr">
        <is>
          <t>profit_anchor</t>
        </is>
      </c>
      <c r="H463" t="inlineStr">
        <is>
          <t>professional_services_anchor</t>
        </is>
      </c>
      <c r="I463" t="n">
        <v>31</v>
      </c>
      <c r="J463" t="n">
        <v>0</v>
      </c>
      <c r="K463" t="n">
        <v>0.03846154</v>
      </c>
      <c r="L463" t="n">
        <v>0.02040816</v>
      </c>
      <c r="M463" t="n">
        <v>0.0588697</v>
      </c>
      <c r="N463" t="n">
        <v>0.75794741</v>
      </c>
      <c r="O463" t="n">
        <v>23.49637</v>
      </c>
      <c r="P463" t="n">
        <v>0.08333333</v>
      </c>
      <c r="Q463" t="n">
        <v>0.2</v>
      </c>
      <c r="R463" t="n">
        <v>0.28333333</v>
      </c>
      <c r="S463" t="n">
        <v>0.91197917</v>
      </c>
      <c r="T463" t="n">
        <v>0.83140378</v>
      </c>
      <c r="U463" t="n">
        <v>25.773517</v>
      </c>
      <c r="V463" t="b">
        <v>0</v>
      </c>
      <c r="W463" t="n">
        <v>0</v>
      </c>
      <c r="X463" t="inlineStr">
        <is>
          <t>role_subrole_balanced_score = base_support_score * capped sqrt(avg_macro_multiplier * avg_subrole_multiplier); role/subrole quota constraints use inverse weights.</t>
        </is>
      </c>
    </row>
    <row r="464">
      <c r="A464" t="inlineStr">
        <is>
          <t>C0463</t>
        </is>
      </c>
      <c r="B464" t="inlineStr">
        <is>
          <t>x_0463</t>
        </is>
      </c>
      <c r="C464" t="inlineStr">
        <is>
          <t>Aturas GmbH</t>
        </is>
      </c>
      <c r="D464" t="inlineStr">
        <is>
          <t>profit_anchor</t>
        </is>
      </c>
      <c r="E464" t="inlineStr">
        <is>
          <t>technology_digital_anchor</t>
        </is>
      </c>
      <c r="F464" t="inlineStr">
        <is>
          <t>Deutsche Universität für Verwaltungswissenschaften Speyer</t>
        </is>
      </c>
      <c r="G464" t="inlineStr">
        <is>
          <t>academic_support</t>
        </is>
      </c>
      <c r="H464" t="inlineStr">
        <is>
          <t>university_research</t>
        </is>
      </c>
      <c r="I464" t="n">
        <v>31</v>
      </c>
      <c r="J464" t="n">
        <v>0</v>
      </c>
      <c r="K464" t="n">
        <v>0.02040816</v>
      </c>
      <c r="L464" t="n">
        <v>0.05555556</v>
      </c>
      <c r="M464" t="n">
        <v>0.07596372</v>
      </c>
      <c r="N464" t="n">
        <v>0.97803288</v>
      </c>
      <c r="O464" t="n">
        <v>30.319019</v>
      </c>
      <c r="P464" t="n">
        <v>0.11111111</v>
      </c>
      <c r="Q464" t="n">
        <v>0.14285714</v>
      </c>
      <c r="R464" t="n">
        <v>0.25396825</v>
      </c>
      <c r="S464" t="n">
        <v>0.81746032</v>
      </c>
      <c r="T464" t="n">
        <v>0.89414935</v>
      </c>
      <c r="U464" t="n">
        <v>27.71863</v>
      </c>
      <c r="V464" t="b">
        <v>1</v>
      </c>
      <c r="W464" t="n">
        <v>1</v>
      </c>
      <c r="X464" t="inlineStr">
        <is>
          <t>role_subrole_balanced_score = base_support_score * capped sqrt(avg_macro_multiplier * avg_subrole_multiplier); role/subrole quota constraints use inverse weights.</t>
        </is>
      </c>
    </row>
    <row r="465">
      <c r="A465" t="inlineStr">
        <is>
          <t>C0464</t>
        </is>
      </c>
      <c r="B465" t="inlineStr">
        <is>
          <t>x_0464</t>
        </is>
      </c>
      <c r="C465" t="inlineStr">
        <is>
          <t>Aturas GmbH</t>
        </is>
      </c>
      <c r="D465" t="inlineStr">
        <is>
          <t>profit_anchor</t>
        </is>
      </c>
      <c r="E465" t="inlineStr">
        <is>
          <t>technology_digital_anchor</t>
        </is>
      </c>
      <c r="F465" t="inlineStr">
        <is>
          <t>Landkreistag Rheinland-Pfalz</t>
        </is>
      </c>
      <c r="G465" t="inlineStr">
        <is>
          <t>context_actor</t>
        </is>
      </c>
      <c r="H465" t="inlineStr">
        <is>
          <t>public_policy_anchor</t>
        </is>
      </c>
      <c r="I465" t="n">
        <v>31</v>
      </c>
      <c r="J465" t="n">
        <v>0</v>
      </c>
      <c r="K465" t="n">
        <v>0.02040816</v>
      </c>
      <c r="L465" t="n">
        <v>0.03846154</v>
      </c>
      <c r="M465" t="n">
        <v>0.0588697</v>
      </c>
      <c r="N465" t="n">
        <v>0.75794741</v>
      </c>
      <c r="O465" t="n">
        <v>23.49637</v>
      </c>
      <c r="P465" t="n">
        <v>0.11111111</v>
      </c>
      <c r="Q465" t="n">
        <v>0.16666667</v>
      </c>
      <c r="R465" t="n">
        <v>0.27777778</v>
      </c>
      <c r="S465" t="n">
        <v>0.89409722</v>
      </c>
      <c r="T465" t="n">
        <v>0.82321241</v>
      </c>
      <c r="U465" t="n">
        <v>25.519585</v>
      </c>
      <c r="V465" t="b">
        <v>0</v>
      </c>
      <c r="W465" t="n">
        <v>0</v>
      </c>
      <c r="X465" t="inlineStr">
        <is>
          <t>role_subrole_balanced_score = base_support_score * capped sqrt(avg_macro_multiplier * avg_subrole_multiplier); role/subrole quota constraints use inverse weights.</t>
        </is>
      </c>
    </row>
    <row r="466">
      <c r="A466" t="inlineStr">
        <is>
          <t>C0465</t>
        </is>
      </c>
      <c r="B466" t="inlineStr">
        <is>
          <t>x_0465</t>
        </is>
      </c>
      <c r="C466" t="inlineStr">
        <is>
          <t>Aturas GmbH</t>
        </is>
      </c>
      <c r="D466" t="inlineStr">
        <is>
          <t>profit_anchor</t>
        </is>
      </c>
      <c r="E466" t="inlineStr">
        <is>
          <t>technology_digital_anchor</t>
        </is>
      </c>
      <c r="F466" t="inlineStr">
        <is>
          <t>Staatskanzlei des Landes Rheinland-Pfalz</t>
        </is>
      </c>
      <c r="G466" t="inlineStr">
        <is>
          <t>context_actor</t>
        </is>
      </c>
      <c r="H466" t="inlineStr">
        <is>
          <t>public_policy_anchor</t>
        </is>
      </c>
      <c r="I466" t="n">
        <v>31</v>
      </c>
      <c r="J466" t="n">
        <v>0</v>
      </c>
      <c r="K466" t="n">
        <v>0.02040816</v>
      </c>
      <c r="L466" t="n">
        <v>0.03846154</v>
      </c>
      <c r="M466" t="n">
        <v>0.0588697</v>
      </c>
      <c r="N466" t="n">
        <v>0.75794741</v>
      </c>
      <c r="O466" t="n">
        <v>23.49637</v>
      </c>
      <c r="P466" t="n">
        <v>0.11111111</v>
      </c>
      <c r="Q466" t="n">
        <v>0.16666667</v>
      </c>
      <c r="R466" t="n">
        <v>0.27777778</v>
      </c>
      <c r="S466" t="n">
        <v>0.89409722</v>
      </c>
      <c r="T466" t="n">
        <v>0.82321241</v>
      </c>
      <c r="U466" t="n">
        <v>25.519585</v>
      </c>
      <c r="V466" t="b">
        <v>0</v>
      </c>
      <c r="W466" t="n">
        <v>0</v>
      </c>
      <c r="X466" t="inlineStr">
        <is>
          <t>role_subrole_balanced_score = base_support_score * capped sqrt(avg_macro_multiplier * avg_subrole_multiplier); role/subrole quota constraints use inverse weights.</t>
        </is>
      </c>
    </row>
    <row r="467">
      <c r="A467" t="inlineStr">
        <is>
          <t>C0466</t>
        </is>
      </c>
      <c r="B467" t="inlineStr">
        <is>
          <t>x_0466</t>
        </is>
      </c>
      <c r="C467" t="inlineStr">
        <is>
          <t>Aturas GmbH</t>
        </is>
      </c>
      <c r="D467" t="inlineStr">
        <is>
          <t>profit_anchor</t>
        </is>
      </c>
      <c r="E467" t="inlineStr">
        <is>
          <t>technology_digital_anchor</t>
        </is>
      </c>
      <c r="F467" t="inlineStr">
        <is>
          <t>Städtetag Rheinland-Pfalz</t>
        </is>
      </c>
      <c r="G467" t="inlineStr">
        <is>
          <t>context_actor</t>
        </is>
      </c>
      <c r="H467" t="inlineStr">
        <is>
          <t>public_policy_anchor</t>
        </is>
      </c>
      <c r="I467" t="n">
        <v>31</v>
      </c>
      <c r="J467" t="n">
        <v>0</v>
      </c>
      <c r="K467" t="n">
        <v>0.02040816</v>
      </c>
      <c r="L467" t="n">
        <v>0.03846154</v>
      </c>
      <c r="M467" t="n">
        <v>0.0588697</v>
      </c>
      <c r="N467" t="n">
        <v>0.75794741</v>
      </c>
      <c r="O467" t="n">
        <v>23.49637</v>
      </c>
      <c r="P467" t="n">
        <v>0.11111111</v>
      </c>
      <c r="Q467" t="n">
        <v>0.16666667</v>
      </c>
      <c r="R467" t="n">
        <v>0.27777778</v>
      </c>
      <c r="S467" t="n">
        <v>0.89409722</v>
      </c>
      <c r="T467" t="n">
        <v>0.82321241</v>
      </c>
      <c r="U467" t="n">
        <v>25.519585</v>
      </c>
      <c r="V467" t="b">
        <v>0</v>
      </c>
      <c r="W467" t="n">
        <v>0</v>
      </c>
      <c r="X467" t="inlineStr">
        <is>
          <t>role_subrole_balanced_score = base_support_score * capped sqrt(avg_macro_multiplier * avg_subrole_multiplier); role/subrole quota constraints use inverse weights.</t>
        </is>
      </c>
    </row>
    <row r="468">
      <c r="A468" t="inlineStr">
        <is>
          <t>C0467</t>
        </is>
      </c>
      <c r="B468" t="inlineStr">
        <is>
          <t>x_0467</t>
        </is>
      </c>
      <c r="C468" t="inlineStr">
        <is>
          <t>Empolis Information Management GmbH</t>
        </is>
      </c>
      <c r="D468" t="inlineStr">
        <is>
          <t>profit_anchor</t>
        </is>
      </c>
      <c r="E468" t="inlineStr">
        <is>
          <t>technology_digital_anchor</t>
        </is>
      </c>
      <c r="F468" t="inlineStr">
        <is>
          <t>Universität Koblenz</t>
        </is>
      </c>
      <c r="G468" t="inlineStr">
        <is>
          <t>academic_support</t>
        </is>
      </c>
      <c r="H468" t="inlineStr">
        <is>
          <t>university_research</t>
        </is>
      </c>
      <c r="I468" t="n">
        <v>31</v>
      </c>
      <c r="J468" t="n">
        <v>0</v>
      </c>
      <c r="K468" t="n">
        <v>0.02040816</v>
      </c>
      <c r="L468" t="n">
        <v>0.05555556</v>
      </c>
      <c r="M468" t="n">
        <v>0.07596372</v>
      </c>
      <c r="N468" t="n">
        <v>0.97803288</v>
      </c>
      <c r="O468" t="n">
        <v>30.319019</v>
      </c>
      <c r="P468" t="n">
        <v>0.11111111</v>
      </c>
      <c r="Q468" t="n">
        <v>0.14285714</v>
      </c>
      <c r="R468" t="n">
        <v>0.25396825</v>
      </c>
      <c r="S468" t="n">
        <v>0.81746032</v>
      </c>
      <c r="T468" t="n">
        <v>0.89414935</v>
      </c>
      <c r="U468" t="n">
        <v>27.71863</v>
      </c>
      <c r="V468" t="b">
        <v>1</v>
      </c>
      <c r="W468" t="n">
        <v>1</v>
      </c>
      <c r="X468" t="inlineStr">
        <is>
          <t>role_subrole_balanced_score = base_support_score * capped sqrt(avg_macro_multiplier * avg_subrole_multiplier); role/subrole quota constraints use inverse weights.</t>
        </is>
      </c>
    </row>
    <row r="469">
      <c r="A469" t="inlineStr">
        <is>
          <t>C0468</t>
        </is>
      </c>
      <c r="B469" t="inlineStr">
        <is>
          <t>x_0468</t>
        </is>
      </c>
      <c r="C469" t="inlineStr">
        <is>
          <t>Ministerium für Wirtschaft, Verkehr, Landwirtschaft und Weinbau</t>
        </is>
      </c>
      <c r="D469" t="inlineStr">
        <is>
          <t>profit_anchor</t>
        </is>
      </c>
      <c r="E469" t="inlineStr">
        <is>
          <t>public_policy_anchor</t>
        </is>
      </c>
      <c r="F469" t="inlineStr">
        <is>
          <t>Universität Koblenz</t>
        </is>
      </c>
      <c r="G469" t="inlineStr">
        <is>
          <t>academic_support</t>
        </is>
      </c>
      <c r="H469" t="inlineStr">
        <is>
          <t>university_research</t>
        </is>
      </c>
      <c r="I469" t="n">
        <v>31</v>
      </c>
      <c r="J469" t="n">
        <v>0</v>
      </c>
      <c r="K469" t="n">
        <v>0.02040816</v>
      </c>
      <c r="L469" t="n">
        <v>0.05555556</v>
      </c>
      <c r="M469" t="n">
        <v>0.07596372</v>
      </c>
      <c r="N469" t="n">
        <v>0.97803288</v>
      </c>
      <c r="O469" t="n">
        <v>30.319019</v>
      </c>
      <c r="P469" t="n">
        <v>0.16666667</v>
      </c>
      <c r="Q469" t="n">
        <v>0.14285714</v>
      </c>
      <c r="R469" t="n">
        <v>0.30952381</v>
      </c>
      <c r="S469" t="n">
        <v>0.99627976</v>
      </c>
      <c r="T469" t="n">
        <v>0.98711416</v>
      </c>
      <c r="U469" t="n">
        <v>30.600539</v>
      </c>
      <c r="V469" t="b">
        <v>1</v>
      </c>
      <c r="W469" t="n">
        <v>1</v>
      </c>
      <c r="X469" t="inlineStr">
        <is>
          <t>role_subrole_balanced_score = base_support_score * capped sqrt(avg_macro_multiplier * avg_subrole_multiplier); role/subrole quota constraints use inverse weights.</t>
        </is>
      </c>
    </row>
    <row r="470">
      <c r="A470" t="inlineStr">
        <is>
          <t>C0469</t>
        </is>
      </c>
      <c r="B470" t="inlineStr">
        <is>
          <t>x_0469</t>
        </is>
      </c>
      <c r="C470" t="inlineStr">
        <is>
          <t>Hochschule Trier</t>
        </is>
      </c>
      <c r="D470" t="inlineStr">
        <is>
          <t>academic_support</t>
        </is>
      </c>
      <c r="E470" t="inlineStr">
        <is>
          <t>university_applied_sciences</t>
        </is>
      </c>
      <c r="F470" t="inlineStr">
        <is>
          <t>KSB AG</t>
        </is>
      </c>
      <c r="G470" t="inlineStr">
        <is>
          <t>profit_anchor</t>
        </is>
      </c>
      <c r="H470" t="inlineStr">
        <is>
          <t>industry_anchor</t>
        </is>
      </c>
      <c r="I470" t="n">
        <v>31</v>
      </c>
      <c r="J470" t="n">
        <v>0</v>
      </c>
      <c r="K470" t="n">
        <v>0.05555556</v>
      </c>
      <c r="L470" t="n">
        <v>0.02040816</v>
      </c>
      <c r="M470" t="n">
        <v>0.07596372</v>
      </c>
      <c r="N470" t="n">
        <v>0.97803288</v>
      </c>
      <c r="O470" t="n">
        <v>30.319019</v>
      </c>
      <c r="P470" t="n">
        <v>0.09090909</v>
      </c>
      <c r="Q470" t="n">
        <v>0.09090909</v>
      </c>
      <c r="R470" t="n">
        <v>0.18181818</v>
      </c>
      <c r="S470" t="n">
        <v>0.58522727</v>
      </c>
      <c r="T470" t="n">
        <v>0.75655239</v>
      </c>
      <c r="U470" t="n">
        <v>23.453124</v>
      </c>
      <c r="V470" t="b">
        <v>1</v>
      </c>
      <c r="W470" t="n">
        <v>1</v>
      </c>
      <c r="X470" t="inlineStr">
        <is>
          <t>role_subrole_balanced_score = base_support_score * capped sqrt(avg_macro_multiplier * avg_subrole_multiplier); role/subrole quota constraints use inverse weights.</t>
        </is>
      </c>
    </row>
    <row r="471">
      <c r="A471" t="inlineStr">
        <is>
          <t>C0470</t>
        </is>
      </c>
      <c r="B471" t="inlineStr">
        <is>
          <t>x_0470</t>
        </is>
      </c>
      <c r="C471" t="inlineStr">
        <is>
          <t>Hochschule Trier</t>
        </is>
      </c>
      <c r="D471" t="inlineStr">
        <is>
          <t>academic_support</t>
        </is>
      </c>
      <c r="E471" t="inlineStr">
        <is>
          <t>university_applied_sciences</t>
        </is>
      </c>
      <c r="F471" t="inlineStr">
        <is>
          <t>Zahnen Technik GmbH</t>
        </is>
      </c>
      <c r="G471" t="inlineStr">
        <is>
          <t>profit_anchor</t>
        </is>
      </c>
      <c r="H471" t="inlineStr">
        <is>
          <t>energy_infrastructure_anchor</t>
        </is>
      </c>
      <c r="I471" t="n">
        <v>31</v>
      </c>
      <c r="J471" t="n">
        <v>0</v>
      </c>
      <c r="K471" t="n">
        <v>0.05555556</v>
      </c>
      <c r="L471" t="n">
        <v>0.02040816</v>
      </c>
      <c r="M471" t="n">
        <v>0.07596372</v>
      </c>
      <c r="N471" t="n">
        <v>0.97803288</v>
      </c>
      <c r="O471" t="n">
        <v>30.319019</v>
      </c>
      <c r="P471" t="n">
        <v>0.09090909</v>
      </c>
      <c r="Q471" t="n">
        <v>0.11111111</v>
      </c>
      <c r="R471" t="n">
        <v>0.2020202</v>
      </c>
      <c r="S471" t="n">
        <v>0.6502525300000001</v>
      </c>
      <c r="T471" t="n">
        <v>0.7974762399999999</v>
      </c>
      <c r="U471" t="n">
        <v>24.721763</v>
      </c>
      <c r="V471" t="b">
        <v>1</v>
      </c>
      <c r="W471" t="n">
        <v>1</v>
      </c>
      <c r="X471" t="inlineStr">
        <is>
          <t>role_subrole_balanced_score = base_support_score * capped sqrt(avg_macro_multiplier * avg_subrole_multiplier); role/subrole quota constraints use inverse weights.</t>
        </is>
      </c>
    </row>
    <row r="472">
      <c r="A472" t="inlineStr">
        <is>
          <t>C0471</t>
        </is>
      </c>
      <c r="B472" t="inlineStr">
        <is>
          <t>x_0471</t>
        </is>
      </c>
      <c r="C472" t="inlineStr">
        <is>
          <t>Barmherzige Brüder Trier gGmbH</t>
        </is>
      </c>
      <c r="D472" t="inlineStr">
        <is>
          <t>context_actor</t>
        </is>
      </c>
      <c r="E472" t="inlineStr">
        <is>
          <t>health_social_anchor</t>
        </is>
      </c>
      <c r="F472" t="inlineStr">
        <is>
          <t>Bundesagentur für Arbeit, Regionaldirektion Rheinland-Pfalz-Saarland</t>
        </is>
      </c>
      <c r="G472" t="inlineStr">
        <is>
          <t>implementation_anchor</t>
        </is>
      </c>
      <c r="H472" t="inlineStr">
        <is>
          <t>public_policy_anchor</t>
        </is>
      </c>
      <c r="I472" t="n">
        <v>31</v>
      </c>
      <c r="J472" t="n">
        <v>0</v>
      </c>
      <c r="K472" t="n">
        <v>0.03846154</v>
      </c>
      <c r="L472" t="n">
        <v>0.1</v>
      </c>
      <c r="M472" t="n">
        <v>0.13846154</v>
      </c>
      <c r="N472" t="n">
        <v>1.78269231</v>
      </c>
      <c r="O472" t="n">
        <v>55.263462</v>
      </c>
      <c r="P472" t="n">
        <v>0.08333333</v>
      </c>
      <c r="Q472" t="n">
        <v>0.16666667</v>
      </c>
      <c r="R472" t="n">
        <v>0.25</v>
      </c>
      <c r="S472" t="n">
        <v>0.8046875</v>
      </c>
      <c r="T472" t="n">
        <v>1.19771041</v>
      </c>
      <c r="U472" t="n">
        <v>37.129023</v>
      </c>
      <c r="V472" t="b">
        <v>0</v>
      </c>
      <c r="W472" t="n">
        <v>0</v>
      </c>
      <c r="X472" t="inlineStr">
        <is>
          <t>role_subrole_balanced_score = base_support_score * capped sqrt(avg_macro_multiplier * avg_subrole_multiplier); role/subrole quota constraints use inverse weights.</t>
        </is>
      </c>
    </row>
    <row r="473">
      <c r="A473" t="inlineStr">
        <is>
          <t>C0472</t>
        </is>
      </c>
      <c r="B473" t="inlineStr">
        <is>
          <t>x_0472</t>
        </is>
      </c>
      <c r="C473" t="inlineStr">
        <is>
          <t>Barmherzige Brüder Trier gGmbH</t>
        </is>
      </c>
      <c r="D473" t="inlineStr">
        <is>
          <t>context_actor</t>
        </is>
      </c>
      <c r="E473" t="inlineStr">
        <is>
          <t>health_social_anchor</t>
        </is>
      </c>
      <c r="F473" t="inlineStr">
        <is>
          <t>Handwerkskammern Rheinland-Pfalz</t>
        </is>
      </c>
      <c r="G473" t="inlineStr">
        <is>
          <t>implementation_anchor</t>
        </is>
      </c>
      <c r="H473" t="inlineStr">
        <is>
          <t>chamber_association_anchor</t>
        </is>
      </c>
      <c r="I473" t="n">
        <v>31</v>
      </c>
      <c r="J473" t="n">
        <v>0</v>
      </c>
      <c r="K473" t="n">
        <v>0.03846154</v>
      </c>
      <c r="L473" t="n">
        <v>0.1</v>
      </c>
      <c r="M473" t="n">
        <v>0.13846154</v>
      </c>
      <c r="N473" t="n">
        <v>1.78269231</v>
      </c>
      <c r="O473" t="n">
        <v>55.263462</v>
      </c>
      <c r="P473" t="n">
        <v>0.08333333</v>
      </c>
      <c r="Q473" t="n">
        <v>0.25</v>
      </c>
      <c r="R473" t="n">
        <v>0.33333333</v>
      </c>
      <c r="S473" t="n">
        <v>1.07291667</v>
      </c>
      <c r="T473" t="n">
        <v>1.38299685</v>
      </c>
      <c r="U473" t="n">
        <v>42.872902</v>
      </c>
      <c r="V473" t="b">
        <v>0</v>
      </c>
      <c r="W473" t="n">
        <v>0</v>
      </c>
      <c r="X473" t="inlineStr">
        <is>
          <t>role_subrole_balanced_score = base_support_score * capped sqrt(avg_macro_multiplier * avg_subrole_multiplier); role/subrole quota constraints use inverse weights.</t>
        </is>
      </c>
    </row>
    <row r="474">
      <c r="A474" t="inlineStr">
        <is>
          <t>C0473</t>
        </is>
      </c>
      <c r="B474" t="inlineStr">
        <is>
          <t>x_0473</t>
        </is>
      </c>
      <c r="C474" t="inlineStr">
        <is>
          <t>Bundesagentur für Arbeit, Regionaldirektion Rheinland-Pfalz-Saarland</t>
        </is>
      </c>
      <c r="D474" t="inlineStr">
        <is>
          <t>implementation_anchor</t>
        </is>
      </c>
      <c r="E474" t="inlineStr">
        <is>
          <t>public_policy_anchor</t>
        </is>
      </c>
      <c r="F474" t="inlineStr">
        <is>
          <t>Deutscher Gewerkschaftsbund (DGB) Rheinland-Pfalz/Saarland</t>
        </is>
      </c>
      <c r="G474" t="inlineStr">
        <is>
          <t>context_actor</t>
        </is>
      </c>
      <c r="H474" t="inlineStr">
        <is>
          <t>chamber_association_anchor</t>
        </is>
      </c>
      <c r="I474" t="n">
        <v>31</v>
      </c>
      <c r="J474" t="n">
        <v>0</v>
      </c>
      <c r="K474" t="n">
        <v>0.1</v>
      </c>
      <c r="L474" t="n">
        <v>0.03846154</v>
      </c>
      <c r="M474" t="n">
        <v>0.13846154</v>
      </c>
      <c r="N474" t="n">
        <v>1.78269231</v>
      </c>
      <c r="O474" t="n">
        <v>55.263462</v>
      </c>
      <c r="P474" t="n">
        <v>0.16666667</v>
      </c>
      <c r="Q474" t="n">
        <v>0.25</v>
      </c>
      <c r="R474" t="n">
        <v>0.41666667</v>
      </c>
      <c r="S474" t="n">
        <v>1.34114583</v>
      </c>
      <c r="T474" t="n">
        <v>1.54623749</v>
      </c>
      <c r="U474" t="n">
        <v>47.933362</v>
      </c>
      <c r="V474" t="b">
        <v>0</v>
      </c>
      <c r="W474" t="n">
        <v>0</v>
      </c>
      <c r="X474" t="inlineStr">
        <is>
          <t>role_subrole_balanced_score = base_support_score * capped sqrt(avg_macro_multiplier * avg_subrole_multiplier); role/subrole quota constraints use inverse weights.</t>
        </is>
      </c>
    </row>
    <row r="475">
      <c r="A475" t="inlineStr">
        <is>
          <t>C0474</t>
        </is>
      </c>
      <c r="B475" t="inlineStr">
        <is>
          <t>x_0474</t>
        </is>
      </c>
      <c r="C475" t="inlineStr">
        <is>
          <t>Bundesagentur für Arbeit, Regionaldirektion Rheinland-Pfalz-Saarland</t>
        </is>
      </c>
      <c r="D475" t="inlineStr">
        <is>
          <t>implementation_anchor</t>
        </is>
      </c>
      <c r="E475" t="inlineStr">
        <is>
          <t>public_policy_anchor</t>
        </is>
      </c>
      <c r="F475" t="inlineStr">
        <is>
          <t>JOBS FOR MOMS UG</t>
        </is>
      </c>
      <c r="G475" t="inlineStr">
        <is>
          <t>context_actor</t>
        </is>
      </c>
      <c r="H475" t="inlineStr">
        <is>
          <t>professional_services_anchor</t>
        </is>
      </c>
      <c r="I475" t="n">
        <v>31</v>
      </c>
      <c r="J475" t="n">
        <v>0</v>
      </c>
      <c r="K475" t="n">
        <v>0.1</v>
      </c>
      <c r="L475" t="n">
        <v>0.03846154</v>
      </c>
      <c r="M475" t="n">
        <v>0.13846154</v>
      </c>
      <c r="N475" t="n">
        <v>1.78269231</v>
      </c>
      <c r="O475" t="n">
        <v>55.263462</v>
      </c>
      <c r="P475" t="n">
        <v>0.16666667</v>
      </c>
      <c r="Q475" t="n">
        <v>0.2</v>
      </c>
      <c r="R475" t="n">
        <v>0.36666667</v>
      </c>
      <c r="S475" t="n">
        <v>1.18020833</v>
      </c>
      <c r="T475" t="n">
        <v>1.45049933</v>
      </c>
      <c r="U475" t="n">
        <v>44.965479</v>
      </c>
      <c r="V475" t="b">
        <v>0</v>
      </c>
      <c r="W475" t="n">
        <v>0</v>
      </c>
      <c r="X475" t="inlineStr">
        <is>
          <t>role_subrole_balanced_score = base_support_score * capped sqrt(avg_macro_multiplier * avg_subrole_multiplier); role/subrole quota constraints use inverse weights.</t>
        </is>
      </c>
    </row>
    <row r="476">
      <c r="A476" t="inlineStr">
        <is>
          <t>C0475</t>
        </is>
      </c>
      <c r="B476" t="inlineStr">
        <is>
          <t>x_0475</t>
        </is>
      </c>
      <c r="C476" t="inlineStr">
        <is>
          <t>Deutscher Gewerkschaftsbund (DGB) Rheinland-Pfalz/Saarland</t>
        </is>
      </c>
      <c r="D476" t="inlineStr">
        <is>
          <t>context_actor</t>
        </is>
      </c>
      <c r="E476" t="inlineStr">
        <is>
          <t>chamber_association_anchor</t>
        </is>
      </c>
      <c r="F476" t="inlineStr">
        <is>
          <t>Handwerkskammern Rheinland-Pfalz</t>
        </is>
      </c>
      <c r="G476" t="inlineStr">
        <is>
          <t>implementation_anchor</t>
        </is>
      </c>
      <c r="H476" t="inlineStr">
        <is>
          <t>chamber_association_anchor</t>
        </is>
      </c>
      <c r="I476" t="n">
        <v>31</v>
      </c>
      <c r="J476" t="n">
        <v>0</v>
      </c>
      <c r="K476" t="n">
        <v>0.03846154</v>
      </c>
      <c r="L476" t="n">
        <v>0.1</v>
      </c>
      <c r="M476" t="n">
        <v>0.13846154</v>
      </c>
      <c r="N476" t="n">
        <v>1.78269231</v>
      </c>
      <c r="O476" t="n">
        <v>55.263462</v>
      </c>
      <c r="P476" t="n">
        <v>0.25</v>
      </c>
      <c r="Q476" t="n">
        <v>0.25</v>
      </c>
      <c r="R476" t="n">
        <v>0.5</v>
      </c>
      <c r="S476" t="n">
        <v>1.609375</v>
      </c>
      <c r="T476" t="n">
        <v>1.6938183</v>
      </c>
      <c r="U476" t="n">
        <v>52.508367</v>
      </c>
      <c r="V476" t="b">
        <v>0</v>
      </c>
      <c r="W476" t="n">
        <v>0</v>
      </c>
      <c r="X476" t="inlineStr">
        <is>
          <t>role_subrole_balanced_score = base_support_score * capped sqrt(avg_macro_multiplier * avg_subrole_multiplier); role/subrole quota constraints use inverse weights.</t>
        </is>
      </c>
    </row>
    <row r="477">
      <c r="A477" t="inlineStr">
        <is>
          <t>C0476</t>
        </is>
      </c>
      <c r="B477" t="inlineStr">
        <is>
          <t>x_0476</t>
        </is>
      </c>
      <c r="C477" t="inlineStr">
        <is>
          <t>Handwerkskammern Rheinland-Pfalz</t>
        </is>
      </c>
      <c r="D477" t="inlineStr">
        <is>
          <t>implementation_anchor</t>
        </is>
      </c>
      <c r="E477" t="inlineStr">
        <is>
          <t>chamber_association_anchor</t>
        </is>
      </c>
      <c r="F477" t="inlineStr">
        <is>
          <t>JOBS FOR MOMS UG</t>
        </is>
      </c>
      <c r="G477" t="inlineStr">
        <is>
          <t>context_actor</t>
        </is>
      </c>
      <c r="H477" t="inlineStr">
        <is>
          <t>professional_services_anchor</t>
        </is>
      </c>
      <c r="I477" t="n">
        <v>31</v>
      </c>
      <c r="J477" t="n">
        <v>0</v>
      </c>
      <c r="K477" t="n">
        <v>0.1</v>
      </c>
      <c r="L477" t="n">
        <v>0.03846154</v>
      </c>
      <c r="M477" t="n">
        <v>0.13846154</v>
      </c>
      <c r="N477" t="n">
        <v>1.78269231</v>
      </c>
      <c r="O477" t="n">
        <v>55.263462</v>
      </c>
      <c r="P477" t="n">
        <v>0.25</v>
      </c>
      <c r="Q477" t="n">
        <v>0.2</v>
      </c>
      <c r="R477" t="n">
        <v>0.45</v>
      </c>
      <c r="S477" t="n">
        <v>1.4484375</v>
      </c>
      <c r="T477" t="n">
        <v>1.60689713</v>
      </c>
      <c r="U477" t="n">
        <v>49.813811</v>
      </c>
      <c r="V477" t="b">
        <v>0</v>
      </c>
      <c r="W477" t="n">
        <v>0</v>
      </c>
      <c r="X477" t="inlineStr">
        <is>
          <t>role_subrole_balanced_score = base_support_score * capped sqrt(avg_macro_multiplier * avg_subrole_multiplier); role/subrole quota constraints use inverse weights.</t>
        </is>
      </c>
    </row>
    <row r="478">
      <c r="A478" t="inlineStr">
        <is>
          <t>C0477</t>
        </is>
      </c>
      <c r="B478" t="inlineStr">
        <is>
          <t>x_0477</t>
        </is>
      </c>
      <c r="C478" t="inlineStr">
        <is>
          <t>Deutsche Universität für Verwaltungswissenschaften Speyer</t>
        </is>
      </c>
      <c r="D478" t="inlineStr">
        <is>
          <t>academic_support</t>
        </is>
      </c>
      <c r="E478" t="inlineStr">
        <is>
          <t>university_research</t>
        </is>
      </c>
      <c r="F478" t="inlineStr">
        <is>
          <t>Erster FC Kaiserslautern GmbH &amp; Co. KGaA</t>
        </is>
      </c>
      <c r="G478" t="inlineStr">
        <is>
          <t>profit_anchor</t>
        </is>
      </c>
      <c r="H478" t="inlineStr">
        <is>
          <t>sports_regional_identity_anchor</t>
        </is>
      </c>
      <c r="I478" t="n">
        <v>30</v>
      </c>
      <c r="J478" t="n">
        <v>0</v>
      </c>
      <c r="K478" t="n">
        <v>0.05555556</v>
      </c>
      <c r="L478" t="n">
        <v>0.02040816</v>
      </c>
      <c r="M478" t="n">
        <v>0.07596372</v>
      </c>
      <c r="N478" t="n">
        <v>0.97803288</v>
      </c>
      <c r="O478" t="n">
        <v>29.340986</v>
      </c>
      <c r="P478" t="n">
        <v>0.14285714</v>
      </c>
      <c r="Q478" t="n">
        <v>0.5</v>
      </c>
      <c r="R478" t="n">
        <v>0.64285714</v>
      </c>
      <c r="S478" t="n">
        <v>2.06919643</v>
      </c>
      <c r="T478" t="n">
        <v>1.42258291</v>
      </c>
      <c r="U478" t="n">
        <v>42.677487</v>
      </c>
      <c r="V478" t="b">
        <v>1</v>
      </c>
      <c r="W478" t="n">
        <v>1</v>
      </c>
      <c r="X478" t="inlineStr">
        <is>
          <t>role_subrole_balanced_score = base_support_score * capped sqrt(avg_macro_multiplier * avg_subrole_multiplier); role/subrole quota constraints use inverse weights.</t>
        </is>
      </c>
    </row>
    <row r="479">
      <c r="A479" t="inlineStr">
        <is>
          <t>C0478</t>
        </is>
      </c>
      <c r="B479" t="inlineStr">
        <is>
          <t>x_0478</t>
        </is>
      </c>
      <c r="C479" t="inlineStr">
        <is>
          <t>Entwicklungsagentur Rheinland-Pfalz e.V.</t>
        </is>
      </c>
      <c r="D479" t="inlineStr">
        <is>
          <t>implementation_anchor</t>
        </is>
      </c>
      <c r="E479" t="inlineStr">
        <is>
          <t>public_policy_anchor</t>
        </is>
      </c>
      <c r="F479" t="inlineStr">
        <is>
          <t>Evangelische Kirche der Pfalz</t>
        </is>
      </c>
      <c r="G479" t="inlineStr">
        <is>
          <t>context_actor</t>
        </is>
      </c>
      <c r="H479" t="inlineStr">
        <is>
          <t>culture_foundation_anchor</t>
        </is>
      </c>
      <c r="I479" t="n">
        <v>30</v>
      </c>
      <c r="J479" t="n">
        <v>0</v>
      </c>
      <c r="K479" t="n">
        <v>0.1</v>
      </c>
      <c r="L479" t="n">
        <v>0.03846154</v>
      </c>
      <c r="M479" t="n">
        <v>0.13846154</v>
      </c>
      <c r="N479" t="n">
        <v>1.78269231</v>
      </c>
      <c r="O479" t="n">
        <v>53.480769</v>
      </c>
      <c r="P479" t="n">
        <v>0.16666667</v>
      </c>
      <c r="Q479" t="n">
        <v>0.33333333</v>
      </c>
      <c r="R479" t="n">
        <v>0.5</v>
      </c>
      <c r="S479" t="n">
        <v>1.609375</v>
      </c>
      <c r="T479" t="n">
        <v>1.6938183</v>
      </c>
      <c r="U479" t="n">
        <v>50.814549</v>
      </c>
      <c r="V479" t="b">
        <v>0</v>
      </c>
      <c r="W479" t="n">
        <v>0</v>
      </c>
      <c r="X479" t="inlineStr">
        <is>
          <t>role_subrole_balanced_score = base_support_score * capped sqrt(avg_macro_multiplier * avg_subrole_multiplier); role/subrole quota constraints use inverse weights.</t>
        </is>
      </c>
    </row>
    <row r="480">
      <c r="A480" t="inlineStr">
        <is>
          <t>C0479</t>
        </is>
      </c>
      <c r="B480" t="inlineStr">
        <is>
          <t>x_0479</t>
        </is>
      </c>
      <c r="C480" t="inlineStr">
        <is>
          <t>Entwicklungsagentur Rheinland-Pfalz e.V.</t>
        </is>
      </c>
      <c r="D480" t="inlineStr">
        <is>
          <t>implementation_anchor</t>
        </is>
      </c>
      <c r="E480" t="inlineStr">
        <is>
          <t>public_policy_anchor</t>
        </is>
      </c>
      <c r="F480" t="inlineStr">
        <is>
          <t>RPR1.</t>
        </is>
      </c>
      <c r="G480" t="inlineStr">
        <is>
          <t>context_actor</t>
        </is>
      </c>
      <c r="H480" t="inlineStr">
        <is>
          <t>media_publicity_anchor</t>
        </is>
      </c>
      <c r="I480" t="n">
        <v>30</v>
      </c>
      <c r="J480" t="n">
        <v>0</v>
      </c>
      <c r="K480" t="n">
        <v>0.1</v>
      </c>
      <c r="L480" t="n">
        <v>0.03846154</v>
      </c>
      <c r="M480" t="n">
        <v>0.13846154</v>
      </c>
      <c r="N480" t="n">
        <v>1.78269231</v>
      </c>
      <c r="O480" t="n">
        <v>53.480769</v>
      </c>
      <c r="P480" t="n">
        <v>0.16666667</v>
      </c>
      <c r="Q480" t="n">
        <v>0.33333333</v>
      </c>
      <c r="R480" t="n">
        <v>0.5</v>
      </c>
      <c r="S480" t="n">
        <v>1.609375</v>
      </c>
      <c r="T480" t="n">
        <v>1.6938183</v>
      </c>
      <c r="U480" t="n">
        <v>50.814549</v>
      </c>
      <c r="V480" t="b">
        <v>0</v>
      </c>
      <c r="W480" t="n">
        <v>0</v>
      </c>
      <c r="X480" t="inlineStr">
        <is>
          <t>role_subrole_balanced_score = base_support_score * capped sqrt(avg_macro_multiplier * avg_subrole_multiplier); role/subrole quota constraints use inverse weights.</t>
        </is>
      </c>
    </row>
    <row r="481">
      <c r="A481" t="inlineStr">
        <is>
          <t>C0480</t>
        </is>
      </c>
      <c r="B481" t="inlineStr">
        <is>
          <t>x_0480</t>
        </is>
      </c>
      <c r="C481" t="inlineStr">
        <is>
          <t>Entwicklungsagentur Rheinland-Pfalz e.V.</t>
        </is>
      </c>
      <c r="D481" t="inlineStr">
        <is>
          <t>implementation_anchor</t>
        </is>
      </c>
      <c r="E481" t="inlineStr">
        <is>
          <t>public_policy_anchor</t>
        </is>
      </c>
      <c r="F481" t="inlineStr">
        <is>
          <t>SWR – Südwestrundfunk</t>
        </is>
      </c>
      <c r="G481" t="inlineStr">
        <is>
          <t>context_actor</t>
        </is>
      </c>
      <c r="H481" t="inlineStr">
        <is>
          <t>media_publicity_anchor</t>
        </is>
      </c>
      <c r="I481" t="n">
        <v>30</v>
      </c>
      <c r="J481" t="n">
        <v>0</v>
      </c>
      <c r="K481" t="n">
        <v>0.1</v>
      </c>
      <c r="L481" t="n">
        <v>0.03846154</v>
      </c>
      <c r="M481" t="n">
        <v>0.13846154</v>
      </c>
      <c r="N481" t="n">
        <v>1.78269231</v>
      </c>
      <c r="O481" t="n">
        <v>53.480769</v>
      </c>
      <c r="P481" t="n">
        <v>0.16666667</v>
      </c>
      <c r="Q481" t="n">
        <v>0.33333333</v>
      </c>
      <c r="R481" t="n">
        <v>0.5</v>
      </c>
      <c r="S481" t="n">
        <v>1.609375</v>
      </c>
      <c r="T481" t="n">
        <v>1.6938183</v>
      </c>
      <c r="U481" t="n">
        <v>50.814549</v>
      </c>
      <c r="V481" t="b">
        <v>0</v>
      </c>
      <c r="W481" t="n">
        <v>0</v>
      </c>
      <c r="X481" t="inlineStr">
        <is>
          <t>role_subrole_balanced_score = base_support_score * capped sqrt(avg_macro_multiplier * avg_subrole_multiplier); role/subrole quota constraints use inverse weights.</t>
        </is>
      </c>
    </row>
    <row r="482">
      <c r="A482" t="inlineStr">
        <is>
          <t>C0481</t>
        </is>
      </c>
      <c r="B482" t="inlineStr">
        <is>
          <t>x_0481</t>
        </is>
      </c>
      <c r="C482" t="inlineStr">
        <is>
          <t>Entwicklungsagentur Rheinland-Pfalz e.V.</t>
        </is>
      </c>
      <c r="D482" t="inlineStr">
        <is>
          <t>implementation_anchor</t>
        </is>
      </c>
      <c r="E482" t="inlineStr">
        <is>
          <t>public_policy_anchor</t>
        </is>
      </c>
      <c r="F482" t="inlineStr">
        <is>
          <t>Staatskanzlei des Landes Rheinland-Pfalz</t>
        </is>
      </c>
      <c r="G482" t="inlineStr">
        <is>
          <t>context_actor</t>
        </is>
      </c>
      <c r="H482" t="inlineStr">
        <is>
          <t>public_policy_anchor</t>
        </is>
      </c>
      <c r="I482" t="n">
        <v>30</v>
      </c>
      <c r="J482" t="n">
        <v>0</v>
      </c>
      <c r="K482" t="n">
        <v>0.1</v>
      </c>
      <c r="L482" t="n">
        <v>0.03846154</v>
      </c>
      <c r="M482" t="n">
        <v>0.13846154</v>
      </c>
      <c r="N482" t="n">
        <v>1.78269231</v>
      </c>
      <c r="O482" t="n">
        <v>53.480769</v>
      </c>
      <c r="P482" t="n">
        <v>0.16666667</v>
      </c>
      <c r="Q482" t="n">
        <v>0.16666667</v>
      </c>
      <c r="R482" t="n">
        <v>0.33333333</v>
      </c>
      <c r="S482" t="n">
        <v>1.07291667</v>
      </c>
      <c r="T482" t="n">
        <v>1.38299685</v>
      </c>
      <c r="U482" t="n">
        <v>41.489906</v>
      </c>
      <c r="V482" t="b">
        <v>0</v>
      </c>
      <c r="W482" t="n">
        <v>0</v>
      </c>
      <c r="X482" t="inlineStr">
        <is>
          <t>role_subrole_balanced_score = base_support_score * capped sqrt(avg_macro_multiplier * avg_subrole_multiplier); role/subrole quota constraints use inverse weights.</t>
        </is>
      </c>
    </row>
    <row r="483">
      <c r="A483" t="inlineStr">
        <is>
          <t>C0482</t>
        </is>
      </c>
      <c r="B483" t="inlineStr">
        <is>
          <t>x_0482</t>
        </is>
      </c>
      <c r="C483" t="inlineStr">
        <is>
          <t>Entwicklungsagentur Rheinland-Pfalz e.V.</t>
        </is>
      </c>
      <c r="D483" t="inlineStr">
        <is>
          <t>implementation_anchor</t>
        </is>
      </c>
      <c r="E483" t="inlineStr">
        <is>
          <t>public_policy_anchor</t>
        </is>
      </c>
      <c r="F483" t="inlineStr">
        <is>
          <t>ZDF – Zweites Deutsches Fernsehen</t>
        </is>
      </c>
      <c r="G483" t="inlineStr">
        <is>
          <t>context_actor</t>
        </is>
      </c>
      <c r="H483" t="inlineStr">
        <is>
          <t>media_publicity_anchor</t>
        </is>
      </c>
      <c r="I483" t="n">
        <v>30</v>
      </c>
      <c r="J483" t="n">
        <v>0</v>
      </c>
      <c r="K483" t="n">
        <v>0.1</v>
      </c>
      <c r="L483" t="n">
        <v>0.03846154</v>
      </c>
      <c r="M483" t="n">
        <v>0.13846154</v>
      </c>
      <c r="N483" t="n">
        <v>1.78269231</v>
      </c>
      <c r="O483" t="n">
        <v>53.480769</v>
      </c>
      <c r="P483" t="n">
        <v>0.16666667</v>
      </c>
      <c r="Q483" t="n">
        <v>0.33333333</v>
      </c>
      <c r="R483" t="n">
        <v>0.5</v>
      </c>
      <c r="S483" t="n">
        <v>1.609375</v>
      </c>
      <c r="T483" t="n">
        <v>1.6938183</v>
      </c>
      <c r="U483" t="n">
        <v>50.814549</v>
      </c>
      <c r="V483" t="b">
        <v>0</v>
      </c>
      <c r="W483" t="n">
        <v>0</v>
      </c>
      <c r="X483" t="inlineStr">
        <is>
          <t>role_subrole_balanced_score = base_support_score * capped sqrt(avg_macro_multiplier * avg_subrole_multiplier); role/subrole quota constraints use inverse weights.</t>
        </is>
      </c>
    </row>
    <row r="484">
      <c r="A484" t="inlineStr">
        <is>
          <t>C0483</t>
        </is>
      </c>
      <c r="B484" t="inlineStr">
        <is>
          <t>x_0483</t>
        </is>
      </c>
      <c r="C484" t="inlineStr">
        <is>
          <t>Erster FC Kaiserslautern GmbH &amp; Co. KGaA</t>
        </is>
      </c>
      <c r="D484" t="inlineStr">
        <is>
          <t>profit_anchor</t>
        </is>
      </c>
      <c r="E484" t="inlineStr">
        <is>
          <t>sports_regional_identity_anchor</t>
        </is>
      </c>
      <c r="F484" t="inlineStr">
        <is>
          <t>Evangelische Kirche der Pfalz</t>
        </is>
      </c>
      <c r="G484" t="inlineStr">
        <is>
          <t>context_actor</t>
        </is>
      </c>
      <c r="H484" t="inlineStr">
        <is>
          <t>culture_foundation_anchor</t>
        </is>
      </c>
      <c r="I484" t="n">
        <v>30</v>
      </c>
      <c r="J484" t="n">
        <v>0</v>
      </c>
      <c r="K484" t="n">
        <v>0.02040816</v>
      </c>
      <c r="L484" t="n">
        <v>0.03846154</v>
      </c>
      <c r="M484" t="n">
        <v>0.0588697</v>
      </c>
      <c r="N484" t="n">
        <v>0.75794741</v>
      </c>
      <c r="O484" t="n">
        <v>22.738422</v>
      </c>
      <c r="P484" t="n">
        <v>0.5</v>
      </c>
      <c r="Q484" t="n">
        <v>0.33333333</v>
      </c>
      <c r="R484" t="n">
        <v>0.83333333</v>
      </c>
      <c r="S484" t="n">
        <v>2.68229167</v>
      </c>
      <c r="T484" t="n">
        <v>1.42584572</v>
      </c>
      <c r="U484" t="n">
        <v>42.775372</v>
      </c>
      <c r="V484" t="b">
        <v>0</v>
      </c>
      <c r="W484" t="n">
        <v>0</v>
      </c>
      <c r="X484" t="inlineStr">
        <is>
          <t>role_subrole_balanced_score = base_support_score * capped sqrt(avg_macro_multiplier * avg_subrole_multiplier); role/subrole quota constraints use inverse weights.</t>
        </is>
      </c>
    </row>
    <row r="485">
      <c r="A485" t="inlineStr">
        <is>
          <t>C0484</t>
        </is>
      </c>
      <c r="B485" t="inlineStr">
        <is>
          <t>x_0484</t>
        </is>
      </c>
      <c r="C485" t="inlineStr">
        <is>
          <t>Erster FC Kaiserslautern GmbH &amp; Co. KGaA</t>
        </is>
      </c>
      <c r="D485" t="inlineStr">
        <is>
          <t>profit_anchor</t>
        </is>
      </c>
      <c r="E485" t="inlineStr">
        <is>
          <t>sports_regional_identity_anchor</t>
        </is>
      </c>
      <c r="F485" t="inlineStr">
        <is>
          <t>RPR1.</t>
        </is>
      </c>
      <c r="G485" t="inlineStr">
        <is>
          <t>context_actor</t>
        </is>
      </c>
      <c r="H485" t="inlineStr">
        <is>
          <t>media_publicity_anchor</t>
        </is>
      </c>
      <c r="I485" t="n">
        <v>30</v>
      </c>
      <c r="J485" t="n">
        <v>0</v>
      </c>
      <c r="K485" t="n">
        <v>0.02040816</v>
      </c>
      <c r="L485" t="n">
        <v>0.03846154</v>
      </c>
      <c r="M485" t="n">
        <v>0.0588697</v>
      </c>
      <c r="N485" t="n">
        <v>0.75794741</v>
      </c>
      <c r="O485" t="n">
        <v>22.738422</v>
      </c>
      <c r="P485" t="n">
        <v>0.5</v>
      </c>
      <c r="Q485" t="n">
        <v>0.33333333</v>
      </c>
      <c r="R485" t="n">
        <v>0.83333333</v>
      </c>
      <c r="S485" t="n">
        <v>2.68229167</v>
      </c>
      <c r="T485" t="n">
        <v>1.42584572</v>
      </c>
      <c r="U485" t="n">
        <v>42.775372</v>
      </c>
      <c r="V485" t="b">
        <v>0</v>
      </c>
      <c r="W485" t="n">
        <v>0</v>
      </c>
      <c r="X485" t="inlineStr">
        <is>
          <t>role_subrole_balanced_score = base_support_score * capped sqrt(avg_macro_multiplier * avg_subrole_multiplier); role/subrole quota constraints use inverse weights.</t>
        </is>
      </c>
    </row>
    <row r="486">
      <c r="A486" t="inlineStr">
        <is>
          <t>C0485</t>
        </is>
      </c>
      <c r="B486" t="inlineStr">
        <is>
          <t>x_0485</t>
        </is>
      </c>
      <c r="C486" t="inlineStr">
        <is>
          <t>Erster FC Kaiserslautern GmbH &amp; Co. KGaA</t>
        </is>
      </c>
      <c r="D486" t="inlineStr">
        <is>
          <t>profit_anchor</t>
        </is>
      </c>
      <c r="E486" t="inlineStr">
        <is>
          <t>sports_regional_identity_anchor</t>
        </is>
      </c>
      <c r="F486" t="inlineStr">
        <is>
          <t>SWR – Südwestrundfunk</t>
        </is>
      </c>
      <c r="G486" t="inlineStr">
        <is>
          <t>context_actor</t>
        </is>
      </c>
      <c r="H486" t="inlineStr">
        <is>
          <t>media_publicity_anchor</t>
        </is>
      </c>
      <c r="I486" t="n">
        <v>30</v>
      </c>
      <c r="J486" t="n">
        <v>0</v>
      </c>
      <c r="K486" t="n">
        <v>0.02040816</v>
      </c>
      <c r="L486" t="n">
        <v>0.03846154</v>
      </c>
      <c r="M486" t="n">
        <v>0.0588697</v>
      </c>
      <c r="N486" t="n">
        <v>0.75794741</v>
      </c>
      <c r="O486" t="n">
        <v>22.738422</v>
      </c>
      <c r="P486" t="n">
        <v>0.5</v>
      </c>
      <c r="Q486" t="n">
        <v>0.33333333</v>
      </c>
      <c r="R486" t="n">
        <v>0.83333333</v>
      </c>
      <c r="S486" t="n">
        <v>2.68229167</v>
      </c>
      <c r="T486" t="n">
        <v>1.42584572</v>
      </c>
      <c r="U486" t="n">
        <v>42.775372</v>
      </c>
      <c r="V486" t="b">
        <v>0</v>
      </c>
      <c r="W486" t="n">
        <v>0</v>
      </c>
      <c r="X486" t="inlineStr">
        <is>
          <t>role_subrole_balanced_score = base_support_score * capped sqrt(avg_macro_multiplier * avg_subrole_multiplier); role/subrole quota constraints use inverse weights.</t>
        </is>
      </c>
    </row>
    <row r="487">
      <c r="A487" t="inlineStr">
        <is>
          <t>C0486</t>
        </is>
      </c>
      <c r="B487" t="inlineStr">
        <is>
          <t>x_0486</t>
        </is>
      </c>
      <c r="C487" t="inlineStr">
        <is>
          <t>Erster FC Kaiserslautern GmbH &amp; Co. KGaA</t>
        </is>
      </c>
      <c r="D487" t="inlineStr">
        <is>
          <t>profit_anchor</t>
        </is>
      </c>
      <c r="E487" t="inlineStr">
        <is>
          <t>sports_regional_identity_anchor</t>
        </is>
      </c>
      <c r="F487" t="inlineStr">
        <is>
          <t>Staatskanzlei des Landes Rheinland-Pfalz</t>
        </is>
      </c>
      <c r="G487" t="inlineStr">
        <is>
          <t>context_actor</t>
        </is>
      </c>
      <c r="H487" t="inlineStr">
        <is>
          <t>public_policy_anchor</t>
        </is>
      </c>
      <c r="I487" t="n">
        <v>30</v>
      </c>
      <c r="J487" t="n">
        <v>0</v>
      </c>
      <c r="K487" t="n">
        <v>0.02040816</v>
      </c>
      <c r="L487" t="n">
        <v>0.03846154</v>
      </c>
      <c r="M487" t="n">
        <v>0.0588697</v>
      </c>
      <c r="N487" t="n">
        <v>0.75794741</v>
      </c>
      <c r="O487" t="n">
        <v>22.738422</v>
      </c>
      <c r="P487" t="n">
        <v>0.5</v>
      </c>
      <c r="Q487" t="n">
        <v>0.16666667</v>
      </c>
      <c r="R487" t="n">
        <v>0.66666667</v>
      </c>
      <c r="S487" t="n">
        <v>2.14583333</v>
      </c>
      <c r="T487" t="n">
        <v>1.27531518</v>
      </c>
      <c r="U487" t="n">
        <v>38.259455</v>
      </c>
      <c r="V487" t="b">
        <v>0</v>
      </c>
      <c r="W487" t="n">
        <v>0</v>
      </c>
      <c r="X487" t="inlineStr">
        <is>
          <t>role_subrole_balanced_score = base_support_score * capped sqrt(avg_macro_multiplier * avg_subrole_multiplier); role/subrole quota constraints use inverse weights.</t>
        </is>
      </c>
    </row>
    <row r="488">
      <c r="A488" t="inlineStr">
        <is>
          <t>C0487</t>
        </is>
      </c>
      <c r="B488" t="inlineStr">
        <is>
          <t>x_0487</t>
        </is>
      </c>
      <c r="C488" t="inlineStr">
        <is>
          <t>Erster FC Kaiserslautern GmbH &amp; Co. KGaA</t>
        </is>
      </c>
      <c r="D488" t="inlineStr">
        <is>
          <t>profit_anchor</t>
        </is>
      </c>
      <c r="E488" t="inlineStr">
        <is>
          <t>sports_regional_identity_anchor</t>
        </is>
      </c>
      <c r="F488" t="inlineStr">
        <is>
          <t>ZDF – Zweites Deutsches Fernsehen</t>
        </is>
      </c>
      <c r="G488" t="inlineStr">
        <is>
          <t>context_actor</t>
        </is>
      </c>
      <c r="H488" t="inlineStr">
        <is>
          <t>media_publicity_anchor</t>
        </is>
      </c>
      <c r="I488" t="n">
        <v>30</v>
      </c>
      <c r="J488" t="n">
        <v>0</v>
      </c>
      <c r="K488" t="n">
        <v>0.02040816</v>
      </c>
      <c r="L488" t="n">
        <v>0.03846154</v>
      </c>
      <c r="M488" t="n">
        <v>0.0588697</v>
      </c>
      <c r="N488" t="n">
        <v>0.75794741</v>
      </c>
      <c r="O488" t="n">
        <v>22.738422</v>
      </c>
      <c r="P488" t="n">
        <v>0.5</v>
      </c>
      <c r="Q488" t="n">
        <v>0.33333333</v>
      </c>
      <c r="R488" t="n">
        <v>0.83333333</v>
      </c>
      <c r="S488" t="n">
        <v>2.68229167</v>
      </c>
      <c r="T488" t="n">
        <v>1.42584572</v>
      </c>
      <c r="U488" t="n">
        <v>42.775372</v>
      </c>
      <c r="V488" t="b">
        <v>0</v>
      </c>
      <c r="W488" t="n">
        <v>0</v>
      </c>
      <c r="X488" t="inlineStr">
        <is>
          <t>role_subrole_balanced_score = base_support_score * capped sqrt(avg_macro_multiplier * avg_subrole_multiplier); role/subrole quota constraints use inverse weights.</t>
        </is>
      </c>
    </row>
    <row r="489">
      <c r="A489" t="inlineStr">
        <is>
          <t>C0488</t>
        </is>
      </c>
      <c r="B489" t="inlineStr">
        <is>
          <t>x_0488</t>
        </is>
      </c>
      <c r="C489" t="inlineStr">
        <is>
          <t>ENTEGA Plus GmbH</t>
        </is>
      </c>
      <c r="D489" t="inlineStr">
        <is>
          <t>profit_anchor</t>
        </is>
      </c>
      <c r="E489" t="inlineStr">
        <is>
          <t>energy_infrastructure_anchor</t>
        </is>
      </c>
      <c r="F489" t="inlineStr">
        <is>
          <t>Investitions- und Strukturbank Rheinland-Pfalz (ISB)</t>
        </is>
      </c>
      <c r="G489" t="inlineStr">
        <is>
          <t>context_actor</t>
        </is>
      </c>
      <c r="H489" t="inlineStr">
        <is>
          <t>bank_finance_anchor</t>
        </is>
      </c>
      <c r="I489" t="n">
        <v>30</v>
      </c>
      <c r="J489" t="n">
        <v>0</v>
      </c>
      <c r="K489" t="n">
        <v>0.02040816</v>
      </c>
      <c r="L489" t="n">
        <v>0.03846154</v>
      </c>
      <c r="M489" t="n">
        <v>0.0588697</v>
      </c>
      <c r="N489" t="n">
        <v>0.75794741</v>
      </c>
      <c r="O489" t="n">
        <v>22.738422</v>
      </c>
      <c r="P489" t="n">
        <v>0.11111111</v>
      </c>
      <c r="Q489" t="n">
        <v>0.14285714</v>
      </c>
      <c r="R489" t="n">
        <v>0.25396825</v>
      </c>
      <c r="S489" t="n">
        <v>0.81746032</v>
      </c>
      <c r="T489" t="n">
        <v>0.78714162</v>
      </c>
      <c r="U489" t="n">
        <v>23.614249</v>
      </c>
      <c r="V489" t="b">
        <v>0</v>
      </c>
      <c r="W489" t="n">
        <v>0</v>
      </c>
      <c r="X489" t="inlineStr">
        <is>
          <t>role_subrole_balanced_score = base_support_score * capped sqrt(avg_macro_multiplier * avg_subrole_multiplier); role/subrole quota constraints use inverse weights.</t>
        </is>
      </c>
    </row>
    <row r="490">
      <c r="A490" t="inlineStr">
        <is>
          <t>C0489</t>
        </is>
      </c>
      <c r="B490" t="inlineStr">
        <is>
          <t>x_0489</t>
        </is>
      </c>
      <c r="C490" t="inlineStr">
        <is>
          <t>Investitions- und Strukturbank Rheinland-Pfalz (ISB)</t>
        </is>
      </c>
      <c r="D490" t="inlineStr">
        <is>
          <t>context_actor</t>
        </is>
      </c>
      <c r="E490" t="inlineStr">
        <is>
          <t>bank_finance_anchor</t>
        </is>
      </c>
      <c r="F490" t="inlineStr">
        <is>
          <t>JUWI GmbH</t>
        </is>
      </c>
      <c r="G490" t="inlineStr">
        <is>
          <t>profit_anchor</t>
        </is>
      </c>
      <c r="H490" t="inlineStr">
        <is>
          <t>energy_infrastructure_anchor</t>
        </is>
      </c>
      <c r="I490" t="n">
        <v>30</v>
      </c>
      <c r="J490" t="n">
        <v>0</v>
      </c>
      <c r="K490" t="n">
        <v>0.03846154</v>
      </c>
      <c r="L490" t="n">
        <v>0.02040816</v>
      </c>
      <c r="M490" t="n">
        <v>0.0588697</v>
      </c>
      <c r="N490" t="n">
        <v>0.75794741</v>
      </c>
      <c r="O490" t="n">
        <v>22.738422</v>
      </c>
      <c r="P490" t="n">
        <v>0.14285714</v>
      </c>
      <c r="Q490" t="n">
        <v>0.11111111</v>
      </c>
      <c r="R490" t="n">
        <v>0.25396825</v>
      </c>
      <c r="S490" t="n">
        <v>0.81746032</v>
      </c>
      <c r="T490" t="n">
        <v>0.78714162</v>
      </c>
      <c r="U490" t="n">
        <v>23.614249</v>
      </c>
      <c r="V490" t="b">
        <v>0</v>
      </c>
      <c r="W490" t="n">
        <v>0</v>
      </c>
      <c r="X490" t="inlineStr">
        <is>
          <t>role_subrole_balanced_score = base_support_score * capped sqrt(avg_macro_multiplier * avg_subrole_multiplier); role/subrole quota constraints use inverse weights.</t>
        </is>
      </c>
    </row>
    <row r="491">
      <c r="A491" t="inlineStr">
        <is>
          <t>C0490</t>
        </is>
      </c>
      <c r="B491" t="inlineStr">
        <is>
          <t>x_0490</t>
        </is>
      </c>
      <c r="C491" t="inlineStr">
        <is>
          <t>Investitions- und Strukturbank Rheinland-Pfalz (ISB)</t>
        </is>
      </c>
      <c r="D491" t="inlineStr">
        <is>
          <t>context_actor</t>
        </is>
      </c>
      <c r="E491" t="inlineStr">
        <is>
          <t>bank_finance_anchor</t>
        </is>
      </c>
      <c r="F491" t="inlineStr">
        <is>
          <t>Mainzer Stadtwerke AG</t>
        </is>
      </c>
      <c r="G491" t="inlineStr">
        <is>
          <t>profit_anchor</t>
        </is>
      </c>
      <c r="H491" t="inlineStr">
        <is>
          <t>energy_infrastructure_anchor</t>
        </is>
      </c>
      <c r="I491" t="n">
        <v>30</v>
      </c>
      <c r="J491" t="n">
        <v>0</v>
      </c>
      <c r="K491" t="n">
        <v>0.03846154</v>
      </c>
      <c r="L491" t="n">
        <v>0.02040816</v>
      </c>
      <c r="M491" t="n">
        <v>0.0588697</v>
      </c>
      <c r="N491" t="n">
        <v>0.75794741</v>
      </c>
      <c r="O491" t="n">
        <v>22.738422</v>
      </c>
      <c r="P491" t="n">
        <v>0.14285714</v>
      </c>
      <c r="Q491" t="n">
        <v>0.11111111</v>
      </c>
      <c r="R491" t="n">
        <v>0.25396825</v>
      </c>
      <c r="S491" t="n">
        <v>0.81746032</v>
      </c>
      <c r="T491" t="n">
        <v>0.78714162</v>
      </c>
      <c r="U491" t="n">
        <v>23.614249</v>
      </c>
      <c r="V491" t="b">
        <v>0</v>
      </c>
      <c r="W491" t="n">
        <v>0</v>
      </c>
      <c r="X491" t="inlineStr">
        <is>
          <t>role_subrole_balanced_score = base_support_score * capped sqrt(avg_macro_multiplier * avg_subrole_multiplier); role/subrole quota constraints use inverse weights.</t>
        </is>
      </c>
    </row>
    <row r="492">
      <c r="A492" t="inlineStr">
        <is>
          <t>C0491</t>
        </is>
      </c>
      <c r="B492" t="inlineStr">
        <is>
          <t>x_0491</t>
        </is>
      </c>
      <c r="C492" t="inlineStr">
        <is>
          <t>Investitions- und Strukturbank Rheinland-Pfalz (ISB)</t>
        </is>
      </c>
      <c r="D492" t="inlineStr">
        <is>
          <t>context_actor</t>
        </is>
      </c>
      <c r="E492" t="inlineStr">
        <is>
          <t>bank_finance_anchor</t>
        </is>
      </c>
      <c r="F492" t="inlineStr">
        <is>
          <t>Pfalzwerke AG</t>
        </is>
      </c>
      <c r="G492" t="inlineStr">
        <is>
          <t>profit_anchor</t>
        </is>
      </c>
      <c r="H492" t="inlineStr">
        <is>
          <t>energy_infrastructure_anchor</t>
        </is>
      </c>
      <c r="I492" t="n">
        <v>30</v>
      </c>
      <c r="J492" t="n">
        <v>0</v>
      </c>
      <c r="K492" t="n">
        <v>0.03846154</v>
      </c>
      <c r="L492" t="n">
        <v>0.02040816</v>
      </c>
      <c r="M492" t="n">
        <v>0.0588697</v>
      </c>
      <c r="N492" t="n">
        <v>0.75794741</v>
      </c>
      <c r="O492" t="n">
        <v>22.738422</v>
      </c>
      <c r="P492" t="n">
        <v>0.14285714</v>
      </c>
      <c r="Q492" t="n">
        <v>0.11111111</v>
      </c>
      <c r="R492" t="n">
        <v>0.25396825</v>
      </c>
      <c r="S492" t="n">
        <v>0.81746032</v>
      </c>
      <c r="T492" t="n">
        <v>0.78714162</v>
      </c>
      <c r="U492" t="n">
        <v>23.614249</v>
      </c>
      <c r="V492" t="b">
        <v>0</v>
      </c>
      <c r="W492" t="n">
        <v>0</v>
      </c>
      <c r="X492" t="inlineStr">
        <is>
          <t>role_subrole_balanced_score = base_support_score * capped sqrt(avg_macro_multiplier * avg_subrole_multiplier); role/subrole quota constraints use inverse weights.</t>
        </is>
      </c>
    </row>
    <row r="493">
      <c r="A493" t="inlineStr">
        <is>
          <t>C0492</t>
        </is>
      </c>
      <c r="B493" t="inlineStr">
        <is>
          <t>x_0492</t>
        </is>
      </c>
      <c r="C493" t="inlineStr">
        <is>
          <t>Investitions- und Strukturbank Rheinland-Pfalz (ISB)</t>
        </is>
      </c>
      <c r="D493" t="inlineStr">
        <is>
          <t>context_actor</t>
        </is>
      </c>
      <c r="E493" t="inlineStr">
        <is>
          <t>bank_finance_anchor</t>
        </is>
      </c>
      <c r="F493" t="inlineStr">
        <is>
          <t>Westenergie AG</t>
        </is>
      </c>
      <c r="G493" t="inlineStr">
        <is>
          <t>profit_anchor</t>
        </is>
      </c>
      <c r="H493" t="inlineStr">
        <is>
          <t>energy_infrastructure_anchor</t>
        </is>
      </c>
      <c r="I493" t="n">
        <v>30</v>
      </c>
      <c r="J493" t="n">
        <v>0</v>
      </c>
      <c r="K493" t="n">
        <v>0.03846154</v>
      </c>
      <c r="L493" t="n">
        <v>0.02040816</v>
      </c>
      <c r="M493" t="n">
        <v>0.0588697</v>
      </c>
      <c r="N493" t="n">
        <v>0.75794741</v>
      </c>
      <c r="O493" t="n">
        <v>22.738422</v>
      </c>
      <c r="P493" t="n">
        <v>0.14285714</v>
      </c>
      <c r="Q493" t="n">
        <v>0.11111111</v>
      </c>
      <c r="R493" t="n">
        <v>0.25396825</v>
      </c>
      <c r="S493" t="n">
        <v>0.81746032</v>
      </c>
      <c r="T493" t="n">
        <v>0.78714162</v>
      </c>
      <c r="U493" t="n">
        <v>23.614249</v>
      </c>
      <c r="V493" t="b">
        <v>0</v>
      </c>
      <c r="W493" t="n">
        <v>0</v>
      </c>
      <c r="X493" t="inlineStr">
        <is>
          <t>role_subrole_balanced_score = base_support_score * capped sqrt(avg_macro_multiplier * avg_subrole_multiplier); role/subrole quota constraints use inverse weights.</t>
        </is>
      </c>
    </row>
    <row r="494">
      <c r="A494" t="inlineStr">
        <is>
          <t>C0493</t>
        </is>
      </c>
      <c r="B494" t="inlineStr">
        <is>
          <t>x_0493</t>
        </is>
      </c>
      <c r="C494" t="inlineStr">
        <is>
          <t>Boehringer Ingelheim Pharma GmbH &amp; Co. KG</t>
        </is>
      </c>
      <c r="D494" t="inlineStr">
        <is>
          <t>profit_anchor</t>
        </is>
      </c>
      <c r="E494" t="inlineStr">
        <is>
          <t>health_social_anchor</t>
        </is>
      </c>
      <c r="F494" t="inlineStr">
        <is>
          <t>Investitions- und Strukturbank Rheinland-Pfalz (ISB)</t>
        </is>
      </c>
      <c r="G494" t="inlineStr">
        <is>
          <t>context_actor</t>
        </is>
      </c>
      <c r="H494" t="inlineStr">
        <is>
          <t>bank_finance_anchor</t>
        </is>
      </c>
      <c r="I494" t="n">
        <v>30</v>
      </c>
      <c r="J494" t="n">
        <v>0</v>
      </c>
      <c r="K494" t="n">
        <v>0.02040816</v>
      </c>
      <c r="L494" t="n">
        <v>0.03846154</v>
      </c>
      <c r="M494" t="n">
        <v>0.0588697</v>
      </c>
      <c r="N494" t="n">
        <v>0.75794741</v>
      </c>
      <c r="O494" t="n">
        <v>22.738422</v>
      </c>
      <c r="P494" t="n">
        <v>0.08333333</v>
      </c>
      <c r="Q494" t="n">
        <v>0.14285714</v>
      </c>
      <c r="R494" t="n">
        <v>0.22619048</v>
      </c>
      <c r="S494" t="n">
        <v>0.7280506</v>
      </c>
      <c r="T494" t="n">
        <v>0.74284861</v>
      </c>
      <c r="U494" t="n">
        <v>22.285458</v>
      </c>
      <c r="V494" t="b">
        <v>0</v>
      </c>
      <c r="W494" t="n">
        <v>0</v>
      </c>
      <c r="X494" t="inlineStr">
        <is>
          <t>role_subrole_balanced_score = base_support_score * capped sqrt(avg_macro_multiplier * avg_subrole_multiplier); role/subrole quota constraints use inverse weights.</t>
        </is>
      </c>
    </row>
    <row r="495">
      <c r="A495" t="inlineStr">
        <is>
          <t>C0494</t>
        </is>
      </c>
      <c r="B495" t="inlineStr">
        <is>
          <t>x_0494</t>
        </is>
      </c>
      <c r="C495" t="inlineStr">
        <is>
          <t>Debeka Versicherungsgruppe</t>
        </is>
      </c>
      <c r="D495" t="inlineStr">
        <is>
          <t>profit_anchor</t>
        </is>
      </c>
      <c r="E495" t="inlineStr">
        <is>
          <t>bank_finance_anchor</t>
        </is>
      </c>
      <c r="F495" t="inlineStr">
        <is>
          <t>WHU – Otto Beisheim School of Management</t>
        </is>
      </c>
      <c r="G495" t="inlineStr">
        <is>
          <t>academic_support</t>
        </is>
      </c>
      <c r="H495" t="inlineStr">
        <is>
          <t>university_research</t>
        </is>
      </c>
      <c r="I495" t="n">
        <v>30</v>
      </c>
      <c r="J495" t="n">
        <v>0</v>
      </c>
      <c r="K495" t="n">
        <v>0.02040816</v>
      </c>
      <c r="L495" t="n">
        <v>0.05555556</v>
      </c>
      <c r="M495" t="n">
        <v>0.07596372</v>
      </c>
      <c r="N495" t="n">
        <v>0.97803288</v>
      </c>
      <c r="O495" t="n">
        <v>29.340986</v>
      </c>
      <c r="P495" t="n">
        <v>0.14285714</v>
      </c>
      <c r="Q495" t="n">
        <v>0.14285714</v>
      </c>
      <c r="R495" t="n">
        <v>0.28571429</v>
      </c>
      <c r="S495" t="n">
        <v>0.91964286</v>
      </c>
      <c r="T495" t="n">
        <v>0.94838861</v>
      </c>
      <c r="U495" t="n">
        <v>28.451658</v>
      </c>
      <c r="V495" t="b">
        <v>1</v>
      </c>
      <c r="W495" t="n">
        <v>1</v>
      </c>
      <c r="X495" t="inlineStr">
        <is>
          <t>role_subrole_balanced_score = base_support_score * capped sqrt(avg_macro_multiplier * avg_subrole_multiplier); role/subrole quota constraints use inverse weights.</t>
        </is>
      </c>
    </row>
    <row r="496">
      <c r="A496" t="inlineStr">
        <is>
          <t>C0495</t>
        </is>
      </c>
      <c r="B496" t="inlineStr">
        <is>
          <t>x_0495</t>
        </is>
      </c>
      <c r="C496" t="inlineStr">
        <is>
          <t>Ernst &amp; Young GmbH</t>
        </is>
      </c>
      <c r="D496" t="inlineStr">
        <is>
          <t>profit_anchor</t>
        </is>
      </c>
      <c r="E496" t="inlineStr">
        <is>
          <t>professional_services_anchor</t>
        </is>
      </c>
      <c r="F496" t="inlineStr">
        <is>
          <t>WHU – Otto Beisheim School of Management</t>
        </is>
      </c>
      <c r="G496" t="inlineStr">
        <is>
          <t>academic_support</t>
        </is>
      </c>
      <c r="H496" t="inlineStr">
        <is>
          <t>university_research</t>
        </is>
      </c>
      <c r="I496" t="n">
        <v>30</v>
      </c>
      <c r="J496" t="n">
        <v>0</v>
      </c>
      <c r="K496" t="n">
        <v>0.02040816</v>
      </c>
      <c r="L496" t="n">
        <v>0.05555556</v>
      </c>
      <c r="M496" t="n">
        <v>0.07596372</v>
      </c>
      <c r="N496" t="n">
        <v>0.97803288</v>
      </c>
      <c r="O496" t="n">
        <v>29.340986</v>
      </c>
      <c r="P496" t="n">
        <v>0.2</v>
      </c>
      <c r="Q496" t="n">
        <v>0.14285714</v>
      </c>
      <c r="R496" t="n">
        <v>0.34285714</v>
      </c>
      <c r="S496" t="n">
        <v>1.10357143</v>
      </c>
      <c r="T496" t="n">
        <v>1.03890767</v>
      </c>
      <c r="U496" t="n">
        <v>31.16723</v>
      </c>
      <c r="V496" t="b">
        <v>1</v>
      </c>
      <c r="W496" t="n">
        <v>1</v>
      </c>
      <c r="X496" t="inlineStr">
        <is>
          <t>role_subrole_balanced_score = base_support_score * capped sqrt(avg_macro_multiplier * avg_subrole_multiplier); role/subrole quota constraints use inverse weights.</t>
        </is>
      </c>
    </row>
    <row r="497">
      <c r="A497" t="inlineStr">
        <is>
          <t>C0496</t>
        </is>
      </c>
      <c r="B497" t="inlineStr">
        <is>
          <t>x_0496</t>
        </is>
      </c>
      <c r="C497" t="inlineStr">
        <is>
          <t>Handwerkskammern Rheinland-Pfalz</t>
        </is>
      </c>
      <c r="D497" t="inlineStr">
        <is>
          <t>implementation_anchor</t>
        </is>
      </c>
      <c r="E497" t="inlineStr">
        <is>
          <t>chamber_association_anchor</t>
        </is>
      </c>
      <c r="F497" t="inlineStr">
        <is>
          <t>Investitions- und Strukturbank Rheinland-Pfalz (ISB)</t>
        </is>
      </c>
      <c r="G497" t="inlineStr">
        <is>
          <t>context_actor</t>
        </is>
      </c>
      <c r="H497" t="inlineStr">
        <is>
          <t>bank_finance_anchor</t>
        </is>
      </c>
      <c r="I497" t="n">
        <v>30</v>
      </c>
      <c r="J497" t="n">
        <v>0</v>
      </c>
      <c r="K497" t="n">
        <v>0.1</v>
      </c>
      <c r="L497" t="n">
        <v>0.03846154</v>
      </c>
      <c r="M497" t="n">
        <v>0.13846154</v>
      </c>
      <c r="N497" t="n">
        <v>1.78269231</v>
      </c>
      <c r="O497" t="n">
        <v>53.480769</v>
      </c>
      <c r="P497" t="n">
        <v>0.25</v>
      </c>
      <c r="Q497" t="n">
        <v>0.14285714</v>
      </c>
      <c r="R497" t="n">
        <v>0.39285714</v>
      </c>
      <c r="S497" t="n">
        <v>1.26450893</v>
      </c>
      <c r="T497" t="n">
        <v>1.50140945</v>
      </c>
      <c r="U497" t="n">
        <v>45.042284</v>
      </c>
      <c r="V497" t="b">
        <v>0</v>
      </c>
      <c r="W497" t="n">
        <v>0</v>
      </c>
      <c r="X497" t="inlineStr">
        <is>
          <t>role_subrole_balanced_score = base_support_score * capped sqrt(avg_macro_multiplier * avg_subrole_multiplier); role/subrole quota constraints use inverse weights.</t>
        </is>
      </c>
    </row>
    <row r="498">
      <c r="A498" t="inlineStr">
        <is>
          <t>C0497</t>
        </is>
      </c>
      <c r="B498" t="inlineStr">
        <is>
          <t>x_0497</t>
        </is>
      </c>
      <c r="C498" t="inlineStr">
        <is>
          <t>Investitions- und Strukturbank Rheinland-Pfalz (ISB)</t>
        </is>
      </c>
      <c r="D498" t="inlineStr">
        <is>
          <t>context_actor</t>
        </is>
      </c>
      <c r="E498" t="inlineStr">
        <is>
          <t>bank_finance_anchor</t>
        </is>
      </c>
      <c r="F498" t="inlineStr">
        <is>
          <t>JUWI GmbH</t>
        </is>
      </c>
      <c r="G498" t="inlineStr">
        <is>
          <t>profit_anchor</t>
        </is>
      </c>
      <c r="H498" t="inlineStr">
        <is>
          <t>energy_infrastructure_anchor</t>
        </is>
      </c>
      <c r="I498" t="n">
        <v>30</v>
      </c>
      <c r="J498" t="n">
        <v>0</v>
      </c>
      <c r="K498" t="n">
        <v>0.03846154</v>
      </c>
      <c r="L498" t="n">
        <v>0.02040816</v>
      </c>
      <c r="M498" t="n">
        <v>0.0588697</v>
      </c>
      <c r="N498" t="n">
        <v>0.75794741</v>
      </c>
      <c r="O498" t="n">
        <v>22.738422</v>
      </c>
      <c r="P498" t="n">
        <v>0.14285714</v>
      </c>
      <c r="Q498" t="n">
        <v>0.11111111</v>
      </c>
      <c r="R498" t="n">
        <v>0.25396825</v>
      </c>
      <c r="S498" t="n">
        <v>0.81746032</v>
      </c>
      <c r="T498" t="n">
        <v>0.78714162</v>
      </c>
      <c r="U498" t="n">
        <v>23.614249</v>
      </c>
      <c r="V498" t="b">
        <v>0</v>
      </c>
      <c r="W498" t="n">
        <v>0</v>
      </c>
      <c r="X498" t="inlineStr">
        <is>
          <t>role_subrole_balanced_score = base_support_score * capped sqrt(avg_macro_multiplier * avg_subrole_multiplier); role/subrole quota constraints use inverse weights.</t>
        </is>
      </c>
    </row>
    <row r="499">
      <c r="A499" t="inlineStr">
        <is>
          <t>C0498</t>
        </is>
      </c>
      <c r="B499" t="inlineStr">
        <is>
          <t>x_0498</t>
        </is>
      </c>
      <c r="C499" t="inlineStr">
        <is>
          <t>Barmherzige Brüder Trier gGmbH</t>
        </is>
      </c>
      <c r="D499" t="inlineStr">
        <is>
          <t>context_actor</t>
        </is>
      </c>
      <c r="E499" t="inlineStr">
        <is>
          <t>health_social_anchor</t>
        </is>
      </c>
      <c r="F499" t="inlineStr">
        <is>
          <t>Boehringer Ingelheim Pharma GmbH &amp; Co. KG</t>
        </is>
      </c>
      <c r="G499" t="inlineStr">
        <is>
          <t>profit_anchor</t>
        </is>
      </c>
      <c r="H499" t="inlineStr">
        <is>
          <t>health_social_anchor</t>
        </is>
      </c>
      <c r="I499" t="n">
        <v>30</v>
      </c>
      <c r="J499" t="n">
        <v>0</v>
      </c>
      <c r="K499" t="n">
        <v>0.03846154</v>
      </c>
      <c r="L499" t="n">
        <v>0.02040816</v>
      </c>
      <c r="M499" t="n">
        <v>0.0588697</v>
      </c>
      <c r="N499" t="n">
        <v>0.75794741</v>
      </c>
      <c r="O499" t="n">
        <v>22.738422</v>
      </c>
      <c r="P499" t="n">
        <v>0.08333333</v>
      </c>
      <c r="Q499" t="n">
        <v>0.08333333</v>
      </c>
      <c r="R499" t="n">
        <v>0.16666667</v>
      </c>
      <c r="S499" t="n">
        <v>0.53645833</v>
      </c>
      <c r="T499" t="n">
        <v>0.63765759</v>
      </c>
      <c r="U499" t="n">
        <v>19.129728</v>
      </c>
      <c r="V499" t="b">
        <v>0</v>
      </c>
      <c r="W499" t="n">
        <v>0</v>
      </c>
      <c r="X499" t="inlineStr">
        <is>
          <t>role_subrole_balanced_score = base_support_score * capped sqrt(avg_macro_multiplier * avg_subrole_multiplier); role/subrole quota constraints use inverse weights.</t>
        </is>
      </c>
    </row>
    <row r="500">
      <c r="A500" t="inlineStr">
        <is>
          <t>C0499</t>
        </is>
      </c>
      <c r="B500" t="inlineStr">
        <is>
          <t>x_0499</t>
        </is>
      </c>
      <c r="C500" t="inlineStr">
        <is>
          <t>Barmherzige Brüder Trier gGmbH</t>
        </is>
      </c>
      <c r="D500" t="inlineStr">
        <is>
          <t>context_actor</t>
        </is>
      </c>
      <c r="E500" t="inlineStr">
        <is>
          <t>health_social_anchor</t>
        </is>
      </c>
      <c r="F500" t="inlineStr">
        <is>
          <t>Caritasverband für die Diözese Speyer e.V.</t>
        </is>
      </c>
      <c r="G500" t="inlineStr">
        <is>
          <t>implementation_anchor</t>
        </is>
      </c>
      <c r="H500" t="inlineStr">
        <is>
          <t>health_social_anchor</t>
        </is>
      </c>
      <c r="I500" t="n">
        <v>30</v>
      </c>
      <c r="J500" t="n">
        <v>0</v>
      </c>
      <c r="K500" t="n">
        <v>0.03846154</v>
      </c>
      <c r="L500" t="n">
        <v>0.1</v>
      </c>
      <c r="M500" t="n">
        <v>0.13846154</v>
      </c>
      <c r="N500" t="n">
        <v>1.78269231</v>
      </c>
      <c r="O500" t="n">
        <v>53.480769</v>
      </c>
      <c r="P500" t="n">
        <v>0.08333333</v>
      </c>
      <c r="Q500" t="n">
        <v>0.08333333</v>
      </c>
      <c r="R500" t="n">
        <v>0.16666667</v>
      </c>
      <c r="S500" t="n">
        <v>0.53645833</v>
      </c>
      <c r="T500" t="n">
        <v>0.97792645</v>
      </c>
      <c r="U500" t="n">
        <v>29.337794</v>
      </c>
      <c r="V500" t="b">
        <v>0</v>
      </c>
      <c r="W500" t="n">
        <v>0</v>
      </c>
      <c r="X500" t="inlineStr">
        <is>
          <t>role_subrole_balanced_score = base_support_score * capped sqrt(avg_macro_multiplier * avg_subrole_multiplier); role/subrole quota constraints use inverse weights.</t>
        </is>
      </c>
    </row>
    <row r="501">
      <c r="A501" t="inlineStr">
        <is>
          <t>C0500</t>
        </is>
      </c>
      <c r="B501" t="inlineStr">
        <is>
          <t>x_0500</t>
        </is>
      </c>
      <c r="C501" t="inlineStr">
        <is>
          <t>Barmherzige Brüder Trier gGmbH</t>
        </is>
      </c>
      <c r="D501" t="inlineStr">
        <is>
          <t>context_actor</t>
        </is>
      </c>
      <c r="E501" t="inlineStr">
        <is>
          <t>health_social_anchor</t>
        </is>
      </c>
      <c r="F501" t="inlineStr">
        <is>
          <t>LandesPsychotherapeutenKammer Rheinland-Pfalz</t>
        </is>
      </c>
      <c r="G501" t="inlineStr">
        <is>
          <t>implementation_anchor</t>
        </is>
      </c>
      <c r="H501" t="inlineStr">
        <is>
          <t>health_social_anchor</t>
        </is>
      </c>
      <c r="I501" t="n">
        <v>30</v>
      </c>
      <c r="J501" t="n">
        <v>0</v>
      </c>
      <c r="K501" t="n">
        <v>0.03846154</v>
      </c>
      <c r="L501" t="n">
        <v>0.1</v>
      </c>
      <c r="M501" t="n">
        <v>0.13846154</v>
      </c>
      <c r="N501" t="n">
        <v>1.78269231</v>
      </c>
      <c r="O501" t="n">
        <v>53.480769</v>
      </c>
      <c r="P501" t="n">
        <v>0.08333333</v>
      </c>
      <c r="Q501" t="n">
        <v>0.08333333</v>
      </c>
      <c r="R501" t="n">
        <v>0.16666667</v>
      </c>
      <c r="S501" t="n">
        <v>0.53645833</v>
      </c>
      <c r="T501" t="n">
        <v>0.97792645</v>
      </c>
      <c r="U501" t="n">
        <v>29.337794</v>
      </c>
      <c r="V501" t="b">
        <v>0</v>
      </c>
      <c r="W501" t="n">
        <v>0</v>
      </c>
      <c r="X501" t="inlineStr">
        <is>
          <t>role_subrole_balanced_score = base_support_score * capped sqrt(avg_macro_multiplier * avg_subrole_multiplier); role/subrole quota constraints use inverse weights.</t>
        </is>
      </c>
    </row>
    <row r="502">
      <c r="A502" t="inlineStr">
        <is>
          <t>C0501</t>
        </is>
      </c>
      <c r="B502" t="inlineStr">
        <is>
          <t>x_0501</t>
        </is>
      </c>
      <c r="C502" t="inlineStr">
        <is>
          <t>Boehringer Ingelheim Pharma GmbH &amp; Co. KG</t>
        </is>
      </c>
      <c r="D502" t="inlineStr">
        <is>
          <t>profit_anchor</t>
        </is>
      </c>
      <c r="E502" t="inlineStr">
        <is>
          <t>health_social_anchor</t>
        </is>
      </c>
      <c r="F502" t="inlineStr">
        <is>
          <t>Kassenzahnärztliche Vereinigung Rheinland-Pfalz</t>
        </is>
      </c>
      <c r="G502" t="inlineStr">
        <is>
          <t>context_actor</t>
        </is>
      </c>
      <c r="H502" t="inlineStr">
        <is>
          <t>health_social_anchor</t>
        </is>
      </c>
      <c r="I502" t="n">
        <v>30</v>
      </c>
      <c r="J502" t="n">
        <v>0</v>
      </c>
      <c r="K502" t="n">
        <v>0.02040816</v>
      </c>
      <c r="L502" t="n">
        <v>0.03846154</v>
      </c>
      <c r="M502" t="n">
        <v>0.0588697</v>
      </c>
      <c r="N502" t="n">
        <v>0.75794741</v>
      </c>
      <c r="O502" t="n">
        <v>22.738422</v>
      </c>
      <c r="P502" t="n">
        <v>0.08333333</v>
      </c>
      <c r="Q502" t="n">
        <v>0.08333333</v>
      </c>
      <c r="R502" t="n">
        <v>0.16666667</v>
      </c>
      <c r="S502" t="n">
        <v>0.53645833</v>
      </c>
      <c r="T502" t="n">
        <v>0.63765759</v>
      </c>
      <c r="U502" t="n">
        <v>19.129728</v>
      </c>
      <c r="V502" t="b">
        <v>0</v>
      </c>
      <c r="W502" t="n">
        <v>0</v>
      </c>
      <c r="X502" t="inlineStr">
        <is>
          <t>role_subrole_balanced_score = base_support_score * capped sqrt(avg_macro_multiplier * avg_subrole_multiplier); role/subrole quota constraints use inverse weights.</t>
        </is>
      </c>
    </row>
    <row r="503">
      <c r="A503" t="inlineStr">
        <is>
          <t>C0502</t>
        </is>
      </c>
      <c r="B503" t="inlineStr">
        <is>
          <t>x_0502</t>
        </is>
      </c>
      <c r="C503" t="inlineStr">
        <is>
          <t>Caritasverband für die Diözese Speyer e.V.</t>
        </is>
      </c>
      <c r="D503" t="inlineStr">
        <is>
          <t>implementation_anchor</t>
        </is>
      </c>
      <c r="E503" t="inlineStr">
        <is>
          <t>health_social_anchor</t>
        </is>
      </c>
      <c r="F503" t="inlineStr">
        <is>
          <t>Kassenzahnärztliche Vereinigung Rheinland-Pfalz</t>
        </is>
      </c>
      <c r="G503" t="inlineStr">
        <is>
          <t>context_actor</t>
        </is>
      </c>
      <c r="H503" t="inlineStr">
        <is>
          <t>health_social_anchor</t>
        </is>
      </c>
      <c r="I503" t="n">
        <v>30</v>
      </c>
      <c r="J503" t="n">
        <v>0</v>
      </c>
      <c r="K503" t="n">
        <v>0.1</v>
      </c>
      <c r="L503" t="n">
        <v>0.03846154</v>
      </c>
      <c r="M503" t="n">
        <v>0.13846154</v>
      </c>
      <c r="N503" t="n">
        <v>1.78269231</v>
      </c>
      <c r="O503" t="n">
        <v>53.480769</v>
      </c>
      <c r="P503" t="n">
        <v>0.08333333</v>
      </c>
      <c r="Q503" t="n">
        <v>0.08333333</v>
      </c>
      <c r="R503" t="n">
        <v>0.16666667</v>
      </c>
      <c r="S503" t="n">
        <v>0.53645833</v>
      </c>
      <c r="T503" t="n">
        <v>0.97792645</v>
      </c>
      <c r="U503" t="n">
        <v>29.337794</v>
      </c>
      <c r="V503" t="b">
        <v>0</v>
      </c>
      <c r="W503" t="n">
        <v>0</v>
      </c>
      <c r="X503" t="inlineStr">
        <is>
          <t>role_subrole_balanced_score = base_support_score * capped sqrt(avg_macro_multiplier * avg_subrole_multiplier); role/subrole quota constraints use inverse weights.</t>
        </is>
      </c>
    </row>
    <row r="504">
      <c r="A504" t="inlineStr">
        <is>
          <t>C0503</t>
        </is>
      </c>
      <c r="B504" t="inlineStr">
        <is>
          <t>x_0503</t>
        </is>
      </c>
      <c r="C504" t="inlineStr">
        <is>
          <t>Kassenzahnärztliche Vereinigung Rheinland-Pfalz</t>
        </is>
      </c>
      <c r="D504" t="inlineStr">
        <is>
          <t>context_actor</t>
        </is>
      </c>
      <c r="E504" t="inlineStr">
        <is>
          <t>health_social_anchor</t>
        </is>
      </c>
      <c r="F504" t="inlineStr">
        <is>
          <t>LandesPsychotherapeutenKammer Rheinland-Pfalz</t>
        </is>
      </c>
      <c r="G504" t="inlineStr">
        <is>
          <t>implementation_anchor</t>
        </is>
      </c>
      <c r="H504" t="inlineStr">
        <is>
          <t>health_social_anchor</t>
        </is>
      </c>
      <c r="I504" t="n">
        <v>30</v>
      </c>
      <c r="J504" t="n">
        <v>0</v>
      </c>
      <c r="K504" t="n">
        <v>0.03846154</v>
      </c>
      <c r="L504" t="n">
        <v>0.1</v>
      </c>
      <c r="M504" t="n">
        <v>0.13846154</v>
      </c>
      <c r="N504" t="n">
        <v>1.78269231</v>
      </c>
      <c r="O504" t="n">
        <v>53.480769</v>
      </c>
      <c r="P504" t="n">
        <v>0.08333333</v>
      </c>
      <c r="Q504" t="n">
        <v>0.08333333</v>
      </c>
      <c r="R504" t="n">
        <v>0.16666667</v>
      </c>
      <c r="S504" t="n">
        <v>0.53645833</v>
      </c>
      <c r="T504" t="n">
        <v>0.97792645</v>
      </c>
      <c r="U504" t="n">
        <v>29.337794</v>
      </c>
      <c r="V504" t="b">
        <v>0</v>
      </c>
      <c r="W504" t="n">
        <v>0</v>
      </c>
      <c r="X504" t="inlineStr">
        <is>
          <t>role_subrole_balanced_score = base_support_score * capped sqrt(avg_macro_multiplier * avg_subrole_multiplier); role/subrole quota constraints use inverse weights.</t>
        </is>
      </c>
    </row>
    <row r="505">
      <c r="A505" t="inlineStr">
        <is>
          <t>C0504</t>
        </is>
      </c>
      <c r="B505" t="inlineStr">
        <is>
          <t>x_0504</t>
        </is>
      </c>
      <c r="C505" t="inlineStr">
        <is>
          <t>Deutsche Telekom AG</t>
        </is>
      </c>
      <c r="D505" t="inlineStr">
        <is>
          <t>profit_anchor</t>
        </is>
      </c>
      <c r="E505" t="inlineStr">
        <is>
          <t>technology_digital_anchor</t>
        </is>
      </c>
      <c r="F505" t="inlineStr">
        <is>
          <t>Johannes Gutenberg-Universität Mainz</t>
        </is>
      </c>
      <c r="G505" t="inlineStr">
        <is>
          <t>academic_support</t>
        </is>
      </c>
      <c r="H505" t="inlineStr">
        <is>
          <t>university_research</t>
        </is>
      </c>
      <c r="I505" t="n">
        <v>30</v>
      </c>
      <c r="J505" t="n">
        <v>0</v>
      </c>
      <c r="K505" t="n">
        <v>0.02040816</v>
      </c>
      <c r="L505" t="n">
        <v>0.05555556</v>
      </c>
      <c r="M505" t="n">
        <v>0.07596372</v>
      </c>
      <c r="N505" t="n">
        <v>0.97803288</v>
      </c>
      <c r="O505" t="n">
        <v>29.340986</v>
      </c>
      <c r="P505" t="n">
        <v>0.11111111</v>
      </c>
      <c r="Q505" t="n">
        <v>0.14285714</v>
      </c>
      <c r="R505" t="n">
        <v>0.25396825</v>
      </c>
      <c r="S505" t="n">
        <v>0.81746032</v>
      </c>
      <c r="T505" t="n">
        <v>0.89414935</v>
      </c>
      <c r="U505" t="n">
        <v>26.824481</v>
      </c>
      <c r="V505" t="b">
        <v>1</v>
      </c>
      <c r="W505" t="n">
        <v>1</v>
      </c>
      <c r="X505" t="inlineStr">
        <is>
          <t>role_subrole_balanced_score = base_support_score * capped sqrt(avg_macro_multiplier * avg_subrole_multiplier); role/subrole quota constraints use inverse weights.</t>
        </is>
      </c>
    </row>
    <row r="506">
      <c r="A506" t="inlineStr">
        <is>
          <t>C0505</t>
        </is>
      </c>
      <c r="B506" t="inlineStr">
        <is>
          <t>x_0505</t>
        </is>
      </c>
      <c r="C506" t="inlineStr">
        <is>
          <t>Deutsche Telekom AG</t>
        </is>
      </c>
      <c r="D506" t="inlineStr">
        <is>
          <t>profit_anchor</t>
        </is>
      </c>
      <c r="E506" t="inlineStr">
        <is>
          <t>technology_digital_anchor</t>
        </is>
      </c>
      <c r="F506" t="inlineStr">
        <is>
          <t>Villa Musica Rheinland-Pfalz</t>
        </is>
      </c>
      <c r="G506" t="inlineStr">
        <is>
          <t>context_actor</t>
        </is>
      </c>
      <c r="H506" t="inlineStr">
        <is>
          <t>culture_foundation_anchor</t>
        </is>
      </c>
      <c r="I506" t="n">
        <v>30</v>
      </c>
      <c r="J506" t="n">
        <v>0</v>
      </c>
      <c r="K506" t="n">
        <v>0.02040816</v>
      </c>
      <c r="L506" t="n">
        <v>0.03846154</v>
      </c>
      <c r="M506" t="n">
        <v>0.0588697</v>
      </c>
      <c r="N506" t="n">
        <v>0.75794741</v>
      </c>
      <c r="O506" t="n">
        <v>22.738422</v>
      </c>
      <c r="P506" t="n">
        <v>0.11111111</v>
      </c>
      <c r="Q506" t="n">
        <v>0.33333333</v>
      </c>
      <c r="R506" t="n">
        <v>0.44444444</v>
      </c>
      <c r="S506" t="n">
        <v>1.43055556</v>
      </c>
      <c r="T506" t="n">
        <v>1.04129049</v>
      </c>
      <c r="U506" t="n">
        <v>31.238715</v>
      </c>
      <c r="V506" t="b">
        <v>0</v>
      </c>
      <c r="W506" t="n">
        <v>0</v>
      </c>
      <c r="X506" t="inlineStr">
        <is>
          <t>role_subrole_balanced_score = base_support_score * capped sqrt(avg_macro_multiplier * avg_subrole_multiplier); role/subrole quota constraints use inverse weights.</t>
        </is>
      </c>
    </row>
    <row r="507">
      <c r="A507" t="inlineStr">
        <is>
          <t>C0506</t>
        </is>
      </c>
      <c r="B507" t="inlineStr">
        <is>
          <t>x_0506</t>
        </is>
      </c>
      <c r="C507" t="inlineStr">
        <is>
          <t>Deutsche Telekom AG</t>
        </is>
      </c>
      <c r="D507" t="inlineStr">
        <is>
          <t>profit_anchor</t>
        </is>
      </c>
      <c r="E507" t="inlineStr">
        <is>
          <t>technology_digital_anchor</t>
        </is>
      </c>
      <c r="F507" t="inlineStr">
        <is>
          <t>robotspaceship</t>
        </is>
      </c>
      <c r="G507" t="inlineStr">
        <is>
          <t>context_actor</t>
        </is>
      </c>
      <c r="H507" t="inlineStr">
        <is>
          <t>technology_digital_anchor</t>
        </is>
      </c>
      <c r="I507" t="n">
        <v>30</v>
      </c>
      <c r="J507" t="n">
        <v>0</v>
      </c>
      <c r="K507" t="n">
        <v>0.02040816</v>
      </c>
      <c r="L507" t="n">
        <v>0.03846154</v>
      </c>
      <c r="M507" t="n">
        <v>0.0588697</v>
      </c>
      <c r="N507" t="n">
        <v>0.75794741</v>
      </c>
      <c r="O507" t="n">
        <v>22.738422</v>
      </c>
      <c r="P507" t="n">
        <v>0.11111111</v>
      </c>
      <c r="Q507" t="n">
        <v>0.11111111</v>
      </c>
      <c r="R507" t="n">
        <v>0.22222222</v>
      </c>
      <c r="S507" t="n">
        <v>0.71527778</v>
      </c>
      <c r="T507" t="n">
        <v>0.73630356</v>
      </c>
      <c r="U507" t="n">
        <v>22.089107</v>
      </c>
      <c r="V507" t="b">
        <v>0</v>
      </c>
      <c r="W507" t="n">
        <v>0</v>
      </c>
      <c r="X507" t="inlineStr">
        <is>
          <t>role_subrole_balanced_score = base_support_score * capped sqrt(avg_macro_multiplier * avg_subrole_multiplier); role/subrole quota constraints use inverse weights.</t>
        </is>
      </c>
    </row>
    <row r="508">
      <c r="A508" t="inlineStr">
        <is>
          <t>C0507</t>
        </is>
      </c>
      <c r="B508" t="inlineStr">
        <is>
          <t>x_0507</t>
        </is>
      </c>
      <c r="C508" t="inlineStr">
        <is>
          <t>Entwicklungsagentur Rheinland-Pfalz e.V.</t>
        </is>
      </c>
      <c r="D508" t="inlineStr">
        <is>
          <t>implementation_anchor</t>
        </is>
      </c>
      <c r="E508" t="inlineStr">
        <is>
          <t>public_policy_anchor</t>
        </is>
      </c>
      <c r="F508" t="inlineStr">
        <is>
          <t>Hochschule für Musik Mainz</t>
        </is>
      </c>
      <c r="G508" t="inlineStr">
        <is>
          <t>academic_support</t>
        </is>
      </c>
      <c r="H508" t="inlineStr">
        <is>
          <t>university_applied_sciences</t>
        </is>
      </c>
      <c r="I508" t="n">
        <v>30</v>
      </c>
      <c r="J508" t="n">
        <v>0</v>
      </c>
      <c r="K508" t="n">
        <v>0.1</v>
      </c>
      <c r="L508" t="n">
        <v>0.05555556</v>
      </c>
      <c r="M508" t="n">
        <v>0.15555556</v>
      </c>
      <c r="N508" t="n">
        <v>2.00277778</v>
      </c>
      <c r="O508" t="n">
        <v>60.083333</v>
      </c>
      <c r="P508" t="n">
        <v>0.16666667</v>
      </c>
      <c r="Q508" t="n">
        <v>0.09090909</v>
      </c>
      <c r="R508" t="n">
        <v>0.25757576</v>
      </c>
      <c r="S508" t="n">
        <v>0.82907197</v>
      </c>
      <c r="T508" t="n">
        <v>1.2885833</v>
      </c>
      <c r="U508" t="n">
        <v>38.657499</v>
      </c>
      <c r="V508" t="b">
        <v>1</v>
      </c>
      <c r="W508" t="n">
        <v>1</v>
      </c>
      <c r="X508" t="inlineStr">
        <is>
          <t>role_subrole_balanced_score = base_support_score * capped sqrt(avg_macro_multiplier * avg_subrole_multiplier); role/subrole quota constraints use inverse weights.</t>
        </is>
      </c>
    </row>
    <row r="509">
      <c r="A509" t="inlineStr">
        <is>
          <t>C0508</t>
        </is>
      </c>
      <c r="B509" t="inlineStr">
        <is>
          <t>x_0508</t>
        </is>
      </c>
      <c r="C509" t="inlineStr">
        <is>
          <t>Entwicklungsagentur Rheinland-Pfalz e.V.</t>
        </is>
      </c>
      <c r="D509" t="inlineStr">
        <is>
          <t>implementation_anchor</t>
        </is>
      </c>
      <c r="E509" t="inlineStr">
        <is>
          <t>public_policy_anchor</t>
        </is>
      </c>
      <c r="F509" t="inlineStr">
        <is>
          <t>RPR1.</t>
        </is>
      </c>
      <c r="G509" t="inlineStr">
        <is>
          <t>context_actor</t>
        </is>
      </c>
      <c r="H509" t="inlineStr">
        <is>
          <t>media_publicity_anchor</t>
        </is>
      </c>
      <c r="I509" t="n">
        <v>30</v>
      </c>
      <c r="J509" t="n">
        <v>0</v>
      </c>
      <c r="K509" t="n">
        <v>0.1</v>
      </c>
      <c r="L509" t="n">
        <v>0.03846154</v>
      </c>
      <c r="M509" t="n">
        <v>0.13846154</v>
      </c>
      <c r="N509" t="n">
        <v>1.78269231</v>
      </c>
      <c r="O509" t="n">
        <v>53.480769</v>
      </c>
      <c r="P509" t="n">
        <v>0.16666667</v>
      </c>
      <c r="Q509" t="n">
        <v>0.33333333</v>
      </c>
      <c r="R509" t="n">
        <v>0.5</v>
      </c>
      <c r="S509" t="n">
        <v>1.609375</v>
      </c>
      <c r="T509" t="n">
        <v>1.6938183</v>
      </c>
      <c r="U509" t="n">
        <v>50.814549</v>
      </c>
      <c r="V509" t="b">
        <v>0</v>
      </c>
      <c r="W509" t="n">
        <v>0</v>
      </c>
      <c r="X509" t="inlineStr">
        <is>
          <t>role_subrole_balanced_score = base_support_score * capped sqrt(avg_macro_multiplier * avg_subrole_multiplier); role/subrole quota constraints use inverse weights.</t>
        </is>
      </c>
    </row>
    <row r="510">
      <c r="A510" t="inlineStr">
        <is>
          <t>C0509</t>
        </is>
      </c>
      <c r="B510" t="inlineStr">
        <is>
          <t>x_0509</t>
        </is>
      </c>
      <c r="C510" t="inlineStr">
        <is>
          <t>Entwicklungsagentur Rheinland-Pfalz e.V.</t>
        </is>
      </c>
      <c r="D510" t="inlineStr">
        <is>
          <t>implementation_anchor</t>
        </is>
      </c>
      <c r="E510" t="inlineStr">
        <is>
          <t>public_policy_anchor</t>
        </is>
      </c>
      <c r="F510" t="inlineStr">
        <is>
          <t>SWR – Südwestrundfunk</t>
        </is>
      </c>
      <c r="G510" t="inlineStr">
        <is>
          <t>context_actor</t>
        </is>
      </c>
      <c r="H510" t="inlineStr">
        <is>
          <t>media_publicity_anchor</t>
        </is>
      </c>
      <c r="I510" t="n">
        <v>30</v>
      </c>
      <c r="J510" t="n">
        <v>0</v>
      </c>
      <c r="K510" t="n">
        <v>0.1</v>
      </c>
      <c r="L510" t="n">
        <v>0.03846154</v>
      </c>
      <c r="M510" t="n">
        <v>0.13846154</v>
      </c>
      <c r="N510" t="n">
        <v>1.78269231</v>
      </c>
      <c r="O510" t="n">
        <v>53.480769</v>
      </c>
      <c r="P510" t="n">
        <v>0.16666667</v>
      </c>
      <c r="Q510" t="n">
        <v>0.33333333</v>
      </c>
      <c r="R510" t="n">
        <v>0.5</v>
      </c>
      <c r="S510" t="n">
        <v>1.609375</v>
      </c>
      <c r="T510" t="n">
        <v>1.6938183</v>
      </c>
      <c r="U510" t="n">
        <v>50.814549</v>
      </c>
      <c r="V510" t="b">
        <v>0</v>
      </c>
      <c r="W510" t="n">
        <v>0</v>
      </c>
      <c r="X510" t="inlineStr">
        <is>
          <t>role_subrole_balanced_score = base_support_score * capped sqrt(avg_macro_multiplier * avg_subrole_multiplier); role/subrole quota constraints use inverse weights.</t>
        </is>
      </c>
    </row>
    <row r="511">
      <c r="A511" t="inlineStr">
        <is>
          <t>C0510</t>
        </is>
      </c>
      <c r="B511" t="inlineStr">
        <is>
          <t>x_0510</t>
        </is>
      </c>
      <c r="C511" t="inlineStr">
        <is>
          <t>Entwicklungsagentur Rheinland-Pfalz e.V.</t>
        </is>
      </c>
      <c r="D511" t="inlineStr">
        <is>
          <t>implementation_anchor</t>
        </is>
      </c>
      <c r="E511" t="inlineStr">
        <is>
          <t>public_policy_anchor</t>
        </is>
      </c>
      <c r="F511" t="inlineStr">
        <is>
          <t>ZDF – Zweites Deutsches Fernsehen</t>
        </is>
      </c>
      <c r="G511" t="inlineStr">
        <is>
          <t>context_actor</t>
        </is>
      </c>
      <c r="H511" t="inlineStr">
        <is>
          <t>media_publicity_anchor</t>
        </is>
      </c>
      <c r="I511" t="n">
        <v>30</v>
      </c>
      <c r="J511" t="n">
        <v>0</v>
      </c>
      <c r="K511" t="n">
        <v>0.1</v>
      </c>
      <c r="L511" t="n">
        <v>0.03846154</v>
      </c>
      <c r="M511" t="n">
        <v>0.13846154</v>
      </c>
      <c r="N511" t="n">
        <v>1.78269231</v>
      </c>
      <c r="O511" t="n">
        <v>53.480769</v>
      </c>
      <c r="P511" t="n">
        <v>0.16666667</v>
      </c>
      <c r="Q511" t="n">
        <v>0.33333333</v>
      </c>
      <c r="R511" t="n">
        <v>0.5</v>
      </c>
      <c r="S511" t="n">
        <v>1.609375</v>
      </c>
      <c r="T511" t="n">
        <v>1.6938183</v>
      </c>
      <c r="U511" t="n">
        <v>50.814549</v>
      </c>
      <c r="V511" t="b">
        <v>0</v>
      </c>
      <c r="W511" t="n">
        <v>0</v>
      </c>
      <c r="X511" t="inlineStr">
        <is>
          <t>role_subrole_balanced_score = base_support_score * capped sqrt(avg_macro_multiplier * avg_subrole_multiplier); role/subrole quota constraints use inverse weights.</t>
        </is>
      </c>
    </row>
    <row r="512">
      <c r="A512" t="inlineStr">
        <is>
          <t>C0511</t>
        </is>
      </c>
      <c r="B512" t="inlineStr">
        <is>
          <t>x_0511</t>
        </is>
      </c>
      <c r="C512" t="inlineStr">
        <is>
          <t>Erster FC Kaiserslautern GmbH &amp; Co. KGaA</t>
        </is>
      </c>
      <c r="D512" t="inlineStr">
        <is>
          <t>profit_anchor</t>
        </is>
      </c>
      <c r="E512" t="inlineStr">
        <is>
          <t>sports_regional_identity_anchor</t>
        </is>
      </c>
      <c r="F512" t="inlineStr">
        <is>
          <t>Hochschule Mainz</t>
        </is>
      </c>
      <c r="G512" t="inlineStr">
        <is>
          <t>academic_support</t>
        </is>
      </c>
      <c r="H512" t="inlineStr">
        <is>
          <t>university_applied_sciences</t>
        </is>
      </c>
      <c r="I512" t="n">
        <v>30</v>
      </c>
      <c r="J512" t="n">
        <v>0</v>
      </c>
      <c r="K512" t="n">
        <v>0.02040816</v>
      </c>
      <c r="L512" t="n">
        <v>0.05555556</v>
      </c>
      <c r="M512" t="n">
        <v>0.07596372</v>
      </c>
      <c r="N512" t="n">
        <v>0.97803288</v>
      </c>
      <c r="O512" t="n">
        <v>29.340986</v>
      </c>
      <c r="P512" t="n">
        <v>0.5</v>
      </c>
      <c r="Q512" t="n">
        <v>0.09090909</v>
      </c>
      <c r="R512" t="n">
        <v>0.59090909</v>
      </c>
      <c r="S512" t="n">
        <v>1.90198864</v>
      </c>
      <c r="T512" t="n">
        <v>1.36389421</v>
      </c>
      <c r="U512" t="n">
        <v>40.916826</v>
      </c>
      <c r="V512" t="b">
        <v>1</v>
      </c>
      <c r="W512" t="n">
        <v>1</v>
      </c>
      <c r="X512" t="inlineStr">
        <is>
          <t>role_subrole_balanced_score = base_support_score * capped sqrt(avg_macro_multiplier * avg_subrole_multiplier); role/subrole quota constraints use inverse weights.</t>
        </is>
      </c>
    </row>
    <row r="513">
      <c r="A513" t="inlineStr">
        <is>
          <t>C0512</t>
        </is>
      </c>
      <c r="B513" t="inlineStr">
        <is>
          <t>x_0512</t>
        </is>
      </c>
      <c r="C513" t="inlineStr">
        <is>
          <t>Erster FC Kaiserslautern GmbH &amp; Co. KGaA</t>
        </is>
      </c>
      <c r="D513" t="inlineStr">
        <is>
          <t>profit_anchor</t>
        </is>
      </c>
      <c r="E513" t="inlineStr">
        <is>
          <t>sports_regional_identity_anchor</t>
        </is>
      </c>
      <c r="F513" t="inlineStr">
        <is>
          <t>RPR1.</t>
        </is>
      </c>
      <c r="G513" t="inlineStr">
        <is>
          <t>context_actor</t>
        </is>
      </c>
      <c r="H513" t="inlineStr">
        <is>
          <t>media_publicity_anchor</t>
        </is>
      </c>
      <c r="I513" t="n">
        <v>30</v>
      </c>
      <c r="J513" t="n">
        <v>0</v>
      </c>
      <c r="K513" t="n">
        <v>0.02040816</v>
      </c>
      <c r="L513" t="n">
        <v>0.03846154</v>
      </c>
      <c r="M513" t="n">
        <v>0.0588697</v>
      </c>
      <c r="N513" t="n">
        <v>0.75794741</v>
      </c>
      <c r="O513" t="n">
        <v>22.738422</v>
      </c>
      <c r="P513" t="n">
        <v>0.5</v>
      </c>
      <c r="Q513" t="n">
        <v>0.33333333</v>
      </c>
      <c r="R513" t="n">
        <v>0.83333333</v>
      </c>
      <c r="S513" t="n">
        <v>2.68229167</v>
      </c>
      <c r="T513" t="n">
        <v>1.42584572</v>
      </c>
      <c r="U513" t="n">
        <v>42.775372</v>
      </c>
      <c r="V513" t="b">
        <v>0</v>
      </c>
      <c r="W513" t="n">
        <v>0</v>
      </c>
      <c r="X513" t="inlineStr">
        <is>
          <t>role_subrole_balanced_score = base_support_score * capped sqrt(avg_macro_multiplier * avg_subrole_multiplier); role/subrole quota constraints use inverse weights.</t>
        </is>
      </c>
    </row>
    <row r="514">
      <c r="A514" t="inlineStr">
        <is>
          <t>C0513</t>
        </is>
      </c>
      <c r="B514" t="inlineStr">
        <is>
          <t>x_0513</t>
        </is>
      </c>
      <c r="C514" t="inlineStr">
        <is>
          <t>Erster FC Kaiserslautern GmbH &amp; Co. KGaA</t>
        </is>
      </c>
      <c r="D514" t="inlineStr">
        <is>
          <t>profit_anchor</t>
        </is>
      </c>
      <c r="E514" t="inlineStr">
        <is>
          <t>sports_regional_identity_anchor</t>
        </is>
      </c>
      <c r="F514" t="inlineStr">
        <is>
          <t>SWR – Südwestrundfunk</t>
        </is>
      </c>
      <c r="G514" t="inlineStr">
        <is>
          <t>context_actor</t>
        </is>
      </c>
      <c r="H514" t="inlineStr">
        <is>
          <t>media_publicity_anchor</t>
        </is>
      </c>
      <c r="I514" t="n">
        <v>30</v>
      </c>
      <c r="J514" t="n">
        <v>0</v>
      </c>
      <c r="K514" t="n">
        <v>0.02040816</v>
      </c>
      <c r="L514" t="n">
        <v>0.03846154</v>
      </c>
      <c r="M514" t="n">
        <v>0.0588697</v>
      </c>
      <c r="N514" t="n">
        <v>0.75794741</v>
      </c>
      <c r="O514" t="n">
        <v>22.738422</v>
      </c>
      <c r="P514" t="n">
        <v>0.5</v>
      </c>
      <c r="Q514" t="n">
        <v>0.33333333</v>
      </c>
      <c r="R514" t="n">
        <v>0.83333333</v>
      </c>
      <c r="S514" t="n">
        <v>2.68229167</v>
      </c>
      <c r="T514" t="n">
        <v>1.42584572</v>
      </c>
      <c r="U514" t="n">
        <v>42.775372</v>
      </c>
      <c r="V514" t="b">
        <v>0</v>
      </c>
      <c r="W514" t="n">
        <v>0</v>
      </c>
      <c r="X514" t="inlineStr">
        <is>
          <t>role_subrole_balanced_score = base_support_score * capped sqrt(avg_macro_multiplier * avg_subrole_multiplier); role/subrole quota constraints use inverse weights.</t>
        </is>
      </c>
    </row>
    <row r="515">
      <c r="A515" t="inlineStr">
        <is>
          <t>C0514</t>
        </is>
      </c>
      <c r="B515" t="inlineStr">
        <is>
          <t>x_0514</t>
        </is>
      </c>
      <c r="C515" t="inlineStr">
        <is>
          <t>Erster FC Kaiserslautern GmbH &amp; Co. KGaA</t>
        </is>
      </c>
      <c r="D515" t="inlineStr">
        <is>
          <t>profit_anchor</t>
        </is>
      </c>
      <c r="E515" t="inlineStr">
        <is>
          <t>sports_regional_identity_anchor</t>
        </is>
      </c>
      <c r="F515" t="inlineStr">
        <is>
          <t>ZDF – Zweites Deutsches Fernsehen</t>
        </is>
      </c>
      <c r="G515" t="inlineStr">
        <is>
          <t>context_actor</t>
        </is>
      </c>
      <c r="H515" t="inlineStr">
        <is>
          <t>media_publicity_anchor</t>
        </is>
      </c>
      <c r="I515" t="n">
        <v>30</v>
      </c>
      <c r="J515" t="n">
        <v>0</v>
      </c>
      <c r="K515" t="n">
        <v>0.02040816</v>
      </c>
      <c r="L515" t="n">
        <v>0.03846154</v>
      </c>
      <c r="M515" t="n">
        <v>0.0588697</v>
      </c>
      <c r="N515" t="n">
        <v>0.75794741</v>
      </c>
      <c r="O515" t="n">
        <v>22.738422</v>
      </c>
      <c r="P515" t="n">
        <v>0.5</v>
      </c>
      <c r="Q515" t="n">
        <v>0.33333333</v>
      </c>
      <c r="R515" t="n">
        <v>0.83333333</v>
      </c>
      <c r="S515" t="n">
        <v>2.68229167</v>
      </c>
      <c r="T515" t="n">
        <v>1.42584572</v>
      </c>
      <c r="U515" t="n">
        <v>42.775372</v>
      </c>
      <c r="V515" t="b">
        <v>0</v>
      </c>
      <c r="W515" t="n">
        <v>0</v>
      </c>
      <c r="X515" t="inlineStr">
        <is>
          <t>role_subrole_balanced_score = base_support_score * capped sqrt(avg_macro_multiplier * avg_subrole_multiplier); role/subrole quota constraints use inverse weights.</t>
        </is>
      </c>
    </row>
    <row r="516">
      <c r="A516" t="inlineStr">
        <is>
          <t>C0515</t>
        </is>
      </c>
      <c r="B516" t="inlineStr">
        <is>
          <t>x_0515</t>
        </is>
      </c>
      <c r="C516" t="inlineStr">
        <is>
          <t>Hochschule Mainz</t>
        </is>
      </c>
      <c r="D516" t="inlineStr">
        <is>
          <t>academic_support</t>
        </is>
      </c>
      <c r="E516" t="inlineStr">
        <is>
          <t>university_applied_sciences</t>
        </is>
      </c>
      <c r="F516" t="inlineStr">
        <is>
          <t>RPR1.</t>
        </is>
      </c>
      <c r="G516" t="inlineStr">
        <is>
          <t>context_actor</t>
        </is>
      </c>
      <c r="H516" t="inlineStr">
        <is>
          <t>media_publicity_anchor</t>
        </is>
      </c>
      <c r="I516" t="n">
        <v>30</v>
      </c>
      <c r="J516" t="n">
        <v>0</v>
      </c>
      <c r="K516" t="n">
        <v>0.05555556</v>
      </c>
      <c r="L516" t="n">
        <v>0.03846154</v>
      </c>
      <c r="M516" t="n">
        <v>0.09401709</v>
      </c>
      <c r="N516" t="n">
        <v>1.21047009</v>
      </c>
      <c r="O516" t="n">
        <v>36.314103</v>
      </c>
      <c r="P516" t="n">
        <v>0.09090909</v>
      </c>
      <c r="Q516" t="n">
        <v>0.33333333</v>
      </c>
      <c r="R516" t="n">
        <v>0.42424242</v>
      </c>
      <c r="S516" t="n">
        <v>1.3655303</v>
      </c>
      <c r="T516" t="n">
        <v>1.28566465</v>
      </c>
      <c r="U516" t="n">
        <v>38.569939</v>
      </c>
      <c r="V516" t="b">
        <v>1</v>
      </c>
      <c r="W516" t="n">
        <v>1</v>
      </c>
      <c r="X516" t="inlineStr">
        <is>
          <t>role_subrole_balanced_score = base_support_score * capped sqrt(avg_macro_multiplier * avg_subrole_multiplier); role/subrole quota constraints use inverse weights.</t>
        </is>
      </c>
    </row>
    <row r="517">
      <c r="A517" t="inlineStr">
        <is>
          <t>C0516</t>
        </is>
      </c>
      <c r="B517" t="inlineStr">
        <is>
          <t>x_0516</t>
        </is>
      </c>
      <c r="C517" t="inlineStr">
        <is>
          <t>Hochschule Mainz</t>
        </is>
      </c>
      <c r="D517" t="inlineStr">
        <is>
          <t>academic_support</t>
        </is>
      </c>
      <c r="E517" t="inlineStr">
        <is>
          <t>university_applied_sciences</t>
        </is>
      </c>
      <c r="F517" t="inlineStr">
        <is>
          <t>SWR – Südwestrundfunk</t>
        </is>
      </c>
      <c r="G517" t="inlineStr">
        <is>
          <t>context_actor</t>
        </is>
      </c>
      <c r="H517" t="inlineStr">
        <is>
          <t>media_publicity_anchor</t>
        </is>
      </c>
      <c r="I517" t="n">
        <v>30</v>
      </c>
      <c r="J517" t="n">
        <v>0</v>
      </c>
      <c r="K517" t="n">
        <v>0.05555556</v>
      </c>
      <c r="L517" t="n">
        <v>0.03846154</v>
      </c>
      <c r="M517" t="n">
        <v>0.09401709</v>
      </c>
      <c r="N517" t="n">
        <v>1.21047009</v>
      </c>
      <c r="O517" t="n">
        <v>36.314103</v>
      </c>
      <c r="P517" t="n">
        <v>0.09090909</v>
      </c>
      <c r="Q517" t="n">
        <v>0.33333333</v>
      </c>
      <c r="R517" t="n">
        <v>0.42424242</v>
      </c>
      <c r="S517" t="n">
        <v>1.3655303</v>
      </c>
      <c r="T517" t="n">
        <v>1.28566465</v>
      </c>
      <c r="U517" t="n">
        <v>38.569939</v>
      </c>
      <c r="V517" t="b">
        <v>1</v>
      </c>
      <c r="W517" t="n">
        <v>1</v>
      </c>
      <c r="X517" t="inlineStr">
        <is>
          <t>role_subrole_balanced_score = base_support_score * capped sqrt(avg_macro_multiplier * avg_subrole_multiplier); role/subrole quota constraints use inverse weights.</t>
        </is>
      </c>
    </row>
    <row r="518">
      <c r="A518" t="inlineStr">
        <is>
          <t>C0517</t>
        </is>
      </c>
      <c r="B518" t="inlineStr">
        <is>
          <t>x_0517</t>
        </is>
      </c>
      <c r="C518" t="inlineStr">
        <is>
          <t>Hochschule Mainz</t>
        </is>
      </c>
      <c r="D518" t="inlineStr">
        <is>
          <t>academic_support</t>
        </is>
      </c>
      <c r="E518" t="inlineStr">
        <is>
          <t>university_applied_sciences</t>
        </is>
      </c>
      <c r="F518" t="inlineStr">
        <is>
          <t>ZDF – Zweites Deutsches Fernsehen</t>
        </is>
      </c>
      <c r="G518" t="inlineStr">
        <is>
          <t>context_actor</t>
        </is>
      </c>
      <c r="H518" t="inlineStr">
        <is>
          <t>media_publicity_anchor</t>
        </is>
      </c>
      <c r="I518" t="n">
        <v>30</v>
      </c>
      <c r="J518" t="n">
        <v>0</v>
      </c>
      <c r="K518" t="n">
        <v>0.05555556</v>
      </c>
      <c r="L518" t="n">
        <v>0.03846154</v>
      </c>
      <c r="M518" t="n">
        <v>0.09401709</v>
      </c>
      <c r="N518" t="n">
        <v>1.21047009</v>
      </c>
      <c r="O518" t="n">
        <v>36.314103</v>
      </c>
      <c r="P518" t="n">
        <v>0.09090909</v>
      </c>
      <c r="Q518" t="n">
        <v>0.33333333</v>
      </c>
      <c r="R518" t="n">
        <v>0.42424242</v>
      </c>
      <c r="S518" t="n">
        <v>1.3655303</v>
      </c>
      <c r="T518" t="n">
        <v>1.28566465</v>
      </c>
      <c r="U518" t="n">
        <v>38.569939</v>
      </c>
      <c r="V518" t="b">
        <v>1</v>
      </c>
      <c r="W518" t="n">
        <v>1</v>
      </c>
      <c r="X518" t="inlineStr">
        <is>
          <t>role_subrole_balanced_score = base_support_score * capped sqrt(avg_macro_multiplier * avg_subrole_multiplier); role/subrole quota constraints use inverse weights.</t>
        </is>
      </c>
    </row>
    <row r="519">
      <c r="A519" t="inlineStr">
        <is>
          <t>C0518</t>
        </is>
      </c>
      <c r="B519" t="inlineStr">
        <is>
          <t>x_0518</t>
        </is>
      </c>
      <c r="C519" t="inlineStr">
        <is>
          <t>Architektenkammer Rheinland-Pfalz</t>
        </is>
      </c>
      <c r="D519" t="inlineStr">
        <is>
          <t>implementation_anchor</t>
        </is>
      </c>
      <c r="E519" t="inlineStr">
        <is>
          <t>construction_planning_anchor</t>
        </is>
      </c>
      <c r="F519" t="inlineStr">
        <is>
          <t>Heberger Gruppe</t>
        </is>
      </c>
      <c r="G519" t="inlineStr">
        <is>
          <t>context_actor</t>
        </is>
      </c>
      <c r="H519" t="inlineStr">
        <is>
          <t>construction_planning_anchor</t>
        </is>
      </c>
      <c r="I519" t="n">
        <v>30</v>
      </c>
      <c r="J519" t="n">
        <v>0</v>
      </c>
      <c r="K519" t="n">
        <v>0.1</v>
      </c>
      <c r="L519" t="n">
        <v>0.03846154</v>
      </c>
      <c r="M519" t="n">
        <v>0.13846154</v>
      </c>
      <c r="N519" t="n">
        <v>1.78269231</v>
      </c>
      <c r="O519" t="n">
        <v>53.480769</v>
      </c>
      <c r="P519" t="n">
        <v>0.125</v>
      </c>
      <c r="Q519" t="n">
        <v>0.125</v>
      </c>
      <c r="R519" t="n">
        <v>0.25</v>
      </c>
      <c r="S519" t="n">
        <v>0.8046875</v>
      </c>
      <c r="T519" t="n">
        <v>1.19771041</v>
      </c>
      <c r="U519" t="n">
        <v>35.931312</v>
      </c>
      <c r="V519" t="b">
        <v>0</v>
      </c>
      <c r="W519" t="n">
        <v>0</v>
      </c>
      <c r="X519" t="inlineStr">
        <is>
          <t>role_subrole_balanced_score = base_support_score * capped sqrt(avg_macro_multiplier * avg_subrole_multiplier); role/subrole quota constraints use inverse weights.</t>
        </is>
      </c>
    </row>
    <row r="520">
      <c r="A520" t="inlineStr">
        <is>
          <t>C0519</t>
        </is>
      </c>
      <c r="B520" t="inlineStr">
        <is>
          <t>x_0519</t>
        </is>
      </c>
      <c r="C520" t="inlineStr">
        <is>
          <t>Architektenkammer Rheinland-Pfalz</t>
        </is>
      </c>
      <c r="D520" t="inlineStr">
        <is>
          <t>implementation_anchor</t>
        </is>
      </c>
      <c r="E520" t="inlineStr">
        <is>
          <t>construction_planning_anchor</t>
        </is>
      </c>
      <c r="F520" t="inlineStr">
        <is>
          <t>TÜV Rheinland Berlin Brandenburg Pfalz e.V.</t>
        </is>
      </c>
      <c r="G520" t="inlineStr">
        <is>
          <t>context_actor</t>
        </is>
      </c>
      <c r="H520" t="inlineStr">
        <is>
          <t>chamber_association_anchor</t>
        </is>
      </c>
      <c r="I520" t="n">
        <v>30</v>
      </c>
      <c r="J520" t="n">
        <v>0</v>
      </c>
      <c r="K520" t="n">
        <v>0.1</v>
      </c>
      <c r="L520" t="n">
        <v>0.03846154</v>
      </c>
      <c r="M520" t="n">
        <v>0.13846154</v>
      </c>
      <c r="N520" t="n">
        <v>1.78269231</v>
      </c>
      <c r="O520" t="n">
        <v>53.480769</v>
      </c>
      <c r="P520" t="n">
        <v>0.125</v>
      </c>
      <c r="Q520" t="n">
        <v>0.25</v>
      </c>
      <c r="R520" t="n">
        <v>0.375</v>
      </c>
      <c r="S520" t="n">
        <v>1.20703125</v>
      </c>
      <c r="T520" t="n">
        <v>1.46688968</v>
      </c>
      <c r="U520" t="n">
        <v>44.00669</v>
      </c>
      <c r="V520" t="b">
        <v>0</v>
      </c>
      <c r="W520" t="n">
        <v>0</v>
      </c>
      <c r="X520" t="inlineStr">
        <is>
          <t>role_subrole_balanced_score = base_support_score * capped sqrt(avg_macro_multiplier * avg_subrole_multiplier); role/subrole quota constraints use inverse weights.</t>
        </is>
      </c>
    </row>
    <row r="521">
      <c r="A521" t="inlineStr">
        <is>
          <t>C0520</t>
        </is>
      </c>
      <c r="B521" t="inlineStr">
        <is>
          <t>x_0520</t>
        </is>
      </c>
      <c r="C521" t="inlineStr">
        <is>
          <t>Bauwirtschaft Rheinland-Pfalz e.V.</t>
        </is>
      </c>
      <c r="D521" t="inlineStr">
        <is>
          <t>context_actor</t>
        </is>
      </c>
      <c r="E521" t="inlineStr">
        <is>
          <t>construction_planning_anchor</t>
        </is>
      </c>
      <c r="F521" t="inlineStr">
        <is>
          <t>Wilhelm Faber GmbH</t>
        </is>
      </c>
      <c r="G521" t="inlineStr">
        <is>
          <t>profit_anchor</t>
        </is>
      </c>
      <c r="H521" t="inlineStr">
        <is>
          <t>construction_planning_anchor</t>
        </is>
      </c>
      <c r="I521" t="n">
        <v>30</v>
      </c>
      <c r="J521" t="n">
        <v>0</v>
      </c>
      <c r="K521" t="n">
        <v>0.03846154</v>
      </c>
      <c r="L521" t="n">
        <v>0.02040816</v>
      </c>
      <c r="M521" t="n">
        <v>0.0588697</v>
      </c>
      <c r="N521" t="n">
        <v>0.75794741</v>
      </c>
      <c r="O521" t="n">
        <v>22.738422</v>
      </c>
      <c r="P521" t="n">
        <v>0.125</v>
      </c>
      <c r="Q521" t="n">
        <v>0.125</v>
      </c>
      <c r="R521" t="n">
        <v>0.25</v>
      </c>
      <c r="S521" t="n">
        <v>0.8046875</v>
      </c>
      <c r="T521" t="n">
        <v>0.78096787</v>
      </c>
      <c r="U521" t="n">
        <v>23.429036</v>
      </c>
      <c r="V521" t="b">
        <v>0</v>
      </c>
      <c r="W521" t="n">
        <v>0</v>
      </c>
      <c r="X521" t="inlineStr">
        <is>
          <t>role_subrole_balanced_score = base_support_score * capped sqrt(avg_macro_multiplier * avg_subrole_multiplier); role/subrole quota constraints use inverse weights.</t>
        </is>
      </c>
    </row>
    <row r="522">
      <c r="A522" t="inlineStr">
        <is>
          <t>C0521</t>
        </is>
      </c>
      <c r="B522" t="inlineStr">
        <is>
          <t>x_0521</t>
        </is>
      </c>
      <c r="C522" t="inlineStr">
        <is>
          <t>Heberger Gruppe</t>
        </is>
      </c>
      <c r="D522" t="inlineStr">
        <is>
          <t>context_actor</t>
        </is>
      </c>
      <c r="E522" t="inlineStr">
        <is>
          <t>construction_planning_anchor</t>
        </is>
      </c>
      <c r="F522" t="inlineStr">
        <is>
          <t>Ingenieurkammer Rheinland-Pfalz</t>
        </is>
      </c>
      <c r="G522" t="inlineStr">
        <is>
          <t>implementation_anchor</t>
        </is>
      </c>
      <c r="H522" t="inlineStr">
        <is>
          <t>construction_planning_anchor</t>
        </is>
      </c>
      <c r="I522" t="n">
        <v>30</v>
      </c>
      <c r="J522" t="n">
        <v>0</v>
      </c>
      <c r="K522" t="n">
        <v>0.03846154</v>
      </c>
      <c r="L522" t="n">
        <v>0.1</v>
      </c>
      <c r="M522" t="n">
        <v>0.13846154</v>
      </c>
      <c r="N522" t="n">
        <v>1.78269231</v>
      </c>
      <c r="O522" t="n">
        <v>53.480769</v>
      </c>
      <c r="P522" t="n">
        <v>0.125</v>
      </c>
      <c r="Q522" t="n">
        <v>0.125</v>
      </c>
      <c r="R522" t="n">
        <v>0.25</v>
      </c>
      <c r="S522" t="n">
        <v>0.8046875</v>
      </c>
      <c r="T522" t="n">
        <v>1.19771041</v>
      </c>
      <c r="U522" t="n">
        <v>35.931312</v>
      </c>
      <c r="V522" t="b">
        <v>0</v>
      </c>
      <c r="W522" t="n">
        <v>0</v>
      </c>
      <c r="X522" t="inlineStr">
        <is>
          <t>role_subrole_balanced_score = base_support_score * capped sqrt(avg_macro_multiplier * avg_subrole_multiplier); role/subrole quota constraints use inverse weights.</t>
        </is>
      </c>
    </row>
    <row r="523">
      <c r="A523" t="inlineStr">
        <is>
          <t>C0522</t>
        </is>
      </c>
      <c r="B523" t="inlineStr">
        <is>
          <t>x_0522</t>
        </is>
      </c>
      <c r="C523" t="inlineStr">
        <is>
          <t>Heberger Gruppe</t>
        </is>
      </c>
      <c r="D523" t="inlineStr">
        <is>
          <t>context_actor</t>
        </is>
      </c>
      <c r="E523" t="inlineStr">
        <is>
          <t>construction_planning_anchor</t>
        </is>
      </c>
      <c r="F523" t="inlineStr">
        <is>
          <t>Karl Gemünden GmbH &amp; Co. KG</t>
        </is>
      </c>
      <c r="G523" t="inlineStr">
        <is>
          <t>profit_anchor</t>
        </is>
      </c>
      <c r="H523" t="inlineStr">
        <is>
          <t>construction_planning_anchor</t>
        </is>
      </c>
      <c r="I523" t="n">
        <v>30</v>
      </c>
      <c r="J523" t="n">
        <v>0</v>
      </c>
      <c r="K523" t="n">
        <v>0.03846154</v>
      </c>
      <c r="L523" t="n">
        <v>0.02040816</v>
      </c>
      <c r="M523" t="n">
        <v>0.0588697</v>
      </c>
      <c r="N523" t="n">
        <v>0.75794741</v>
      </c>
      <c r="O523" t="n">
        <v>22.738422</v>
      </c>
      <c r="P523" t="n">
        <v>0.125</v>
      </c>
      <c r="Q523" t="n">
        <v>0.125</v>
      </c>
      <c r="R523" t="n">
        <v>0.25</v>
      </c>
      <c r="S523" t="n">
        <v>0.8046875</v>
      </c>
      <c r="T523" t="n">
        <v>0.78096787</v>
      </c>
      <c r="U523" t="n">
        <v>23.429036</v>
      </c>
      <c r="V523" t="b">
        <v>0</v>
      </c>
      <c r="W523" t="n">
        <v>0</v>
      </c>
      <c r="X523" t="inlineStr">
        <is>
          <t>role_subrole_balanced_score = base_support_score * capped sqrt(avg_macro_multiplier * avg_subrole_multiplier); role/subrole quota constraints use inverse weights.</t>
        </is>
      </c>
    </row>
    <row r="524">
      <c r="A524" t="inlineStr">
        <is>
          <t>C0523</t>
        </is>
      </c>
      <c r="B524" t="inlineStr">
        <is>
          <t>x_0523</t>
        </is>
      </c>
      <c r="C524" t="inlineStr">
        <is>
          <t>Ingenieurkammer Rheinland-Pfalz</t>
        </is>
      </c>
      <c r="D524" t="inlineStr">
        <is>
          <t>implementation_anchor</t>
        </is>
      </c>
      <c r="E524" t="inlineStr">
        <is>
          <t>construction_planning_anchor</t>
        </is>
      </c>
      <c r="F524" t="inlineStr">
        <is>
          <t>TÜV Rheinland Berlin Brandenburg Pfalz e.V.</t>
        </is>
      </c>
      <c r="G524" t="inlineStr">
        <is>
          <t>context_actor</t>
        </is>
      </c>
      <c r="H524" t="inlineStr">
        <is>
          <t>chamber_association_anchor</t>
        </is>
      </c>
      <c r="I524" t="n">
        <v>30</v>
      </c>
      <c r="J524" t="n">
        <v>0</v>
      </c>
      <c r="K524" t="n">
        <v>0.1</v>
      </c>
      <c r="L524" t="n">
        <v>0.03846154</v>
      </c>
      <c r="M524" t="n">
        <v>0.13846154</v>
      </c>
      <c r="N524" t="n">
        <v>1.78269231</v>
      </c>
      <c r="O524" t="n">
        <v>53.480769</v>
      </c>
      <c r="P524" t="n">
        <v>0.125</v>
      </c>
      <c r="Q524" t="n">
        <v>0.25</v>
      </c>
      <c r="R524" t="n">
        <v>0.375</v>
      </c>
      <c r="S524" t="n">
        <v>1.20703125</v>
      </c>
      <c r="T524" t="n">
        <v>1.46688968</v>
      </c>
      <c r="U524" t="n">
        <v>44.00669</v>
      </c>
      <c r="V524" t="b">
        <v>0</v>
      </c>
      <c r="W524" t="n">
        <v>0</v>
      </c>
      <c r="X524" t="inlineStr">
        <is>
          <t>role_subrole_balanced_score = base_support_score * capped sqrt(avg_macro_multiplier * avg_subrole_multiplier); role/subrole quota constraints use inverse weights.</t>
        </is>
      </c>
    </row>
    <row r="525">
      <c r="A525" t="inlineStr">
        <is>
          <t>C0524</t>
        </is>
      </c>
      <c r="B525" t="inlineStr">
        <is>
          <t>x_0524</t>
        </is>
      </c>
      <c r="C525" t="inlineStr">
        <is>
          <t>Investitions- und Strukturbank Rheinland-Pfalz (ISB)</t>
        </is>
      </c>
      <c r="D525" t="inlineStr">
        <is>
          <t>context_actor</t>
        </is>
      </c>
      <c r="E525" t="inlineStr">
        <is>
          <t>bank_finance_anchor</t>
        </is>
      </c>
      <c r="F525" t="inlineStr">
        <is>
          <t>vero – Verband der Bau- und Rohstoffindustrie</t>
        </is>
      </c>
      <c r="G525" t="inlineStr">
        <is>
          <t>profit_anchor</t>
        </is>
      </c>
      <c r="H525" t="inlineStr">
        <is>
          <t>construction_planning_anchor</t>
        </is>
      </c>
      <c r="I525" t="n">
        <v>30</v>
      </c>
      <c r="J525" t="n">
        <v>0</v>
      </c>
      <c r="K525" t="n">
        <v>0.03846154</v>
      </c>
      <c r="L525" t="n">
        <v>0.02040816</v>
      </c>
      <c r="M525" t="n">
        <v>0.0588697</v>
      </c>
      <c r="N525" t="n">
        <v>0.75794741</v>
      </c>
      <c r="O525" t="n">
        <v>22.738422</v>
      </c>
      <c r="P525" t="n">
        <v>0.14285714</v>
      </c>
      <c r="Q525" t="n">
        <v>0.125</v>
      </c>
      <c r="R525" t="n">
        <v>0.26785714</v>
      </c>
      <c r="S525" t="n">
        <v>0.86216518</v>
      </c>
      <c r="T525" t="n">
        <v>0.80837854</v>
      </c>
      <c r="U525" t="n">
        <v>24.251356</v>
      </c>
      <c r="V525" t="b">
        <v>0</v>
      </c>
      <c r="W525" t="n">
        <v>0</v>
      </c>
      <c r="X525" t="inlineStr">
        <is>
          <t>role_subrole_balanced_score = base_support_score * capped sqrt(avg_macro_multiplier * avg_subrole_multiplier); role/subrole quota constraints use inverse weights.</t>
        </is>
      </c>
    </row>
    <row r="526">
      <c r="A526" t="inlineStr">
        <is>
          <t>C0525</t>
        </is>
      </c>
      <c r="B526" t="inlineStr">
        <is>
          <t>x_0525</t>
        </is>
      </c>
      <c r="C526" t="inlineStr">
        <is>
          <t>Karl Gemünden GmbH &amp; Co. KG</t>
        </is>
      </c>
      <c r="D526" t="inlineStr">
        <is>
          <t>profit_anchor</t>
        </is>
      </c>
      <c r="E526" t="inlineStr">
        <is>
          <t>construction_planning_anchor</t>
        </is>
      </c>
      <c r="F526" t="inlineStr">
        <is>
          <t>TÜV Rheinland Berlin Brandenburg Pfalz e.V.</t>
        </is>
      </c>
      <c r="G526" t="inlineStr">
        <is>
          <t>context_actor</t>
        </is>
      </c>
      <c r="H526" t="inlineStr">
        <is>
          <t>chamber_association_anchor</t>
        </is>
      </c>
      <c r="I526" t="n">
        <v>30</v>
      </c>
      <c r="J526" t="n">
        <v>0</v>
      </c>
      <c r="K526" t="n">
        <v>0.02040816</v>
      </c>
      <c r="L526" t="n">
        <v>0.03846154</v>
      </c>
      <c r="M526" t="n">
        <v>0.0588697</v>
      </c>
      <c r="N526" t="n">
        <v>0.75794741</v>
      </c>
      <c r="O526" t="n">
        <v>22.738422</v>
      </c>
      <c r="P526" t="n">
        <v>0.125</v>
      </c>
      <c r="Q526" t="n">
        <v>0.25</v>
      </c>
      <c r="R526" t="n">
        <v>0.375</v>
      </c>
      <c r="S526" t="n">
        <v>1.20703125</v>
      </c>
      <c r="T526" t="n">
        <v>0.95648639</v>
      </c>
      <c r="U526" t="n">
        <v>28.694592</v>
      </c>
      <c r="V526" t="b">
        <v>0</v>
      </c>
      <c r="W526" t="n">
        <v>0</v>
      </c>
      <c r="X526" t="inlineStr">
        <is>
          <t>role_subrole_balanced_score = base_support_score * capped sqrt(avg_macro_multiplier * avg_subrole_multiplier); role/subrole quota constraints use inverse weights.</t>
        </is>
      </c>
    </row>
    <row r="527">
      <c r="A527" t="inlineStr">
        <is>
          <t>C0526</t>
        </is>
      </c>
      <c r="B527" t="inlineStr">
        <is>
          <t>x_0526</t>
        </is>
      </c>
      <c r="C527" t="inlineStr">
        <is>
          <t>Landkreistag Rheinland-Pfalz</t>
        </is>
      </c>
      <c r="D527" t="inlineStr">
        <is>
          <t>context_actor</t>
        </is>
      </c>
      <c r="E527" t="inlineStr">
        <is>
          <t>public_policy_anchor</t>
        </is>
      </c>
      <c r="F527" t="inlineStr">
        <is>
          <t>Wilhelm Faber GmbH</t>
        </is>
      </c>
      <c r="G527" t="inlineStr">
        <is>
          <t>profit_anchor</t>
        </is>
      </c>
      <c r="H527" t="inlineStr">
        <is>
          <t>construction_planning_anchor</t>
        </is>
      </c>
      <c r="I527" t="n">
        <v>30</v>
      </c>
      <c r="J527" t="n">
        <v>0</v>
      </c>
      <c r="K527" t="n">
        <v>0.03846154</v>
      </c>
      <c r="L527" t="n">
        <v>0.02040816</v>
      </c>
      <c r="M527" t="n">
        <v>0.0588697</v>
      </c>
      <c r="N527" t="n">
        <v>0.75794741</v>
      </c>
      <c r="O527" t="n">
        <v>22.738422</v>
      </c>
      <c r="P527" t="n">
        <v>0.16666667</v>
      </c>
      <c r="Q527" t="n">
        <v>0.125</v>
      </c>
      <c r="R527" t="n">
        <v>0.29166667</v>
      </c>
      <c r="S527" t="n">
        <v>0.93880208</v>
      </c>
      <c r="T527" t="n">
        <v>0.8435416999999999</v>
      </c>
      <c r="U527" t="n">
        <v>25.306251</v>
      </c>
      <c r="V527" t="b">
        <v>0</v>
      </c>
      <c r="W527" t="n">
        <v>0</v>
      </c>
      <c r="X527" t="inlineStr">
        <is>
          <t>role_subrole_balanced_score = base_support_score * capped sqrt(avg_macro_multiplier * avg_subrole_multiplier); role/subrole quota constraints use inverse weights.</t>
        </is>
      </c>
    </row>
    <row r="528">
      <c r="A528" t="inlineStr">
        <is>
          <t>C0527</t>
        </is>
      </c>
      <c r="B528" t="inlineStr">
        <is>
          <t>x_0527</t>
        </is>
      </c>
      <c r="C528" t="inlineStr">
        <is>
          <t>Städtetag Rheinland-Pfalz</t>
        </is>
      </c>
      <c r="D528" t="inlineStr">
        <is>
          <t>context_actor</t>
        </is>
      </c>
      <c r="E528" t="inlineStr">
        <is>
          <t>public_policy_anchor</t>
        </is>
      </c>
      <c r="F528" t="inlineStr">
        <is>
          <t>Wilhelm Faber GmbH</t>
        </is>
      </c>
      <c r="G528" t="inlineStr">
        <is>
          <t>profit_anchor</t>
        </is>
      </c>
      <c r="H528" t="inlineStr">
        <is>
          <t>construction_planning_anchor</t>
        </is>
      </c>
      <c r="I528" t="n">
        <v>30</v>
      </c>
      <c r="J528" t="n">
        <v>0</v>
      </c>
      <c r="K528" t="n">
        <v>0.03846154</v>
      </c>
      <c r="L528" t="n">
        <v>0.02040816</v>
      </c>
      <c r="M528" t="n">
        <v>0.0588697</v>
      </c>
      <c r="N528" t="n">
        <v>0.75794741</v>
      </c>
      <c r="O528" t="n">
        <v>22.738422</v>
      </c>
      <c r="P528" t="n">
        <v>0.16666667</v>
      </c>
      <c r="Q528" t="n">
        <v>0.125</v>
      </c>
      <c r="R528" t="n">
        <v>0.29166667</v>
      </c>
      <c r="S528" t="n">
        <v>0.93880208</v>
      </c>
      <c r="T528" t="n">
        <v>0.8435416999999999</v>
      </c>
      <c r="U528" t="n">
        <v>25.306251</v>
      </c>
      <c r="V528" t="b">
        <v>0</v>
      </c>
      <c r="W528" t="n">
        <v>0</v>
      </c>
      <c r="X528" t="inlineStr">
        <is>
          <t>role_subrole_balanced_score = base_support_score * capped sqrt(avg_macro_multiplier * avg_subrole_multiplier); role/subrole quota constraints use inverse weights.</t>
        </is>
      </c>
    </row>
    <row r="529">
      <c r="A529" t="inlineStr">
        <is>
          <t>C0528</t>
        </is>
      </c>
      <c r="B529" t="inlineStr">
        <is>
          <t>x_0528</t>
        </is>
      </c>
      <c r="C529" t="inlineStr">
        <is>
          <t>1. FSV Mainz 05 e.V.</t>
        </is>
      </c>
      <c r="D529" t="inlineStr">
        <is>
          <t>context_actor</t>
        </is>
      </c>
      <c r="E529" t="inlineStr">
        <is>
          <t>sports_regional_identity_anchor</t>
        </is>
      </c>
      <c r="F529" t="inlineStr">
        <is>
          <t>Erster FC Kaiserslautern GmbH &amp; Co. KGaA</t>
        </is>
      </c>
      <c r="G529" t="inlineStr">
        <is>
          <t>profit_anchor</t>
        </is>
      </c>
      <c r="H529" t="inlineStr">
        <is>
          <t>sports_regional_identity_anchor</t>
        </is>
      </c>
      <c r="I529" t="n">
        <v>30</v>
      </c>
      <c r="J529" t="n">
        <v>0</v>
      </c>
      <c r="K529" t="n">
        <v>0.03846154</v>
      </c>
      <c r="L529" t="n">
        <v>0.02040816</v>
      </c>
      <c r="M529" t="n">
        <v>0.0588697</v>
      </c>
      <c r="N529" t="n">
        <v>0.75794741</v>
      </c>
      <c r="O529" t="n">
        <v>22.738422</v>
      </c>
      <c r="P529" t="n">
        <v>0.5</v>
      </c>
      <c r="Q529" t="n">
        <v>0.5</v>
      </c>
      <c r="R529" t="n">
        <v>1</v>
      </c>
      <c r="S529" t="n">
        <v>3.21875</v>
      </c>
      <c r="T529" t="n">
        <v>1.56193573</v>
      </c>
      <c r="U529" t="n">
        <v>46.858072</v>
      </c>
      <c r="V529" t="b">
        <v>0</v>
      </c>
      <c r="W529" t="n">
        <v>0</v>
      </c>
      <c r="X529" t="inlineStr">
        <is>
          <t>role_subrole_balanced_score = base_support_score * capped sqrt(avg_macro_multiplier * avg_subrole_multiplier); role/subrole quota constraints use inverse weights.</t>
        </is>
      </c>
    </row>
    <row r="530">
      <c r="A530" t="inlineStr">
        <is>
          <t>C0529</t>
        </is>
      </c>
      <c r="B530" t="inlineStr">
        <is>
          <t>x_0529</t>
        </is>
      </c>
      <c r="C530" t="inlineStr">
        <is>
          <t>Erster FC Kaiserslautern GmbH &amp; Co. KGaA</t>
        </is>
      </c>
      <c r="D530" t="inlineStr">
        <is>
          <t>profit_anchor</t>
        </is>
      </c>
      <c r="E530" t="inlineStr">
        <is>
          <t>sports_regional_identity_anchor</t>
        </is>
      </c>
      <c r="F530" t="inlineStr">
        <is>
          <t>Evangelische Kirche der Pfalz</t>
        </is>
      </c>
      <c r="G530" t="inlineStr">
        <is>
          <t>context_actor</t>
        </is>
      </c>
      <c r="H530" t="inlineStr">
        <is>
          <t>culture_foundation_anchor</t>
        </is>
      </c>
      <c r="I530" t="n">
        <v>30</v>
      </c>
      <c r="J530" t="n">
        <v>0</v>
      </c>
      <c r="K530" t="n">
        <v>0.02040816</v>
      </c>
      <c r="L530" t="n">
        <v>0.03846154</v>
      </c>
      <c r="M530" t="n">
        <v>0.0588697</v>
      </c>
      <c r="N530" t="n">
        <v>0.75794741</v>
      </c>
      <c r="O530" t="n">
        <v>22.738422</v>
      </c>
      <c r="P530" t="n">
        <v>0.5</v>
      </c>
      <c r="Q530" t="n">
        <v>0.33333333</v>
      </c>
      <c r="R530" t="n">
        <v>0.83333333</v>
      </c>
      <c r="S530" t="n">
        <v>2.68229167</v>
      </c>
      <c r="T530" t="n">
        <v>1.42584572</v>
      </c>
      <c r="U530" t="n">
        <v>42.775372</v>
      </c>
      <c r="V530" t="b">
        <v>0</v>
      </c>
      <c r="W530" t="n">
        <v>0</v>
      </c>
      <c r="X530" t="inlineStr">
        <is>
          <t>role_subrole_balanced_score = base_support_score * capped sqrt(avg_macro_multiplier * avg_subrole_multiplier); role/subrole quota constraints use inverse weights.</t>
        </is>
      </c>
    </row>
    <row r="531">
      <c r="A531" t="inlineStr">
        <is>
          <t>C0530</t>
        </is>
      </c>
      <c r="B531" t="inlineStr">
        <is>
          <t>x_0530</t>
        </is>
      </c>
      <c r="C531" t="inlineStr">
        <is>
          <t>Erster FC Kaiserslautern GmbH &amp; Co. KGaA</t>
        </is>
      </c>
      <c r="D531" t="inlineStr">
        <is>
          <t>profit_anchor</t>
        </is>
      </c>
      <c r="E531" t="inlineStr">
        <is>
          <t>sports_regional_identity_anchor</t>
        </is>
      </c>
      <c r="F531" t="inlineStr">
        <is>
          <t>Hochschule für Musik Mainz</t>
        </is>
      </c>
      <c r="G531" t="inlineStr">
        <is>
          <t>academic_support</t>
        </is>
      </c>
      <c r="H531" t="inlineStr">
        <is>
          <t>university_applied_sciences</t>
        </is>
      </c>
      <c r="I531" t="n">
        <v>30</v>
      </c>
      <c r="J531" t="n">
        <v>0</v>
      </c>
      <c r="K531" t="n">
        <v>0.02040816</v>
      </c>
      <c r="L531" t="n">
        <v>0.05555556</v>
      </c>
      <c r="M531" t="n">
        <v>0.07596372</v>
      </c>
      <c r="N531" t="n">
        <v>0.97803288</v>
      </c>
      <c r="O531" t="n">
        <v>29.340986</v>
      </c>
      <c r="P531" t="n">
        <v>0.5</v>
      </c>
      <c r="Q531" t="n">
        <v>0.09090909</v>
      </c>
      <c r="R531" t="n">
        <v>0.59090909</v>
      </c>
      <c r="S531" t="n">
        <v>1.90198864</v>
      </c>
      <c r="T531" t="n">
        <v>1.36389421</v>
      </c>
      <c r="U531" t="n">
        <v>40.916826</v>
      </c>
      <c r="V531" t="b">
        <v>1</v>
      </c>
      <c r="W531" t="n">
        <v>1</v>
      </c>
      <c r="X531" t="inlineStr">
        <is>
          <t>role_subrole_balanced_score = base_support_score * capped sqrt(avg_macro_multiplier * avg_subrole_multiplier); role/subrole quota constraints use inverse weights.</t>
        </is>
      </c>
    </row>
    <row r="532">
      <c r="A532" t="inlineStr">
        <is>
          <t>C0531</t>
        </is>
      </c>
      <c r="B532" t="inlineStr">
        <is>
          <t>x_0531</t>
        </is>
      </c>
      <c r="C532" t="inlineStr">
        <is>
          <t>Erster FC Kaiserslautern GmbH &amp; Co. KGaA</t>
        </is>
      </c>
      <c r="D532" t="inlineStr">
        <is>
          <t>profit_anchor</t>
        </is>
      </c>
      <c r="E532" t="inlineStr">
        <is>
          <t>sports_regional_identity_anchor</t>
        </is>
      </c>
      <c r="F532" t="inlineStr">
        <is>
          <t>RPR1.</t>
        </is>
      </c>
      <c r="G532" t="inlineStr">
        <is>
          <t>context_actor</t>
        </is>
      </c>
      <c r="H532" t="inlineStr">
        <is>
          <t>media_publicity_anchor</t>
        </is>
      </c>
      <c r="I532" t="n">
        <v>30</v>
      </c>
      <c r="J532" t="n">
        <v>0</v>
      </c>
      <c r="K532" t="n">
        <v>0.02040816</v>
      </c>
      <c r="L532" t="n">
        <v>0.03846154</v>
      </c>
      <c r="M532" t="n">
        <v>0.0588697</v>
      </c>
      <c r="N532" t="n">
        <v>0.75794741</v>
      </c>
      <c r="O532" t="n">
        <v>22.738422</v>
      </c>
      <c r="P532" t="n">
        <v>0.5</v>
      </c>
      <c r="Q532" t="n">
        <v>0.33333333</v>
      </c>
      <c r="R532" t="n">
        <v>0.83333333</v>
      </c>
      <c r="S532" t="n">
        <v>2.68229167</v>
      </c>
      <c r="T532" t="n">
        <v>1.42584572</v>
      </c>
      <c r="U532" t="n">
        <v>42.775372</v>
      </c>
      <c r="V532" t="b">
        <v>0</v>
      </c>
      <c r="W532" t="n">
        <v>0</v>
      </c>
      <c r="X532" t="inlineStr">
        <is>
          <t>role_subrole_balanced_score = base_support_score * capped sqrt(avg_macro_multiplier * avg_subrole_multiplier); role/subrole quota constraints use inverse weights.</t>
        </is>
      </c>
    </row>
    <row r="533">
      <c r="A533" t="inlineStr">
        <is>
          <t>C0532</t>
        </is>
      </c>
      <c r="B533" t="inlineStr">
        <is>
          <t>x_0532</t>
        </is>
      </c>
      <c r="C533" t="inlineStr">
        <is>
          <t>LOTTO Rheinland-Pfalz GmbH</t>
        </is>
      </c>
      <c r="D533" t="inlineStr">
        <is>
          <t>profit_anchor</t>
        </is>
      </c>
      <c r="E533" t="inlineStr">
        <is>
          <t>culture_foundation_anchor</t>
        </is>
      </c>
      <c r="F533" t="inlineStr">
        <is>
          <t>SWR – Südwestrundfunk</t>
        </is>
      </c>
      <c r="G533" t="inlineStr">
        <is>
          <t>context_actor</t>
        </is>
      </c>
      <c r="H533" t="inlineStr">
        <is>
          <t>media_publicity_anchor</t>
        </is>
      </c>
      <c r="I533" t="n">
        <v>30</v>
      </c>
      <c r="J533" t="n">
        <v>0</v>
      </c>
      <c r="K533" t="n">
        <v>0.02040816</v>
      </c>
      <c r="L533" t="n">
        <v>0.03846154</v>
      </c>
      <c r="M533" t="n">
        <v>0.0588697</v>
      </c>
      <c r="N533" t="n">
        <v>0.75794741</v>
      </c>
      <c r="O533" t="n">
        <v>22.738422</v>
      </c>
      <c r="P533" t="n">
        <v>0.33333333</v>
      </c>
      <c r="Q533" t="n">
        <v>0.33333333</v>
      </c>
      <c r="R533" t="n">
        <v>0.66666667</v>
      </c>
      <c r="S533" t="n">
        <v>2.14583333</v>
      </c>
      <c r="T533" t="n">
        <v>1.27531518</v>
      </c>
      <c r="U533" t="n">
        <v>38.259455</v>
      </c>
      <c r="V533" t="b">
        <v>0</v>
      </c>
      <c r="W533" t="n">
        <v>0</v>
      </c>
      <c r="X533" t="inlineStr">
        <is>
          <t>role_subrole_balanced_score = base_support_score * capped sqrt(avg_macro_multiplier * avg_subrole_multiplier); role/subrole quota constraints use inverse weights.</t>
        </is>
      </c>
    </row>
    <row r="534">
      <c r="A534" t="inlineStr">
        <is>
          <t>C0533</t>
        </is>
      </c>
      <c r="B534" t="inlineStr">
        <is>
          <t>x_0533</t>
        </is>
      </c>
      <c r="C534" t="inlineStr">
        <is>
          <t>LOTTO Rheinland-Pfalz GmbH</t>
        </is>
      </c>
      <c r="D534" t="inlineStr">
        <is>
          <t>profit_anchor</t>
        </is>
      </c>
      <c r="E534" t="inlineStr">
        <is>
          <t>culture_foundation_anchor</t>
        </is>
      </c>
      <c r="F534" t="inlineStr">
        <is>
          <t>Städtetag Rheinland-Pfalz</t>
        </is>
      </c>
      <c r="G534" t="inlineStr">
        <is>
          <t>context_actor</t>
        </is>
      </c>
      <c r="H534" t="inlineStr">
        <is>
          <t>public_policy_anchor</t>
        </is>
      </c>
      <c r="I534" t="n">
        <v>30</v>
      </c>
      <c r="J534" t="n">
        <v>0</v>
      </c>
      <c r="K534" t="n">
        <v>0.02040816</v>
      </c>
      <c r="L534" t="n">
        <v>0.03846154</v>
      </c>
      <c r="M534" t="n">
        <v>0.0588697</v>
      </c>
      <c r="N534" t="n">
        <v>0.75794741</v>
      </c>
      <c r="O534" t="n">
        <v>22.738422</v>
      </c>
      <c r="P534" t="n">
        <v>0.33333333</v>
      </c>
      <c r="Q534" t="n">
        <v>0.16666667</v>
      </c>
      <c r="R534" t="n">
        <v>0.5</v>
      </c>
      <c r="S534" t="n">
        <v>1.609375</v>
      </c>
      <c r="T534" t="n">
        <v>1.10445535</v>
      </c>
      <c r="U534" t="n">
        <v>33.13366</v>
      </c>
      <c r="V534" t="b">
        <v>0</v>
      </c>
      <c r="W534" t="n">
        <v>0</v>
      </c>
      <c r="X534" t="inlineStr">
        <is>
          <t>role_subrole_balanced_score = base_support_score * capped sqrt(avg_macro_multiplier * avg_subrole_multiplier); role/subrole quota constraints use inverse weights.</t>
        </is>
      </c>
    </row>
    <row r="535">
      <c r="A535" t="inlineStr">
        <is>
          <t>C0534</t>
        </is>
      </c>
      <c r="B535" t="inlineStr">
        <is>
          <t>x_0534</t>
        </is>
      </c>
      <c r="C535" t="inlineStr">
        <is>
          <t>LOTTO Rheinland-Pfalz GmbH</t>
        </is>
      </c>
      <c r="D535" t="inlineStr">
        <is>
          <t>profit_anchor</t>
        </is>
      </c>
      <c r="E535" t="inlineStr">
        <is>
          <t>culture_foundation_anchor</t>
        </is>
      </c>
      <c r="F535" t="inlineStr">
        <is>
          <t>Villa Musica Rheinland-Pfalz</t>
        </is>
      </c>
      <c r="G535" t="inlineStr">
        <is>
          <t>context_actor</t>
        </is>
      </c>
      <c r="H535" t="inlineStr">
        <is>
          <t>culture_foundation_anchor</t>
        </is>
      </c>
      <c r="I535" t="n">
        <v>30</v>
      </c>
      <c r="J535" t="n">
        <v>0</v>
      </c>
      <c r="K535" t="n">
        <v>0.02040816</v>
      </c>
      <c r="L535" t="n">
        <v>0.03846154</v>
      </c>
      <c r="M535" t="n">
        <v>0.0588697</v>
      </c>
      <c r="N535" t="n">
        <v>0.75794741</v>
      </c>
      <c r="O535" t="n">
        <v>22.738422</v>
      </c>
      <c r="P535" t="n">
        <v>0.33333333</v>
      </c>
      <c r="Q535" t="n">
        <v>0.33333333</v>
      </c>
      <c r="R535" t="n">
        <v>0.66666667</v>
      </c>
      <c r="S535" t="n">
        <v>2.14583333</v>
      </c>
      <c r="T535" t="n">
        <v>1.27531518</v>
      </c>
      <c r="U535" t="n">
        <v>38.259455</v>
      </c>
      <c r="V535" t="b">
        <v>0</v>
      </c>
      <c r="W535" t="n">
        <v>0</v>
      </c>
      <c r="X535" t="inlineStr">
        <is>
          <t>role_subrole_balanced_score = base_support_score * capped sqrt(avg_macro_multiplier * avg_subrole_multiplier); role/subrole quota constraints use inverse weights.</t>
        </is>
      </c>
    </row>
    <row r="536">
      <c r="A536" t="inlineStr">
        <is>
          <t>C0535</t>
        </is>
      </c>
      <c r="B536" t="inlineStr">
        <is>
          <t>x_0535</t>
        </is>
      </c>
      <c r="C536" t="inlineStr">
        <is>
          <t>LOTTO Rheinland-Pfalz GmbH</t>
        </is>
      </c>
      <c r="D536" t="inlineStr">
        <is>
          <t>profit_anchor</t>
        </is>
      </c>
      <c r="E536" t="inlineStr">
        <is>
          <t>culture_foundation_anchor</t>
        </is>
      </c>
      <c r="F536" t="inlineStr">
        <is>
          <t>ZDF – Zweites Deutsches Fernsehen</t>
        </is>
      </c>
      <c r="G536" t="inlineStr">
        <is>
          <t>context_actor</t>
        </is>
      </c>
      <c r="H536" t="inlineStr">
        <is>
          <t>media_publicity_anchor</t>
        </is>
      </c>
      <c r="I536" t="n">
        <v>30</v>
      </c>
      <c r="J536" t="n">
        <v>0</v>
      </c>
      <c r="K536" t="n">
        <v>0.02040816</v>
      </c>
      <c r="L536" t="n">
        <v>0.03846154</v>
      </c>
      <c r="M536" t="n">
        <v>0.0588697</v>
      </c>
      <c r="N536" t="n">
        <v>0.75794741</v>
      </c>
      <c r="O536" t="n">
        <v>22.738422</v>
      </c>
      <c r="P536" t="n">
        <v>0.33333333</v>
      </c>
      <c r="Q536" t="n">
        <v>0.33333333</v>
      </c>
      <c r="R536" t="n">
        <v>0.66666667</v>
      </c>
      <c r="S536" t="n">
        <v>2.14583333</v>
      </c>
      <c r="T536" t="n">
        <v>1.27531518</v>
      </c>
      <c r="U536" t="n">
        <v>38.259455</v>
      </c>
      <c r="V536" t="b">
        <v>0</v>
      </c>
      <c r="W536" t="n">
        <v>0</v>
      </c>
      <c r="X536" t="inlineStr">
        <is>
          <t>role_subrole_balanced_score = base_support_score * capped sqrt(avg_macro_multiplier * avg_subrole_multiplier); role/subrole quota constraints use inverse weights.</t>
        </is>
      </c>
    </row>
    <row r="537">
      <c r="A537" t="inlineStr">
        <is>
          <t>C0536</t>
        </is>
      </c>
      <c r="B537" t="inlineStr">
        <is>
          <t>x_0536</t>
        </is>
      </c>
      <c r="C537" t="inlineStr">
        <is>
          <t>Hochschule für Musik Mainz</t>
        </is>
      </c>
      <c r="D537" t="inlineStr">
        <is>
          <t>academic_support</t>
        </is>
      </c>
      <c r="E537" t="inlineStr">
        <is>
          <t>university_applied_sciences</t>
        </is>
      </c>
      <c r="F537" t="inlineStr">
        <is>
          <t>LOTTO Rheinland-Pfalz GmbH</t>
        </is>
      </c>
      <c r="G537" t="inlineStr">
        <is>
          <t>profit_anchor</t>
        </is>
      </c>
      <c r="H537" t="inlineStr">
        <is>
          <t>culture_foundation_anchor</t>
        </is>
      </c>
      <c r="I537" t="n">
        <v>30</v>
      </c>
      <c r="J537" t="n">
        <v>0</v>
      </c>
      <c r="K537" t="n">
        <v>0.05555556</v>
      </c>
      <c r="L537" t="n">
        <v>0.02040816</v>
      </c>
      <c r="M537" t="n">
        <v>0.07596372</v>
      </c>
      <c r="N537" t="n">
        <v>0.97803288</v>
      </c>
      <c r="O537" t="n">
        <v>29.340986</v>
      </c>
      <c r="P537" t="n">
        <v>0.09090909</v>
      </c>
      <c r="Q537" t="n">
        <v>0.33333333</v>
      </c>
      <c r="R537" t="n">
        <v>0.42424242</v>
      </c>
      <c r="S537" t="n">
        <v>1.3655303</v>
      </c>
      <c r="T537" t="n">
        <v>1.15565286</v>
      </c>
      <c r="U537" t="n">
        <v>34.669586</v>
      </c>
      <c r="V537" t="b">
        <v>1</v>
      </c>
      <c r="W537" t="n">
        <v>1</v>
      </c>
      <c r="X537" t="inlineStr">
        <is>
          <t>role_subrole_balanced_score = base_support_score * capped sqrt(avg_macro_multiplier * avg_subrole_multiplier); role/subrole quota constraints use inverse weights.</t>
        </is>
      </c>
    </row>
    <row r="538">
      <c r="A538" t="inlineStr">
        <is>
          <t>C0537</t>
        </is>
      </c>
      <c r="B538" t="inlineStr">
        <is>
          <t>x_0537</t>
        </is>
      </c>
      <c r="C538" t="inlineStr">
        <is>
          <t>Hochschule für Musik Mainz</t>
        </is>
      </c>
      <c r="D538" t="inlineStr">
        <is>
          <t>academic_support</t>
        </is>
      </c>
      <c r="E538" t="inlineStr">
        <is>
          <t>university_applied_sciences</t>
        </is>
      </c>
      <c r="F538" t="inlineStr">
        <is>
          <t>Villa Musica Rheinland-Pfalz</t>
        </is>
      </c>
      <c r="G538" t="inlineStr">
        <is>
          <t>context_actor</t>
        </is>
      </c>
      <c r="H538" t="inlineStr">
        <is>
          <t>culture_foundation_anchor</t>
        </is>
      </c>
      <c r="I538" t="n">
        <v>30</v>
      </c>
      <c r="J538" t="n">
        <v>0</v>
      </c>
      <c r="K538" t="n">
        <v>0.05555556</v>
      </c>
      <c r="L538" t="n">
        <v>0.03846154</v>
      </c>
      <c r="M538" t="n">
        <v>0.09401709</v>
      </c>
      <c r="N538" t="n">
        <v>1.21047009</v>
      </c>
      <c r="O538" t="n">
        <v>36.314103</v>
      </c>
      <c r="P538" t="n">
        <v>0.09090909</v>
      </c>
      <c r="Q538" t="n">
        <v>0.33333333</v>
      </c>
      <c r="R538" t="n">
        <v>0.42424242</v>
      </c>
      <c r="S538" t="n">
        <v>1.3655303</v>
      </c>
      <c r="T538" t="n">
        <v>1.28566465</v>
      </c>
      <c r="U538" t="n">
        <v>38.569939</v>
      </c>
      <c r="V538" t="b">
        <v>1</v>
      </c>
      <c r="W538" t="n">
        <v>1</v>
      </c>
      <c r="X538" t="inlineStr">
        <is>
          <t>role_subrole_balanced_score = base_support_score * capped sqrt(avg_macro_multiplier * avg_subrole_multiplier); role/subrole quota constraints use inverse weights.</t>
        </is>
      </c>
    </row>
    <row r="539">
      <c r="A539" t="inlineStr">
        <is>
          <t>C0538</t>
        </is>
      </c>
      <c r="B539" t="inlineStr">
        <is>
          <t>x_0538</t>
        </is>
      </c>
      <c r="C539" t="inlineStr">
        <is>
          <t>LOTTO Rheinland-Pfalz GmbH</t>
        </is>
      </c>
      <c r="D539" t="inlineStr">
        <is>
          <t>profit_anchor</t>
        </is>
      </c>
      <c r="E539" t="inlineStr">
        <is>
          <t>culture_foundation_anchor</t>
        </is>
      </c>
      <c r="F539" t="inlineStr">
        <is>
          <t>Villa Musica Rheinland-Pfalz</t>
        </is>
      </c>
      <c r="G539" t="inlineStr">
        <is>
          <t>context_actor</t>
        </is>
      </c>
      <c r="H539" t="inlineStr">
        <is>
          <t>culture_foundation_anchor</t>
        </is>
      </c>
      <c r="I539" t="n">
        <v>30</v>
      </c>
      <c r="J539" t="n">
        <v>0</v>
      </c>
      <c r="K539" t="n">
        <v>0.02040816</v>
      </c>
      <c r="L539" t="n">
        <v>0.03846154</v>
      </c>
      <c r="M539" t="n">
        <v>0.0588697</v>
      </c>
      <c r="N539" t="n">
        <v>0.75794741</v>
      </c>
      <c r="O539" t="n">
        <v>22.738422</v>
      </c>
      <c r="P539" t="n">
        <v>0.33333333</v>
      </c>
      <c r="Q539" t="n">
        <v>0.33333333</v>
      </c>
      <c r="R539" t="n">
        <v>0.66666667</v>
      </c>
      <c r="S539" t="n">
        <v>2.14583333</v>
      </c>
      <c r="T539" t="n">
        <v>1.27531518</v>
      </c>
      <c r="U539" t="n">
        <v>38.259455</v>
      </c>
      <c r="V539" t="b">
        <v>0</v>
      </c>
      <c r="W539" t="n">
        <v>0</v>
      </c>
      <c r="X539" t="inlineStr">
        <is>
          <t>role_subrole_balanced_score = base_support_score * capped sqrt(avg_macro_multiplier * avg_subrole_multiplier); role/subrole quota constraints use inverse weights.</t>
        </is>
      </c>
    </row>
    <row r="540">
      <c r="A540" t="inlineStr">
        <is>
          <t>C0539</t>
        </is>
      </c>
      <c r="B540" t="inlineStr">
        <is>
          <t>x_0539</t>
        </is>
      </c>
      <c r="C540" t="inlineStr">
        <is>
          <t>1. FSV Mainz 05 e.V.</t>
        </is>
      </c>
      <c r="D540" t="inlineStr">
        <is>
          <t>context_actor</t>
        </is>
      </c>
      <c r="E540" t="inlineStr">
        <is>
          <t>sports_regional_identity_anchor</t>
        </is>
      </c>
      <c r="F540" t="inlineStr">
        <is>
          <t>GLOBUS Markthallen Holding GmbH &amp; Co. KG</t>
        </is>
      </c>
      <c r="G540" t="inlineStr">
        <is>
          <t>profit_anchor</t>
        </is>
      </c>
      <c r="H540" t="inlineStr">
        <is>
          <t>food_beverage_consumer_anchor</t>
        </is>
      </c>
      <c r="I540" t="n">
        <v>30</v>
      </c>
      <c r="J540" t="n">
        <v>0</v>
      </c>
      <c r="K540" t="n">
        <v>0.03846154</v>
      </c>
      <c r="L540" t="n">
        <v>0.02040816</v>
      </c>
      <c r="M540" t="n">
        <v>0.0588697</v>
      </c>
      <c r="N540" t="n">
        <v>0.75794741</v>
      </c>
      <c r="O540" t="n">
        <v>22.738422</v>
      </c>
      <c r="P540" t="n">
        <v>0.5</v>
      </c>
      <c r="Q540" t="n">
        <v>0.2</v>
      </c>
      <c r="R540" t="n">
        <v>0.7</v>
      </c>
      <c r="S540" t="n">
        <v>2.253125</v>
      </c>
      <c r="T540" t="n">
        <v>1.30680919</v>
      </c>
      <c r="U540" t="n">
        <v>39.204276</v>
      </c>
      <c r="V540" t="b">
        <v>0</v>
      </c>
      <c r="W540" t="n">
        <v>0</v>
      </c>
      <c r="X540" t="inlineStr">
        <is>
          <t>role_subrole_balanced_score = base_support_score * capped sqrt(avg_macro_multiplier * avg_subrole_multiplier); role/subrole quota constraints use inverse weights.</t>
        </is>
      </c>
    </row>
    <row r="541">
      <c r="A541" t="inlineStr">
        <is>
          <t>C0540</t>
        </is>
      </c>
      <c r="B541" t="inlineStr">
        <is>
          <t>x_0540</t>
        </is>
      </c>
      <c r="C541" t="inlineStr">
        <is>
          <t>AOK Rheinland-Pfalz/Saarland</t>
        </is>
      </c>
      <c r="D541" t="inlineStr">
        <is>
          <t>context_actor</t>
        </is>
      </c>
      <c r="E541" t="inlineStr">
        <is>
          <t>health_social_anchor</t>
        </is>
      </c>
      <c r="F541" t="inlineStr">
        <is>
          <t>LOTTO Rheinland-Pfalz GmbH</t>
        </is>
      </c>
      <c r="G541" t="inlineStr">
        <is>
          <t>profit_anchor</t>
        </is>
      </c>
      <c r="H541" t="inlineStr">
        <is>
          <t>culture_foundation_anchor</t>
        </is>
      </c>
      <c r="I541" t="n">
        <v>30</v>
      </c>
      <c r="J541" t="n">
        <v>0</v>
      </c>
      <c r="K541" t="n">
        <v>0.03846154</v>
      </c>
      <c r="L541" t="n">
        <v>0.02040816</v>
      </c>
      <c r="M541" t="n">
        <v>0.0588697</v>
      </c>
      <c r="N541" t="n">
        <v>0.75794741</v>
      </c>
      <c r="O541" t="n">
        <v>22.738422</v>
      </c>
      <c r="P541" t="n">
        <v>0.08333333</v>
      </c>
      <c r="Q541" t="n">
        <v>0.33333333</v>
      </c>
      <c r="R541" t="n">
        <v>0.41666667</v>
      </c>
      <c r="S541" t="n">
        <v>1.34114583</v>
      </c>
      <c r="T541" t="n">
        <v>1.00822518</v>
      </c>
      <c r="U541" t="n">
        <v>30.246755</v>
      </c>
      <c r="V541" t="b">
        <v>0</v>
      </c>
      <c r="W541" t="n">
        <v>0</v>
      </c>
      <c r="X541" t="inlineStr">
        <is>
          <t>role_subrole_balanced_score = base_support_score * capped sqrt(avg_macro_multiplier * avg_subrole_multiplier); role/subrole quota constraints use inverse weights.</t>
        </is>
      </c>
    </row>
    <row r="542">
      <c r="A542" t="inlineStr">
        <is>
          <t>C0541</t>
        </is>
      </c>
      <c r="B542" t="inlineStr">
        <is>
          <t>x_0541</t>
        </is>
      </c>
      <c r="C542" t="inlineStr">
        <is>
          <t>IKK Südwest</t>
        </is>
      </c>
      <c r="D542" t="inlineStr">
        <is>
          <t>context_actor</t>
        </is>
      </c>
      <c r="E542" t="inlineStr">
        <is>
          <t>health_social_anchor</t>
        </is>
      </c>
      <c r="F542" t="inlineStr">
        <is>
          <t>LOTTO Rheinland-Pfalz GmbH</t>
        </is>
      </c>
      <c r="G542" t="inlineStr">
        <is>
          <t>profit_anchor</t>
        </is>
      </c>
      <c r="H542" t="inlineStr">
        <is>
          <t>culture_foundation_anchor</t>
        </is>
      </c>
      <c r="I542" t="n">
        <v>30</v>
      </c>
      <c r="J542" t="n">
        <v>0</v>
      </c>
      <c r="K542" t="n">
        <v>0.03846154</v>
      </c>
      <c r="L542" t="n">
        <v>0.02040816</v>
      </c>
      <c r="M542" t="n">
        <v>0.0588697</v>
      </c>
      <c r="N542" t="n">
        <v>0.75794741</v>
      </c>
      <c r="O542" t="n">
        <v>22.738422</v>
      </c>
      <c r="P542" t="n">
        <v>0.08333333</v>
      </c>
      <c r="Q542" t="n">
        <v>0.33333333</v>
      </c>
      <c r="R542" t="n">
        <v>0.41666667</v>
      </c>
      <c r="S542" t="n">
        <v>1.34114583</v>
      </c>
      <c r="T542" t="n">
        <v>1.00822518</v>
      </c>
      <c r="U542" t="n">
        <v>30.246755</v>
      </c>
      <c r="V542" t="b">
        <v>0</v>
      </c>
      <c r="W542" t="n">
        <v>0</v>
      </c>
      <c r="X542" t="inlineStr">
        <is>
          <t>role_subrole_balanced_score = base_support_score * capped sqrt(avg_macro_multiplier * avg_subrole_multiplier); role/subrole quota constraints use inverse weights.</t>
        </is>
      </c>
    </row>
    <row r="543">
      <c r="A543" t="inlineStr">
        <is>
          <t>C0542</t>
        </is>
      </c>
      <c r="B543" t="inlineStr">
        <is>
          <t>x_0542</t>
        </is>
      </c>
      <c r="C543" t="inlineStr">
        <is>
          <t>LOTTO Rheinland-Pfalz GmbH</t>
        </is>
      </c>
      <c r="D543" t="inlineStr">
        <is>
          <t>profit_anchor</t>
        </is>
      </c>
      <c r="E543" t="inlineStr">
        <is>
          <t>culture_foundation_anchor</t>
        </is>
      </c>
      <c r="F543" t="inlineStr">
        <is>
          <t>RPR1.</t>
        </is>
      </c>
      <c r="G543" t="inlineStr">
        <is>
          <t>context_actor</t>
        </is>
      </c>
      <c r="H543" t="inlineStr">
        <is>
          <t>media_publicity_anchor</t>
        </is>
      </c>
      <c r="I543" t="n">
        <v>30</v>
      </c>
      <c r="J543" t="n">
        <v>0</v>
      </c>
      <c r="K543" t="n">
        <v>0.02040816</v>
      </c>
      <c r="L543" t="n">
        <v>0.03846154</v>
      </c>
      <c r="M543" t="n">
        <v>0.0588697</v>
      </c>
      <c r="N543" t="n">
        <v>0.75794741</v>
      </c>
      <c r="O543" t="n">
        <v>22.738422</v>
      </c>
      <c r="P543" t="n">
        <v>0.33333333</v>
      </c>
      <c r="Q543" t="n">
        <v>0.33333333</v>
      </c>
      <c r="R543" t="n">
        <v>0.66666667</v>
      </c>
      <c r="S543" t="n">
        <v>2.14583333</v>
      </c>
      <c r="T543" t="n">
        <v>1.27531518</v>
      </c>
      <c r="U543" t="n">
        <v>38.259455</v>
      </c>
      <c r="V543" t="b">
        <v>0</v>
      </c>
      <c r="W543" t="n">
        <v>0</v>
      </c>
      <c r="X543" t="inlineStr">
        <is>
          <t>role_subrole_balanced_score = base_support_score * capped sqrt(avg_macro_multiplier * avg_subrole_multiplier); role/subrole quota constraints use inverse weights.</t>
        </is>
      </c>
    </row>
    <row r="544">
      <c r="A544" t="inlineStr">
        <is>
          <t>C0543</t>
        </is>
      </c>
      <c r="B544" t="inlineStr">
        <is>
          <t>x_0543</t>
        </is>
      </c>
      <c r="C544" t="inlineStr">
        <is>
          <t>LOTTO Rheinland-Pfalz GmbH</t>
        </is>
      </c>
      <c r="D544" t="inlineStr">
        <is>
          <t>profit_anchor</t>
        </is>
      </c>
      <c r="E544" t="inlineStr">
        <is>
          <t>culture_foundation_anchor</t>
        </is>
      </c>
      <c r="F544" t="inlineStr">
        <is>
          <t>Techniker Krankenkasse</t>
        </is>
      </c>
      <c r="G544" t="inlineStr">
        <is>
          <t>context_actor</t>
        </is>
      </c>
      <c r="H544" t="inlineStr">
        <is>
          <t>health_social_anchor</t>
        </is>
      </c>
      <c r="I544" t="n">
        <v>30</v>
      </c>
      <c r="J544" t="n">
        <v>0</v>
      </c>
      <c r="K544" t="n">
        <v>0.02040816</v>
      </c>
      <c r="L544" t="n">
        <v>0.03846154</v>
      </c>
      <c r="M544" t="n">
        <v>0.0588697</v>
      </c>
      <c r="N544" t="n">
        <v>0.75794741</v>
      </c>
      <c r="O544" t="n">
        <v>22.738422</v>
      </c>
      <c r="P544" t="n">
        <v>0.33333333</v>
      </c>
      <c r="Q544" t="n">
        <v>0.08333333</v>
      </c>
      <c r="R544" t="n">
        <v>0.41666667</v>
      </c>
      <c r="S544" t="n">
        <v>1.34114583</v>
      </c>
      <c r="T544" t="n">
        <v>1.00822518</v>
      </c>
      <c r="U544" t="n">
        <v>30.246755</v>
      </c>
      <c r="V544" t="b">
        <v>0</v>
      </c>
      <c r="W544" t="n">
        <v>0</v>
      </c>
      <c r="X544" t="inlineStr">
        <is>
          <t>role_subrole_balanced_score = base_support_score * capped sqrt(avg_macro_multiplier * avg_subrole_multiplier); role/subrole quota constraints use inverse weights.</t>
        </is>
      </c>
    </row>
    <row r="545">
      <c r="A545" t="inlineStr">
        <is>
          <t>C0544</t>
        </is>
      </c>
      <c r="B545" t="inlineStr">
        <is>
          <t>x_0544</t>
        </is>
      </c>
      <c r="C545" t="inlineStr">
        <is>
          <t>Bitburger Braugruppe GmbH</t>
        </is>
      </c>
      <c r="D545" t="inlineStr">
        <is>
          <t>profit_anchor</t>
        </is>
      </c>
      <c r="E545" t="inlineStr">
        <is>
          <t>food_beverage_consumer_anchor</t>
        </is>
      </c>
      <c r="F545" t="inlineStr">
        <is>
          <t>WHU – Otto Beisheim School of Management</t>
        </is>
      </c>
      <c r="G545" t="inlineStr">
        <is>
          <t>academic_support</t>
        </is>
      </c>
      <c r="H545" t="inlineStr">
        <is>
          <t>university_research</t>
        </is>
      </c>
      <c r="I545" t="n">
        <v>30</v>
      </c>
      <c r="J545" t="n">
        <v>0</v>
      </c>
      <c r="K545" t="n">
        <v>0.02040816</v>
      </c>
      <c r="L545" t="n">
        <v>0.05555556</v>
      </c>
      <c r="M545" t="n">
        <v>0.07596372</v>
      </c>
      <c r="N545" t="n">
        <v>0.97803288</v>
      </c>
      <c r="O545" t="n">
        <v>29.340986</v>
      </c>
      <c r="P545" t="n">
        <v>0.2</v>
      </c>
      <c r="Q545" t="n">
        <v>0.14285714</v>
      </c>
      <c r="R545" t="n">
        <v>0.34285714</v>
      </c>
      <c r="S545" t="n">
        <v>1.10357143</v>
      </c>
      <c r="T545" t="n">
        <v>1.03890767</v>
      </c>
      <c r="U545" t="n">
        <v>31.16723</v>
      </c>
      <c r="V545" t="b">
        <v>1</v>
      </c>
      <c r="W545" t="n">
        <v>1</v>
      </c>
      <c r="X545" t="inlineStr">
        <is>
          <t>role_subrole_balanced_score = base_support_score * capped sqrt(avg_macro_multiplier * avg_subrole_multiplier); role/subrole quota constraints use inverse weights.</t>
        </is>
      </c>
    </row>
    <row r="546">
      <c r="A546" t="inlineStr">
        <is>
          <t>C0545</t>
        </is>
      </c>
      <c r="B546" t="inlineStr">
        <is>
          <t>x_0545</t>
        </is>
      </c>
      <c r="C546" t="inlineStr">
        <is>
          <t>Continental Automotive Technologies GmbH, Safety and Motion (SAM), Standort Rheinböllen</t>
        </is>
      </c>
      <c r="D546" t="inlineStr">
        <is>
          <t>profit_anchor</t>
        </is>
      </c>
      <c r="E546" t="inlineStr">
        <is>
          <t>industry_anchor</t>
        </is>
      </c>
      <c r="F546" t="inlineStr">
        <is>
          <t>WHU – Otto Beisheim School of Management</t>
        </is>
      </c>
      <c r="G546" t="inlineStr">
        <is>
          <t>academic_support</t>
        </is>
      </c>
      <c r="H546" t="inlineStr">
        <is>
          <t>university_research</t>
        </is>
      </c>
      <c r="I546" t="n">
        <v>30</v>
      </c>
      <c r="J546" t="n">
        <v>0</v>
      </c>
      <c r="K546" t="n">
        <v>0.02040816</v>
      </c>
      <c r="L546" t="n">
        <v>0.05555556</v>
      </c>
      <c r="M546" t="n">
        <v>0.07596372</v>
      </c>
      <c r="N546" t="n">
        <v>0.97803288</v>
      </c>
      <c r="O546" t="n">
        <v>29.340986</v>
      </c>
      <c r="P546" t="n">
        <v>0.09090909</v>
      </c>
      <c r="Q546" t="n">
        <v>0.14285714</v>
      </c>
      <c r="R546" t="n">
        <v>0.23376623</v>
      </c>
      <c r="S546" t="n">
        <v>0.75243506</v>
      </c>
      <c r="T546" t="n">
        <v>0.85784977</v>
      </c>
      <c r="U546" t="n">
        <v>25.735493</v>
      </c>
      <c r="V546" t="b">
        <v>1</v>
      </c>
      <c r="W546" t="n">
        <v>1</v>
      </c>
      <c r="X546" t="inlineStr">
        <is>
          <t>role_subrole_balanced_score = base_support_score * capped sqrt(avg_macro_multiplier * avg_subrole_multiplier); role/subrole quota constraints use inverse weights.</t>
        </is>
      </c>
    </row>
    <row r="547">
      <c r="A547" t="inlineStr">
        <is>
          <t>C0546</t>
        </is>
      </c>
      <c r="B547" t="inlineStr">
        <is>
          <t>x_0546</t>
        </is>
      </c>
      <c r="C547" t="inlineStr">
        <is>
          <t>Debeka Versicherungsgruppe</t>
        </is>
      </c>
      <c r="D547" t="inlineStr">
        <is>
          <t>profit_anchor</t>
        </is>
      </c>
      <c r="E547" t="inlineStr">
        <is>
          <t>bank_finance_anchor</t>
        </is>
      </c>
      <c r="F547" t="inlineStr">
        <is>
          <t>WHU – Otto Beisheim School of Management</t>
        </is>
      </c>
      <c r="G547" t="inlineStr">
        <is>
          <t>academic_support</t>
        </is>
      </c>
      <c r="H547" t="inlineStr">
        <is>
          <t>university_research</t>
        </is>
      </c>
      <c r="I547" t="n">
        <v>30</v>
      </c>
      <c r="J547" t="n">
        <v>0</v>
      </c>
      <c r="K547" t="n">
        <v>0.02040816</v>
      </c>
      <c r="L547" t="n">
        <v>0.05555556</v>
      </c>
      <c r="M547" t="n">
        <v>0.07596372</v>
      </c>
      <c r="N547" t="n">
        <v>0.97803288</v>
      </c>
      <c r="O547" t="n">
        <v>29.340986</v>
      </c>
      <c r="P547" t="n">
        <v>0.14285714</v>
      </c>
      <c r="Q547" t="n">
        <v>0.14285714</v>
      </c>
      <c r="R547" t="n">
        <v>0.28571429</v>
      </c>
      <c r="S547" t="n">
        <v>0.91964286</v>
      </c>
      <c r="T547" t="n">
        <v>0.94838861</v>
      </c>
      <c r="U547" t="n">
        <v>28.451658</v>
      </c>
      <c r="V547" t="b">
        <v>1</v>
      </c>
      <c r="W547" t="n">
        <v>1</v>
      </c>
      <c r="X547" t="inlineStr">
        <is>
          <t>role_subrole_balanced_score = base_support_score * capped sqrt(avg_macro_multiplier * avg_subrole_multiplier); role/subrole quota constraints use inverse weights.</t>
        </is>
      </c>
    </row>
    <row r="548">
      <c r="A548" t="inlineStr">
        <is>
          <t>C0547</t>
        </is>
      </c>
      <c r="B548" t="inlineStr">
        <is>
          <t>x_0547</t>
        </is>
      </c>
      <c r="C548" t="inlineStr">
        <is>
          <t>Eckes-Granini Deutschland GmbH</t>
        </is>
      </c>
      <c r="D548" t="inlineStr">
        <is>
          <t>profit_anchor</t>
        </is>
      </c>
      <c r="E548" t="inlineStr">
        <is>
          <t>food_beverage_consumer_anchor</t>
        </is>
      </c>
      <c r="F548" t="inlineStr">
        <is>
          <t>WHU – Otto Beisheim School of Management</t>
        </is>
      </c>
      <c r="G548" t="inlineStr">
        <is>
          <t>academic_support</t>
        </is>
      </c>
      <c r="H548" t="inlineStr">
        <is>
          <t>university_research</t>
        </is>
      </c>
      <c r="I548" t="n">
        <v>30</v>
      </c>
      <c r="J548" t="n">
        <v>0</v>
      </c>
      <c r="K548" t="n">
        <v>0.02040816</v>
      </c>
      <c r="L548" t="n">
        <v>0.05555556</v>
      </c>
      <c r="M548" t="n">
        <v>0.07596372</v>
      </c>
      <c r="N548" t="n">
        <v>0.97803288</v>
      </c>
      <c r="O548" t="n">
        <v>29.340986</v>
      </c>
      <c r="P548" t="n">
        <v>0.2</v>
      </c>
      <c r="Q548" t="n">
        <v>0.14285714</v>
      </c>
      <c r="R548" t="n">
        <v>0.34285714</v>
      </c>
      <c r="S548" t="n">
        <v>1.10357143</v>
      </c>
      <c r="T548" t="n">
        <v>1.03890767</v>
      </c>
      <c r="U548" t="n">
        <v>31.16723</v>
      </c>
      <c r="V548" t="b">
        <v>1</v>
      </c>
      <c r="W548" t="n">
        <v>1</v>
      </c>
      <c r="X548" t="inlineStr">
        <is>
          <t>role_subrole_balanced_score = base_support_score * capped sqrt(avg_macro_multiplier * avg_subrole_multiplier); role/subrole quota constraints use inverse weights.</t>
        </is>
      </c>
    </row>
    <row r="549">
      <c r="A549" t="inlineStr">
        <is>
          <t>C0548</t>
        </is>
      </c>
      <c r="B549" t="inlineStr">
        <is>
          <t>x_0548</t>
        </is>
      </c>
      <c r="C549" t="inlineStr">
        <is>
          <t>Ernst &amp; Young GmbH</t>
        </is>
      </c>
      <c r="D549" t="inlineStr">
        <is>
          <t>profit_anchor</t>
        </is>
      </c>
      <c r="E549" t="inlineStr">
        <is>
          <t>professional_services_anchor</t>
        </is>
      </c>
      <c r="F549" t="inlineStr">
        <is>
          <t>WHU – Otto Beisheim School of Management</t>
        </is>
      </c>
      <c r="G549" t="inlineStr">
        <is>
          <t>academic_support</t>
        </is>
      </c>
      <c r="H549" t="inlineStr">
        <is>
          <t>university_research</t>
        </is>
      </c>
      <c r="I549" t="n">
        <v>30</v>
      </c>
      <c r="J549" t="n">
        <v>0</v>
      </c>
      <c r="K549" t="n">
        <v>0.02040816</v>
      </c>
      <c r="L549" t="n">
        <v>0.05555556</v>
      </c>
      <c r="M549" t="n">
        <v>0.07596372</v>
      </c>
      <c r="N549" t="n">
        <v>0.97803288</v>
      </c>
      <c r="O549" t="n">
        <v>29.340986</v>
      </c>
      <c r="P549" t="n">
        <v>0.2</v>
      </c>
      <c r="Q549" t="n">
        <v>0.14285714</v>
      </c>
      <c r="R549" t="n">
        <v>0.34285714</v>
      </c>
      <c r="S549" t="n">
        <v>1.10357143</v>
      </c>
      <c r="T549" t="n">
        <v>1.03890767</v>
      </c>
      <c r="U549" t="n">
        <v>31.16723</v>
      </c>
      <c r="V549" t="b">
        <v>1</v>
      </c>
      <c r="W549" t="n">
        <v>1</v>
      </c>
      <c r="X549" t="inlineStr">
        <is>
          <t>role_subrole_balanced_score = base_support_score * capped sqrt(avg_macro_multiplier * avg_subrole_multiplier); role/subrole quota constraints use inverse weights.</t>
        </is>
      </c>
    </row>
    <row r="550">
      <c r="A550" t="inlineStr">
        <is>
          <t>C0549</t>
        </is>
      </c>
      <c r="B550" t="inlineStr">
        <is>
          <t>x_0549</t>
        </is>
      </c>
      <c r="C550" t="inlineStr">
        <is>
          <t>GLOBUS Markthallen Holding GmbH &amp; Co. KG</t>
        </is>
      </c>
      <c r="D550" t="inlineStr">
        <is>
          <t>profit_anchor</t>
        </is>
      </c>
      <c r="E550" t="inlineStr">
        <is>
          <t>food_beverage_consumer_anchor</t>
        </is>
      </c>
      <c r="F550" t="inlineStr">
        <is>
          <t>WHU – Otto Beisheim School of Management</t>
        </is>
      </c>
      <c r="G550" t="inlineStr">
        <is>
          <t>academic_support</t>
        </is>
      </c>
      <c r="H550" t="inlineStr">
        <is>
          <t>university_research</t>
        </is>
      </c>
      <c r="I550" t="n">
        <v>30</v>
      </c>
      <c r="J550" t="n">
        <v>0</v>
      </c>
      <c r="K550" t="n">
        <v>0.02040816</v>
      </c>
      <c r="L550" t="n">
        <v>0.05555556</v>
      </c>
      <c r="M550" t="n">
        <v>0.07596372</v>
      </c>
      <c r="N550" t="n">
        <v>0.97803288</v>
      </c>
      <c r="O550" t="n">
        <v>29.340986</v>
      </c>
      <c r="P550" t="n">
        <v>0.2</v>
      </c>
      <c r="Q550" t="n">
        <v>0.14285714</v>
      </c>
      <c r="R550" t="n">
        <v>0.34285714</v>
      </c>
      <c r="S550" t="n">
        <v>1.10357143</v>
      </c>
      <c r="T550" t="n">
        <v>1.03890767</v>
      </c>
      <c r="U550" t="n">
        <v>31.16723</v>
      </c>
      <c r="V550" t="b">
        <v>1</v>
      </c>
      <c r="W550" t="n">
        <v>1</v>
      </c>
      <c r="X550" t="inlineStr">
        <is>
          <t>role_subrole_balanced_score = base_support_score * capped sqrt(avg_macro_multiplier * avg_subrole_multiplier); role/subrole quota constraints use inverse weights.</t>
        </is>
      </c>
    </row>
    <row r="551">
      <c r="A551" t="inlineStr">
        <is>
          <t>C0550</t>
        </is>
      </c>
      <c r="B551" t="inlineStr">
        <is>
          <t>x_0550</t>
        </is>
      </c>
      <c r="C551" t="inlineStr">
        <is>
          <t>Barmherzige Brüder Trier gGmbH</t>
        </is>
      </c>
      <c r="D551" t="inlineStr">
        <is>
          <t>context_actor</t>
        </is>
      </c>
      <c r="E551" t="inlineStr">
        <is>
          <t>health_social_anchor</t>
        </is>
      </c>
      <c r="F551" t="inlineStr">
        <is>
          <t>Leonardo PersonalKonzept GmbH</t>
        </is>
      </c>
      <c r="G551" t="inlineStr">
        <is>
          <t>profit_anchor</t>
        </is>
      </c>
      <c r="H551" t="inlineStr">
        <is>
          <t>professional_services_anchor</t>
        </is>
      </c>
      <c r="I551" t="n">
        <v>30</v>
      </c>
      <c r="J551" t="n">
        <v>0</v>
      </c>
      <c r="K551" t="n">
        <v>0.03846154</v>
      </c>
      <c r="L551" t="n">
        <v>0.02040816</v>
      </c>
      <c r="M551" t="n">
        <v>0.0588697</v>
      </c>
      <c r="N551" t="n">
        <v>0.75794741</v>
      </c>
      <c r="O551" t="n">
        <v>22.738422</v>
      </c>
      <c r="P551" t="n">
        <v>0.08333333</v>
      </c>
      <c r="Q551" t="n">
        <v>0.2</v>
      </c>
      <c r="R551" t="n">
        <v>0.28333333</v>
      </c>
      <c r="S551" t="n">
        <v>0.91197917</v>
      </c>
      <c r="T551" t="n">
        <v>0.83140378</v>
      </c>
      <c r="U551" t="n">
        <v>24.942113</v>
      </c>
      <c r="V551" t="b">
        <v>0</v>
      </c>
      <c r="W551" t="n">
        <v>0</v>
      </c>
      <c r="X551" t="inlineStr">
        <is>
          <t>role_subrole_balanced_score = base_support_score * capped sqrt(avg_macro_multiplier * avg_subrole_multiplier); role/subrole quota constraints use inverse weights.</t>
        </is>
      </c>
    </row>
    <row r="552">
      <c r="A552" t="inlineStr">
        <is>
          <t>C0551</t>
        </is>
      </c>
      <c r="B552" t="inlineStr">
        <is>
          <t>x_0551</t>
        </is>
      </c>
      <c r="C552" t="inlineStr">
        <is>
          <t>Deutscher Gewerkschaftsbund (DGB) Rheinland-Pfalz/Saarland</t>
        </is>
      </c>
      <c r="D552" t="inlineStr">
        <is>
          <t>context_actor</t>
        </is>
      </c>
      <c r="E552" t="inlineStr">
        <is>
          <t>chamber_association_anchor</t>
        </is>
      </c>
      <c r="F552" t="inlineStr">
        <is>
          <t>Leonardo PersonalKonzept GmbH</t>
        </is>
      </c>
      <c r="G552" t="inlineStr">
        <is>
          <t>profit_anchor</t>
        </is>
      </c>
      <c r="H552" t="inlineStr">
        <is>
          <t>professional_services_anchor</t>
        </is>
      </c>
      <c r="I552" t="n">
        <v>30</v>
      </c>
      <c r="J552" t="n">
        <v>0</v>
      </c>
      <c r="K552" t="n">
        <v>0.03846154</v>
      </c>
      <c r="L552" t="n">
        <v>0.02040816</v>
      </c>
      <c r="M552" t="n">
        <v>0.0588697</v>
      </c>
      <c r="N552" t="n">
        <v>0.75794741</v>
      </c>
      <c r="O552" t="n">
        <v>22.738422</v>
      </c>
      <c r="P552" t="n">
        <v>0.25</v>
      </c>
      <c r="Q552" t="n">
        <v>0.2</v>
      </c>
      <c r="R552" t="n">
        <v>0.45</v>
      </c>
      <c r="S552" t="n">
        <v>1.4484375</v>
      </c>
      <c r="T552" t="n">
        <v>1.04777834</v>
      </c>
      <c r="U552" t="n">
        <v>31.43335</v>
      </c>
      <c r="V552" t="b">
        <v>0</v>
      </c>
      <c r="W552" t="n">
        <v>0</v>
      </c>
      <c r="X552" t="inlineStr">
        <is>
          <t>role_subrole_balanced_score = base_support_score * capped sqrt(avg_macro_multiplier * avg_subrole_multiplier); role/subrole quota constraints use inverse weights.</t>
        </is>
      </c>
    </row>
    <row r="553">
      <c r="A553" t="inlineStr">
        <is>
          <t>C0552</t>
        </is>
      </c>
      <c r="B553" t="inlineStr">
        <is>
          <t>x_0552</t>
        </is>
      </c>
      <c r="C553" t="inlineStr">
        <is>
          <t>Evangelische Kirche der Pfalz</t>
        </is>
      </c>
      <c r="D553" t="inlineStr">
        <is>
          <t>context_actor</t>
        </is>
      </c>
      <c r="E553" t="inlineStr">
        <is>
          <t>culture_foundation_anchor</t>
        </is>
      </c>
      <c r="F553" t="inlineStr">
        <is>
          <t>Leonardo PersonalKonzept GmbH</t>
        </is>
      </c>
      <c r="G553" t="inlineStr">
        <is>
          <t>profit_anchor</t>
        </is>
      </c>
      <c r="H553" t="inlineStr">
        <is>
          <t>professional_services_anchor</t>
        </is>
      </c>
      <c r="I553" t="n">
        <v>30</v>
      </c>
      <c r="J553" t="n">
        <v>0</v>
      </c>
      <c r="K553" t="n">
        <v>0.03846154</v>
      </c>
      <c r="L553" t="n">
        <v>0.02040816</v>
      </c>
      <c r="M553" t="n">
        <v>0.0588697</v>
      </c>
      <c r="N553" t="n">
        <v>0.75794741</v>
      </c>
      <c r="O553" t="n">
        <v>22.738422</v>
      </c>
      <c r="P553" t="n">
        <v>0.33333333</v>
      </c>
      <c r="Q553" t="n">
        <v>0.2</v>
      </c>
      <c r="R553" t="n">
        <v>0.53333333</v>
      </c>
      <c r="S553" t="n">
        <v>1.71666667</v>
      </c>
      <c r="T553" t="n">
        <v>1.14067658</v>
      </c>
      <c r="U553" t="n">
        <v>34.220297</v>
      </c>
      <c r="V553" t="b">
        <v>0</v>
      </c>
      <c r="W553" t="n">
        <v>0</v>
      </c>
      <c r="X553" t="inlineStr">
        <is>
          <t>role_subrole_balanced_score = base_support_score * capped sqrt(avg_macro_multiplier * avg_subrole_multiplier); role/subrole quota constraints use inverse weights.</t>
        </is>
      </c>
    </row>
    <row r="554">
      <c r="A554" t="inlineStr">
        <is>
          <t>C0553</t>
        </is>
      </c>
      <c r="B554" t="inlineStr">
        <is>
          <t>x_0553</t>
        </is>
      </c>
      <c r="C554" t="inlineStr">
        <is>
          <t>GLOBUS Markthallen Holding GmbH &amp; Co. KG</t>
        </is>
      </c>
      <c r="D554" t="inlineStr">
        <is>
          <t>profit_anchor</t>
        </is>
      </c>
      <c r="E554" t="inlineStr">
        <is>
          <t>food_beverage_consumer_anchor</t>
        </is>
      </c>
      <c r="F554" t="inlineStr">
        <is>
          <t>JOBS FOR MOMS UG</t>
        </is>
      </c>
      <c r="G554" t="inlineStr">
        <is>
          <t>context_actor</t>
        </is>
      </c>
      <c r="H554" t="inlineStr">
        <is>
          <t>professional_services_anchor</t>
        </is>
      </c>
      <c r="I554" t="n">
        <v>30</v>
      </c>
      <c r="J554" t="n">
        <v>0</v>
      </c>
      <c r="K554" t="n">
        <v>0.02040816</v>
      </c>
      <c r="L554" t="n">
        <v>0.03846154</v>
      </c>
      <c r="M554" t="n">
        <v>0.0588697</v>
      </c>
      <c r="N554" t="n">
        <v>0.75794741</v>
      </c>
      <c r="O554" t="n">
        <v>22.738422</v>
      </c>
      <c r="P554" t="n">
        <v>0.2</v>
      </c>
      <c r="Q554" t="n">
        <v>0.2</v>
      </c>
      <c r="R554" t="n">
        <v>0.4</v>
      </c>
      <c r="S554" t="n">
        <v>1.2875</v>
      </c>
      <c r="T554" t="n">
        <v>0.98785489</v>
      </c>
      <c r="U554" t="n">
        <v>29.635647</v>
      </c>
      <c r="V554" t="b">
        <v>0</v>
      </c>
      <c r="W554" t="n">
        <v>0</v>
      </c>
      <c r="X554" t="inlineStr">
        <is>
          <t>role_subrole_balanced_score = base_support_score * capped sqrt(avg_macro_multiplier * avg_subrole_multiplier); role/subrole quota constraints use inverse weights.</t>
        </is>
      </c>
    </row>
    <row r="555">
      <c r="A555" t="inlineStr">
        <is>
          <t>C0554</t>
        </is>
      </c>
      <c r="B555" t="inlineStr">
        <is>
          <t>x_0554</t>
        </is>
      </c>
      <c r="C555" t="inlineStr">
        <is>
          <t>GLOBUS Markthallen Holding GmbH &amp; Co. KG</t>
        </is>
      </c>
      <c r="D555" t="inlineStr">
        <is>
          <t>profit_anchor</t>
        </is>
      </c>
      <c r="E555" t="inlineStr">
        <is>
          <t>food_beverage_consumer_anchor</t>
        </is>
      </c>
      <c r="F555" t="inlineStr">
        <is>
          <t>in.betrieb gGmbH</t>
        </is>
      </c>
      <c r="G555" t="inlineStr">
        <is>
          <t>context_actor</t>
        </is>
      </c>
      <c r="H555" t="inlineStr">
        <is>
          <t>health_social_anchor</t>
        </is>
      </c>
      <c r="I555" t="n">
        <v>30</v>
      </c>
      <c r="J555" t="n">
        <v>0</v>
      </c>
      <c r="K555" t="n">
        <v>0.02040816</v>
      </c>
      <c r="L555" t="n">
        <v>0.03846154</v>
      </c>
      <c r="M555" t="n">
        <v>0.0588697</v>
      </c>
      <c r="N555" t="n">
        <v>0.75794741</v>
      </c>
      <c r="O555" t="n">
        <v>22.738422</v>
      </c>
      <c r="P555" t="n">
        <v>0.2</v>
      </c>
      <c r="Q555" t="n">
        <v>0.08333333</v>
      </c>
      <c r="R555" t="n">
        <v>0.28333333</v>
      </c>
      <c r="S555" t="n">
        <v>0.91197917</v>
      </c>
      <c r="T555" t="n">
        <v>0.83140378</v>
      </c>
      <c r="U555" t="n">
        <v>24.942113</v>
      </c>
      <c r="V555" t="b">
        <v>0</v>
      </c>
      <c r="W555" t="n">
        <v>0</v>
      </c>
      <c r="X555" t="inlineStr">
        <is>
          <t>role_subrole_balanced_score = base_support_score * capped sqrt(avg_macro_multiplier * avg_subrole_multiplier); role/subrole quota constraints use inverse weights.</t>
        </is>
      </c>
    </row>
    <row r="556">
      <c r="A556" t="inlineStr">
        <is>
          <t>C0555</t>
        </is>
      </c>
      <c r="B556" t="inlineStr">
        <is>
          <t>x_0555</t>
        </is>
      </c>
      <c r="C556" t="inlineStr">
        <is>
          <t>Hochschule für Gesellschaftsgestaltung (HfGG)</t>
        </is>
      </c>
      <c r="D556" t="inlineStr">
        <is>
          <t>academic_support</t>
        </is>
      </c>
      <c r="E556" t="inlineStr">
        <is>
          <t>university_applied_sciences</t>
        </is>
      </c>
      <c r="F556" t="inlineStr">
        <is>
          <t>Leonardo PersonalKonzept GmbH</t>
        </is>
      </c>
      <c r="G556" t="inlineStr">
        <is>
          <t>profit_anchor</t>
        </is>
      </c>
      <c r="H556" t="inlineStr">
        <is>
          <t>professional_services_anchor</t>
        </is>
      </c>
      <c r="I556" t="n">
        <v>30</v>
      </c>
      <c r="J556" t="n">
        <v>0</v>
      </c>
      <c r="K556" t="n">
        <v>0.05555556</v>
      </c>
      <c r="L556" t="n">
        <v>0.02040816</v>
      </c>
      <c r="M556" t="n">
        <v>0.07596372</v>
      </c>
      <c r="N556" t="n">
        <v>0.97803288</v>
      </c>
      <c r="O556" t="n">
        <v>29.340986</v>
      </c>
      <c r="P556" t="n">
        <v>0.09090909</v>
      </c>
      <c r="Q556" t="n">
        <v>0.2</v>
      </c>
      <c r="R556" t="n">
        <v>0.29090909</v>
      </c>
      <c r="S556" t="n">
        <v>0.9363636400000001</v>
      </c>
      <c r="T556" t="n">
        <v>0.95697149</v>
      </c>
      <c r="U556" t="n">
        <v>28.709145</v>
      </c>
      <c r="V556" t="b">
        <v>1</v>
      </c>
      <c r="W556" t="n">
        <v>1</v>
      </c>
      <c r="X556" t="inlineStr">
        <is>
          <t>role_subrole_balanced_score = base_support_score * capped sqrt(avg_macro_multiplier * avg_subrole_multiplier); role/subrole quota constraints use inverse weights.</t>
        </is>
      </c>
    </row>
    <row r="557">
      <c r="A557" t="inlineStr">
        <is>
          <t>C0556</t>
        </is>
      </c>
      <c r="B557" t="inlineStr">
        <is>
          <t>x_0556</t>
        </is>
      </c>
      <c r="C557" t="inlineStr">
        <is>
          <t>Katholische Hochschule Mainz</t>
        </is>
      </c>
      <c r="D557" t="inlineStr">
        <is>
          <t>academic_support</t>
        </is>
      </c>
      <c r="E557" t="inlineStr">
        <is>
          <t>university_applied_sciences</t>
        </is>
      </c>
      <c r="F557" t="inlineStr">
        <is>
          <t>Leonardo PersonalKonzept GmbH</t>
        </is>
      </c>
      <c r="G557" t="inlineStr">
        <is>
          <t>profit_anchor</t>
        </is>
      </c>
      <c r="H557" t="inlineStr">
        <is>
          <t>professional_services_anchor</t>
        </is>
      </c>
      <c r="I557" t="n">
        <v>30</v>
      </c>
      <c r="J557" t="n">
        <v>0</v>
      </c>
      <c r="K557" t="n">
        <v>0.05555556</v>
      </c>
      <c r="L557" t="n">
        <v>0.02040816</v>
      </c>
      <c r="M557" t="n">
        <v>0.07596372</v>
      </c>
      <c r="N557" t="n">
        <v>0.97803288</v>
      </c>
      <c r="O557" t="n">
        <v>29.340986</v>
      </c>
      <c r="P557" t="n">
        <v>0.09090909</v>
      </c>
      <c r="Q557" t="n">
        <v>0.2</v>
      </c>
      <c r="R557" t="n">
        <v>0.29090909</v>
      </c>
      <c r="S557" t="n">
        <v>0.9363636400000001</v>
      </c>
      <c r="T557" t="n">
        <v>0.95697149</v>
      </c>
      <c r="U557" t="n">
        <v>28.709145</v>
      </c>
      <c r="V557" t="b">
        <v>1</v>
      </c>
      <c r="W557" t="n">
        <v>1</v>
      </c>
      <c r="X557" t="inlineStr">
        <is>
          <t>role_subrole_balanced_score = base_support_score * capped sqrt(avg_macro_multiplier * avg_subrole_multiplier); role/subrole quota constraints use inverse weights.</t>
        </is>
      </c>
    </row>
    <row r="558">
      <c r="A558" t="inlineStr">
        <is>
          <t>C0557</t>
        </is>
      </c>
      <c r="B558" t="inlineStr">
        <is>
          <t>x_0557</t>
        </is>
      </c>
      <c r="C558" t="inlineStr">
        <is>
          <t>Leonardo PersonalKonzept GmbH</t>
        </is>
      </c>
      <c r="D558" t="inlineStr">
        <is>
          <t>profit_anchor</t>
        </is>
      </c>
      <c r="E558" t="inlineStr">
        <is>
          <t>professional_services_anchor</t>
        </is>
      </c>
      <c r="F558" t="inlineStr">
        <is>
          <t>Vinzenz Pallotti University gGmbH</t>
        </is>
      </c>
      <c r="G558" t="inlineStr">
        <is>
          <t>academic_support</t>
        </is>
      </c>
      <c r="H558" t="inlineStr">
        <is>
          <t>university_research</t>
        </is>
      </c>
      <c r="I558" t="n">
        <v>30</v>
      </c>
      <c r="J558" t="n">
        <v>0</v>
      </c>
      <c r="K558" t="n">
        <v>0.02040816</v>
      </c>
      <c r="L558" t="n">
        <v>0.05555556</v>
      </c>
      <c r="M558" t="n">
        <v>0.07596372</v>
      </c>
      <c r="N558" t="n">
        <v>0.97803288</v>
      </c>
      <c r="O558" t="n">
        <v>29.340986</v>
      </c>
      <c r="P558" t="n">
        <v>0.2</v>
      </c>
      <c r="Q558" t="n">
        <v>0.14285714</v>
      </c>
      <c r="R558" t="n">
        <v>0.34285714</v>
      </c>
      <c r="S558" t="n">
        <v>1.10357143</v>
      </c>
      <c r="T558" t="n">
        <v>1.03890767</v>
      </c>
      <c r="U558" t="n">
        <v>31.16723</v>
      </c>
      <c r="V558" t="b">
        <v>1</v>
      </c>
      <c r="W558" t="n">
        <v>1</v>
      </c>
      <c r="X558" t="inlineStr">
        <is>
          <t>role_subrole_balanced_score = base_support_score * capped sqrt(avg_macro_multiplier * avg_subrole_multiplier); role/subrole quota constraints use inverse weights.</t>
        </is>
      </c>
    </row>
    <row r="559">
      <c r="A559" t="inlineStr">
        <is>
          <t>C0558</t>
        </is>
      </c>
      <c r="B559" t="inlineStr">
        <is>
          <t>x_0558</t>
        </is>
      </c>
      <c r="C559" t="inlineStr">
        <is>
          <t>Aturas GmbH</t>
        </is>
      </c>
      <c r="D559" t="inlineStr">
        <is>
          <t>profit_anchor</t>
        </is>
      </c>
      <c r="E559" t="inlineStr">
        <is>
          <t>technology_digital_anchor</t>
        </is>
      </c>
      <c r="F559" t="inlineStr">
        <is>
          <t>Universität Koblenz</t>
        </is>
      </c>
      <c r="G559" t="inlineStr">
        <is>
          <t>academic_support</t>
        </is>
      </c>
      <c r="H559" t="inlineStr">
        <is>
          <t>university_research</t>
        </is>
      </c>
      <c r="I559" t="n">
        <v>30</v>
      </c>
      <c r="J559" t="n">
        <v>0</v>
      </c>
      <c r="K559" t="n">
        <v>0.02040816</v>
      </c>
      <c r="L559" t="n">
        <v>0.05555556</v>
      </c>
      <c r="M559" t="n">
        <v>0.07596372</v>
      </c>
      <c r="N559" t="n">
        <v>0.97803288</v>
      </c>
      <c r="O559" t="n">
        <v>29.340986</v>
      </c>
      <c r="P559" t="n">
        <v>0.11111111</v>
      </c>
      <c r="Q559" t="n">
        <v>0.14285714</v>
      </c>
      <c r="R559" t="n">
        <v>0.25396825</v>
      </c>
      <c r="S559" t="n">
        <v>0.81746032</v>
      </c>
      <c r="T559" t="n">
        <v>0.89414935</v>
      </c>
      <c r="U559" t="n">
        <v>26.824481</v>
      </c>
      <c r="V559" t="b">
        <v>1</v>
      </c>
      <c r="W559" t="n">
        <v>1</v>
      </c>
      <c r="X559" t="inlineStr">
        <is>
          <t>role_subrole_balanced_score = base_support_score * capped sqrt(avg_macro_multiplier * avg_subrole_multiplier); role/subrole quota constraints use inverse weights.</t>
        </is>
      </c>
    </row>
    <row r="560">
      <c r="A560" t="inlineStr">
        <is>
          <t>C0559</t>
        </is>
      </c>
      <c r="B560" t="inlineStr">
        <is>
          <t>x_0559</t>
        </is>
      </c>
      <c r="C560" t="inlineStr">
        <is>
          <t>Deutsche Universität für Verwaltungswissenschaften Speyer</t>
        </is>
      </c>
      <c r="D560" t="inlineStr">
        <is>
          <t>academic_support</t>
        </is>
      </c>
      <c r="E560" t="inlineStr">
        <is>
          <t>university_research</t>
        </is>
      </c>
      <c r="F560" t="inlineStr">
        <is>
          <t>Landkreistag Rheinland-Pfalz</t>
        </is>
      </c>
      <c r="G560" t="inlineStr">
        <is>
          <t>context_actor</t>
        </is>
      </c>
      <c r="H560" t="inlineStr">
        <is>
          <t>public_policy_anchor</t>
        </is>
      </c>
      <c r="I560" t="n">
        <v>30</v>
      </c>
      <c r="J560" t="n">
        <v>0</v>
      </c>
      <c r="K560" t="n">
        <v>0.05555556</v>
      </c>
      <c r="L560" t="n">
        <v>0.03846154</v>
      </c>
      <c r="M560" t="n">
        <v>0.09401709</v>
      </c>
      <c r="N560" t="n">
        <v>1.21047009</v>
      </c>
      <c r="O560" t="n">
        <v>36.314103</v>
      </c>
      <c r="P560" t="n">
        <v>0.14285714</v>
      </c>
      <c r="Q560" t="n">
        <v>0.16666667</v>
      </c>
      <c r="R560" t="n">
        <v>0.30952381</v>
      </c>
      <c r="S560" t="n">
        <v>0.99627976</v>
      </c>
      <c r="T560" t="n">
        <v>1.09816522</v>
      </c>
      <c r="U560" t="n">
        <v>32.944957</v>
      </c>
      <c r="V560" t="b">
        <v>1</v>
      </c>
      <c r="W560" t="n">
        <v>1</v>
      </c>
      <c r="X560" t="inlineStr">
        <is>
          <t>role_subrole_balanced_score = base_support_score * capped sqrt(avg_macro_multiplier * avg_subrole_multiplier); role/subrole quota constraints use inverse weights.</t>
        </is>
      </c>
    </row>
    <row r="561">
      <c r="A561" t="inlineStr">
        <is>
          <t>C0560</t>
        </is>
      </c>
      <c r="B561" t="inlineStr">
        <is>
          <t>x_0560</t>
        </is>
      </c>
      <c r="C561" t="inlineStr">
        <is>
          <t>Deutsche Universität für Verwaltungswissenschaften Speyer</t>
        </is>
      </c>
      <c r="D561" t="inlineStr">
        <is>
          <t>academic_support</t>
        </is>
      </c>
      <c r="E561" t="inlineStr">
        <is>
          <t>university_research</t>
        </is>
      </c>
      <c r="F561" t="inlineStr">
        <is>
          <t>Sparkassenverband Rheinland-Pfalz</t>
        </is>
      </c>
      <c r="G561" t="inlineStr">
        <is>
          <t>profit_anchor</t>
        </is>
      </c>
      <c r="H561" t="inlineStr">
        <is>
          <t>bank_finance_anchor</t>
        </is>
      </c>
      <c r="I561" t="n">
        <v>30</v>
      </c>
      <c r="J561" t="n">
        <v>0</v>
      </c>
      <c r="K561" t="n">
        <v>0.05555556</v>
      </c>
      <c r="L561" t="n">
        <v>0.02040816</v>
      </c>
      <c r="M561" t="n">
        <v>0.07596372</v>
      </c>
      <c r="N561" t="n">
        <v>0.97803288</v>
      </c>
      <c r="O561" t="n">
        <v>29.340986</v>
      </c>
      <c r="P561" t="n">
        <v>0.14285714</v>
      </c>
      <c r="Q561" t="n">
        <v>0.14285714</v>
      </c>
      <c r="R561" t="n">
        <v>0.28571429</v>
      </c>
      <c r="S561" t="n">
        <v>0.91964286</v>
      </c>
      <c r="T561" t="n">
        <v>0.94838861</v>
      </c>
      <c r="U561" t="n">
        <v>28.451658</v>
      </c>
      <c r="V561" t="b">
        <v>1</v>
      </c>
      <c r="W561" t="n">
        <v>1</v>
      </c>
      <c r="X561" t="inlineStr">
        <is>
          <t>role_subrole_balanced_score = base_support_score * capped sqrt(avg_macro_multiplier * avg_subrole_multiplier); role/subrole quota constraints use inverse weights.</t>
        </is>
      </c>
    </row>
    <row r="562">
      <c r="A562" t="inlineStr">
        <is>
          <t>C0561</t>
        </is>
      </c>
      <c r="B562" t="inlineStr">
        <is>
          <t>x_0561</t>
        </is>
      </c>
      <c r="C562" t="inlineStr">
        <is>
          <t>Deutsche Universität für Verwaltungswissenschaften Speyer</t>
        </is>
      </c>
      <c r="D562" t="inlineStr">
        <is>
          <t>academic_support</t>
        </is>
      </c>
      <c r="E562" t="inlineStr">
        <is>
          <t>university_research</t>
        </is>
      </c>
      <c r="F562" t="inlineStr">
        <is>
          <t>Staatskanzlei des Landes Rheinland-Pfalz</t>
        </is>
      </c>
      <c r="G562" t="inlineStr">
        <is>
          <t>context_actor</t>
        </is>
      </c>
      <c r="H562" t="inlineStr">
        <is>
          <t>public_policy_anchor</t>
        </is>
      </c>
      <c r="I562" t="n">
        <v>30</v>
      </c>
      <c r="J562" t="n">
        <v>0</v>
      </c>
      <c r="K562" t="n">
        <v>0.05555556</v>
      </c>
      <c r="L562" t="n">
        <v>0.03846154</v>
      </c>
      <c r="M562" t="n">
        <v>0.09401709</v>
      </c>
      <c r="N562" t="n">
        <v>1.21047009</v>
      </c>
      <c r="O562" t="n">
        <v>36.314103</v>
      </c>
      <c r="P562" t="n">
        <v>0.14285714</v>
      </c>
      <c r="Q562" t="n">
        <v>0.16666667</v>
      </c>
      <c r="R562" t="n">
        <v>0.30952381</v>
      </c>
      <c r="S562" t="n">
        <v>0.99627976</v>
      </c>
      <c r="T562" t="n">
        <v>1.09816522</v>
      </c>
      <c r="U562" t="n">
        <v>32.944957</v>
      </c>
      <c r="V562" t="b">
        <v>1</v>
      </c>
      <c r="W562" t="n">
        <v>1</v>
      </c>
      <c r="X562" t="inlineStr">
        <is>
          <t>role_subrole_balanced_score = base_support_score * capped sqrt(avg_macro_multiplier * avg_subrole_multiplier); role/subrole quota constraints use inverse weights.</t>
        </is>
      </c>
    </row>
    <row r="563">
      <c r="A563" t="inlineStr">
        <is>
          <t>C0562</t>
        </is>
      </c>
      <c r="B563" t="inlineStr">
        <is>
          <t>x_0562</t>
        </is>
      </c>
      <c r="C563" t="inlineStr">
        <is>
          <t>Deutsche Universität für Verwaltungswissenschaften Speyer</t>
        </is>
      </c>
      <c r="D563" t="inlineStr">
        <is>
          <t>academic_support</t>
        </is>
      </c>
      <c r="E563" t="inlineStr">
        <is>
          <t>university_research</t>
        </is>
      </c>
      <c r="F563" t="inlineStr">
        <is>
          <t>Städtetag Rheinland-Pfalz</t>
        </is>
      </c>
      <c r="G563" t="inlineStr">
        <is>
          <t>context_actor</t>
        </is>
      </c>
      <c r="H563" t="inlineStr">
        <is>
          <t>public_policy_anchor</t>
        </is>
      </c>
      <c r="I563" t="n">
        <v>30</v>
      </c>
      <c r="J563" t="n">
        <v>0</v>
      </c>
      <c r="K563" t="n">
        <v>0.05555556</v>
      </c>
      <c r="L563" t="n">
        <v>0.03846154</v>
      </c>
      <c r="M563" t="n">
        <v>0.09401709</v>
      </c>
      <c r="N563" t="n">
        <v>1.21047009</v>
      </c>
      <c r="O563" t="n">
        <v>36.314103</v>
      </c>
      <c r="P563" t="n">
        <v>0.14285714</v>
      </c>
      <c r="Q563" t="n">
        <v>0.16666667</v>
      </c>
      <c r="R563" t="n">
        <v>0.30952381</v>
      </c>
      <c r="S563" t="n">
        <v>0.99627976</v>
      </c>
      <c r="T563" t="n">
        <v>1.09816522</v>
      </c>
      <c r="U563" t="n">
        <v>32.944957</v>
      </c>
      <c r="V563" t="b">
        <v>1</v>
      </c>
      <c r="W563" t="n">
        <v>1</v>
      </c>
      <c r="X563" t="inlineStr">
        <is>
          <t>role_subrole_balanced_score = base_support_score * capped sqrt(avg_macro_multiplier * avg_subrole_multiplier); role/subrole quota constraints use inverse weights.</t>
        </is>
      </c>
    </row>
    <row r="564">
      <c r="A564" t="inlineStr">
        <is>
          <t>C0563</t>
        </is>
      </c>
      <c r="B564" t="inlineStr">
        <is>
          <t>x_0563</t>
        </is>
      </c>
      <c r="C564" t="inlineStr">
        <is>
          <t>Landkreistag Rheinland-Pfalz</t>
        </is>
      </c>
      <c r="D564" t="inlineStr">
        <is>
          <t>context_actor</t>
        </is>
      </c>
      <c r="E564" t="inlineStr">
        <is>
          <t>public_policy_anchor</t>
        </is>
      </c>
      <c r="F564" t="inlineStr">
        <is>
          <t>Sparkassenverband Rheinland-Pfalz</t>
        </is>
      </c>
      <c r="G564" t="inlineStr">
        <is>
          <t>profit_anchor</t>
        </is>
      </c>
      <c r="H564" t="inlineStr">
        <is>
          <t>bank_finance_anchor</t>
        </is>
      </c>
      <c r="I564" t="n">
        <v>30</v>
      </c>
      <c r="J564" t="n">
        <v>0</v>
      </c>
      <c r="K564" t="n">
        <v>0.03846154</v>
      </c>
      <c r="L564" t="n">
        <v>0.02040816</v>
      </c>
      <c r="M564" t="n">
        <v>0.0588697</v>
      </c>
      <c r="N564" t="n">
        <v>0.75794741</v>
      </c>
      <c r="O564" t="n">
        <v>22.738422</v>
      </c>
      <c r="P564" t="n">
        <v>0.16666667</v>
      </c>
      <c r="Q564" t="n">
        <v>0.14285714</v>
      </c>
      <c r="R564" t="n">
        <v>0.30952381</v>
      </c>
      <c r="S564" t="n">
        <v>0.99627976</v>
      </c>
      <c r="T564" t="n">
        <v>0.86898082</v>
      </c>
      <c r="U564" t="n">
        <v>26.069425</v>
      </c>
      <c r="V564" t="b">
        <v>0</v>
      </c>
      <c r="W564" t="n">
        <v>0</v>
      </c>
      <c r="X564" t="inlineStr">
        <is>
          <t>role_subrole_balanced_score = base_support_score * capped sqrt(avg_macro_multiplier * avg_subrole_multiplier); role/subrole quota constraints use inverse weights.</t>
        </is>
      </c>
    </row>
    <row r="565">
      <c r="A565" t="inlineStr">
        <is>
          <t>C0564</t>
        </is>
      </c>
      <c r="B565" t="inlineStr">
        <is>
          <t>x_0564</t>
        </is>
      </c>
      <c r="C565" t="inlineStr">
        <is>
          <t>Sparkassenverband Rheinland-Pfalz</t>
        </is>
      </c>
      <c r="D565" t="inlineStr">
        <is>
          <t>profit_anchor</t>
        </is>
      </c>
      <c r="E565" t="inlineStr">
        <is>
          <t>bank_finance_anchor</t>
        </is>
      </c>
      <c r="F565" t="inlineStr">
        <is>
          <t>Staatskanzlei des Landes Rheinland-Pfalz</t>
        </is>
      </c>
      <c r="G565" t="inlineStr">
        <is>
          <t>context_actor</t>
        </is>
      </c>
      <c r="H565" t="inlineStr">
        <is>
          <t>public_policy_anchor</t>
        </is>
      </c>
      <c r="I565" t="n">
        <v>30</v>
      </c>
      <c r="J565" t="n">
        <v>0</v>
      </c>
      <c r="K565" t="n">
        <v>0.02040816</v>
      </c>
      <c r="L565" t="n">
        <v>0.03846154</v>
      </c>
      <c r="M565" t="n">
        <v>0.0588697</v>
      </c>
      <c r="N565" t="n">
        <v>0.75794741</v>
      </c>
      <c r="O565" t="n">
        <v>22.738422</v>
      </c>
      <c r="P565" t="n">
        <v>0.14285714</v>
      </c>
      <c r="Q565" t="n">
        <v>0.16666667</v>
      </c>
      <c r="R565" t="n">
        <v>0.30952381</v>
      </c>
      <c r="S565" t="n">
        <v>0.99627976</v>
      </c>
      <c r="T565" t="n">
        <v>0.86898082</v>
      </c>
      <c r="U565" t="n">
        <v>26.069425</v>
      </c>
      <c r="V565" t="b">
        <v>0</v>
      </c>
      <c r="W565" t="n">
        <v>0</v>
      </c>
      <c r="X565" t="inlineStr">
        <is>
          <t>role_subrole_balanced_score = base_support_score * capped sqrt(avg_macro_multiplier * avg_subrole_multiplier); role/subrole quota constraints use inverse weights.</t>
        </is>
      </c>
    </row>
    <row r="566">
      <c r="A566" t="inlineStr">
        <is>
          <t>C0565</t>
        </is>
      </c>
      <c r="B566" t="inlineStr">
        <is>
          <t>x_0565</t>
        </is>
      </c>
      <c r="C566" t="inlineStr">
        <is>
          <t>Sparkassenverband Rheinland-Pfalz</t>
        </is>
      </c>
      <c r="D566" t="inlineStr">
        <is>
          <t>profit_anchor</t>
        </is>
      </c>
      <c r="E566" t="inlineStr">
        <is>
          <t>bank_finance_anchor</t>
        </is>
      </c>
      <c r="F566" t="inlineStr">
        <is>
          <t>Städtetag Rheinland-Pfalz</t>
        </is>
      </c>
      <c r="G566" t="inlineStr">
        <is>
          <t>context_actor</t>
        </is>
      </c>
      <c r="H566" t="inlineStr">
        <is>
          <t>public_policy_anchor</t>
        </is>
      </c>
      <c r="I566" t="n">
        <v>30</v>
      </c>
      <c r="J566" t="n">
        <v>0</v>
      </c>
      <c r="K566" t="n">
        <v>0.02040816</v>
      </c>
      <c r="L566" t="n">
        <v>0.03846154</v>
      </c>
      <c r="M566" t="n">
        <v>0.0588697</v>
      </c>
      <c r="N566" t="n">
        <v>0.75794741</v>
      </c>
      <c r="O566" t="n">
        <v>22.738422</v>
      </c>
      <c r="P566" t="n">
        <v>0.14285714</v>
      </c>
      <c r="Q566" t="n">
        <v>0.16666667</v>
      </c>
      <c r="R566" t="n">
        <v>0.30952381</v>
      </c>
      <c r="S566" t="n">
        <v>0.99627976</v>
      </c>
      <c r="T566" t="n">
        <v>0.86898082</v>
      </c>
      <c r="U566" t="n">
        <v>26.069425</v>
      </c>
      <c r="V566" t="b">
        <v>0</v>
      </c>
      <c r="W566" t="n">
        <v>0</v>
      </c>
      <c r="X566" t="inlineStr">
        <is>
          <t>role_subrole_balanced_score = base_support_score * capped sqrt(avg_macro_multiplier * avg_subrole_multiplier); role/subrole quota constraints use inverse weights.</t>
        </is>
      </c>
    </row>
    <row r="567">
      <c r="A567" t="inlineStr">
        <is>
          <t>C0566</t>
        </is>
      </c>
      <c r="B567" t="inlineStr">
        <is>
          <t>x_0566</t>
        </is>
      </c>
      <c r="C567" t="inlineStr">
        <is>
          <t>Hochschule Trier</t>
        </is>
      </c>
      <c r="D567" t="inlineStr">
        <is>
          <t>academic_support</t>
        </is>
      </c>
      <c r="E567" t="inlineStr">
        <is>
          <t>university_applied_sciences</t>
        </is>
      </c>
      <c r="F567" t="inlineStr">
        <is>
          <t>Mainzer Stadtwerke AG</t>
        </is>
      </c>
      <c r="G567" t="inlineStr">
        <is>
          <t>profit_anchor</t>
        </is>
      </c>
      <c r="H567" t="inlineStr">
        <is>
          <t>energy_infrastructure_anchor</t>
        </is>
      </c>
      <c r="I567" t="n">
        <v>30</v>
      </c>
      <c r="J567" t="n">
        <v>0</v>
      </c>
      <c r="K567" t="n">
        <v>0.05555556</v>
      </c>
      <c r="L567" t="n">
        <v>0.02040816</v>
      </c>
      <c r="M567" t="n">
        <v>0.07596372</v>
      </c>
      <c r="N567" t="n">
        <v>0.97803288</v>
      </c>
      <c r="O567" t="n">
        <v>29.340986</v>
      </c>
      <c r="P567" t="n">
        <v>0.09090909</v>
      </c>
      <c r="Q567" t="n">
        <v>0.11111111</v>
      </c>
      <c r="R567" t="n">
        <v>0.2020202</v>
      </c>
      <c r="S567" t="n">
        <v>0.6502525300000001</v>
      </c>
      <c r="T567" t="n">
        <v>0.7974762399999999</v>
      </c>
      <c r="U567" t="n">
        <v>23.924287</v>
      </c>
      <c r="V567" t="b">
        <v>1</v>
      </c>
      <c r="W567" t="n">
        <v>1</v>
      </c>
      <c r="X567" t="inlineStr">
        <is>
          <t>role_subrole_balanced_score = base_support_score * capped sqrt(avg_macro_multiplier * avg_subrole_multiplier); role/subrole quota constraints use inverse weights.</t>
        </is>
      </c>
    </row>
    <row r="568">
      <c r="A568" t="inlineStr">
        <is>
          <t>C0567</t>
        </is>
      </c>
      <c r="B568" t="inlineStr">
        <is>
          <t>x_0567</t>
        </is>
      </c>
      <c r="C568" t="inlineStr">
        <is>
          <t>Duale Hochschule Rheinland-Pfalz</t>
        </is>
      </c>
      <c r="D568" t="inlineStr">
        <is>
          <t>academic_support</t>
        </is>
      </c>
      <c r="E568" t="inlineStr">
        <is>
          <t>university_applied_sciences</t>
        </is>
      </c>
      <c r="F568" t="inlineStr">
        <is>
          <t>GLOBUS Markthallen Holding GmbH &amp; Co. KG</t>
        </is>
      </c>
      <c r="G568" t="inlineStr">
        <is>
          <t>profit_anchor</t>
        </is>
      </c>
      <c r="H568" t="inlineStr">
        <is>
          <t>food_beverage_consumer_anchor</t>
        </is>
      </c>
      <c r="I568" t="n">
        <v>30</v>
      </c>
      <c r="J568" t="n">
        <v>0</v>
      </c>
      <c r="K568" t="n">
        <v>0.05555556</v>
      </c>
      <c r="L568" t="n">
        <v>0.02040816</v>
      </c>
      <c r="M568" t="n">
        <v>0.07596372</v>
      </c>
      <c r="N568" t="n">
        <v>0.97803288</v>
      </c>
      <c r="O568" t="n">
        <v>29.340986</v>
      </c>
      <c r="P568" t="n">
        <v>0.09090909</v>
      </c>
      <c r="Q568" t="n">
        <v>0.2</v>
      </c>
      <c r="R568" t="n">
        <v>0.29090909</v>
      </c>
      <c r="S568" t="n">
        <v>0.9363636400000001</v>
      </c>
      <c r="T568" t="n">
        <v>0.95697149</v>
      </c>
      <c r="U568" t="n">
        <v>28.709145</v>
      </c>
      <c r="V568" t="b">
        <v>1</v>
      </c>
      <c r="W568" t="n">
        <v>1</v>
      </c>
      <c r="X568" t="inlineStr">
        <is>
          <t>role_subrole_balanced_score = base_support_score * capped sqrt(avg_macro_multiplier * avg_subrole_multiplier); role/subrole quota constraints use inverse weights.</t>
        </is>
      </c>
    </row>
    <row r="569">
      <c r="A569" t="inlineStr">
        <is>
          <t>C0568</t>
        </is>
      </c>
      <c r="B569" t="inlineStr">
        <is>
          <t>x_0568</t>
        </is>
      </c>
      <c r="C569" t="inlineStr">
        <is>
          <t>Duale Hochschule Rheinland-Pfalz</t>
        </is>
      </c>
      <c r="D569" t="inlineStr">
        <is>
          <t>academic_support</t>
        </is>
      </c>
      <c r="E569" t="inlineStr">
        <is>
          <t>university_applied_sciences</t>
        </is>
      </c>
      <c r="F569" t="inlineStr">
        <is>
          <t>Leonardo PersonalKonzept GmbH</t>
        </is>
      </c>
      <c r="G569" t="inlineStr">
        <is>
          <t>profit_anchor</t>
        </is>
      </c>
      <c r="H569" t="inlineStr">
        <is>
          <t>professional_services_anchor</t>
        </is>
      </c>
      <c r="I569" t="n">
        <v>30</v>
      </c>
      <c r="J569" t="n">
        <v>0</v>
      </c>
      <c r="K569" t="n">
        <v>0.05555556</v>
      </c>
      <c r="L569" t="n">
        <v>0.02040816</v>
      </c>
      <c r="M569" t="n">
        <v>0.07596372</v>
      </c>
      <c r="N569" t="n">
        <v>0.97803288</v>
      </c>
      <c r="O569" t="n">
        <v>29.340986</v>
      </c>
      <c r="P569" t="n">
        <v>0.09090909</v>
      </c>
      <c r="Q569" t="n">
        <v>0.2</v>
      </c>
      <c r="R569" t="n">
        <v>0.29090909</v>
      </c>
      <c r="S569" t="n">
        <v>0.9363636400000001</v>
      </c>
      <c r="T569" t="n">
        <v>0.95697149</v>
      </c>
      <c r="U569" t="n">
        <v>28.709145</v>
      </c>
      <c r="V569" t="b">
        <v>1</v>
      </c>
      <c r="W569" t="n">
        <v>1</v>
      </c>
      <c r="X569" t="inlineStr">
        <is>
          <t>role_subrole_balanced_score = base_support_score * capped sqrt(avg_macro_multiplier * avg_subrole_multiplier); role/subrole quota constraints use inverse weights.</t>
        </is>
      </c>
    </row>
    <row r="570">
      <c r="A570" t="inlineStr">
        <is>
          <t>C0569</t>
        </is>
      </c>
      <c r="B570" t="inlineStr">
        <is>
          <t>x_0569</t>
        </is>
      </c>
      <c r="C570" t="inlineStr">
        <is>
          <t>Deutsche Universität für Verwaltungswissenschaften Speyer</t>
        </is>
      </c>
      <c r="D570" t="inlineStr">
        <is>
          <t>academic_support</t>
        </is>
      </c>
      <c r="E570" t="inlineStr">
        <is>
          <t>university_research</t>
        </is>
      </c>
      <c r="F570" t="inlineStr">
        <is>
          <t>Evangelische Kirche der Pfalz</t>
        </is>
      </c>
      <c r="G570" t="inlineStr">
        <is>
          <t>context_actor</t>
        </is>
      </c>
      <c r="H570" t="inlineStr">
        <is>
          <t>culture_foundation_anchor</t>
        </is>
      </c>
      <c r="I570" t="n">
        <v>30</v>
      </c>
      <c r="J570" t="n">
        <v>0</v>
      </c>
      <c r="K570" t="n">
        <v>0.05555556</v>
      </c>
      <c r="L570" t="n">
        <v>0.03846154</v>
      </c>
      <c r="M570" t="n">
        <v>0.09401709</v>
      </c>
      <c r="N570" t="n">
        <v>1.21047009</v>
      </c>
      <c r="O570" t="n">
        <v>36.314103</v>
      </c>
      <c r="P570" t="n">
        <v>0.14285714</v>
      </c>
      <c r="Q570" t="n">
        <v>0.33333333</v>
      </c>
      <c r="R570" t="n">
        <v>0.47619048</v>
      </c>
      <c r="S570" t="n">
        <v>1.5327381</v>
      </c>
      <c r="T570" t="n">
        <v>1.36210631</v>
      </c>
      <c r="U570" t="n">
        <v>40.863189</v>
      </c>
      <c r="V570" t="b">
        <v>1</v>
      </c>
      <c r="W570" t="n">
        <v>1</v>
      </c>
      <c r="X570" t="inlineStr">
        <is>
          <t>role_subrole_balanced_score = base_support_score * capped sqrt(avg_macro_multiplier * avg_subrole_multiplier); role/subrole quota constraints use inverse weights.</t>
        </is>
      </c>
    </row>
    <row r="571">
      <c r="A571" t="inlineStr">
        <is>
          <t>C0570</t>
        </is>
      </c>
      <c r="B571" t="inlineStr">
        <is>
          <t>x_0570</t>
        </is>
      </c>
      <c r="C571" t="inlineStr">
        <is>
          <t>Deutsche Universität für Verwaltungswissenschaften Speyer</t>
        </is>
      </c>
      <c r="D571" t="inlineStr">
        <is>
          <t>academic_support</t>
        </is>
      </c>
      <c r="E571" t="inlineStr">
        <is>
          <t>university_research</t>
        </is>
      </c>
      <c r="F571" t="inlineStr">
        <is>
          <t>SWR – Südwestrundfunk</t>
        </is>
      </c>
      <c r="G571" t="inlineStr">
        <is>
          <t>context_actor</t>
        </is>
      </c>
      <c r="H571" t="inlineStr">
        <is>
          <t>media_publicity_anchor</t>
        </is>
      </c>
      <c r="I571" t="n">
        <v>30</v>
      </c>
      <c r="J571" t="n">
        <v>0</v>
      </c>
      <c r="K571" t="n">
        <v>0.05555556</v>
      </c>
      <c r="L571" t="n">
        <v>0.03846154</v>
      </c>
      <c r="M571" t="n">
        <v>0.09401709</v>
      </c>
      <c r="N571" t="n">
        <v>1.21047009</v>
      </c>
      <c r="O571" t="n">
        <v>36.314103</v>
      </c>
      <c r="P571" t="n">
        <v>0.14285714</v>
      </c>
      <c r="Q571" t="n">
        <v>0.33333333</v>
      </c>
      <c r="R571" t="n">
        <v>0.47619048</v>
      </c>
      <c r="S571" t="n">
        <v>1.5327381</v>
      </c>
      <c r="T571" t="n">
        <v>1.36210631</v>
      </c>
      <c r="U571" t="n">
        <v>40.863189</v>
      </c>
      <c r="V571" t="b">
        <v>1</v>
      </c>
      <c r="W571" t="n">
        <v>1</v>
      </c>
      <c r="X571" t="inlineStr">
        <is>
          <t>role_subrole_balanced_score = base_support_score * capped sqrt(avg_macro_multiplier * avg_subrole_multiplier); role/subrole quota constraints use inverse weights.</t>
        </is>
      </c>
    </row>
    <row r="572">
      <c r="A572" t="inlineStr">
        <is>
          <t>C0571</t>
        </is>
      </c>
      <c r="B572" t="inlineStr">
        <is>
          <t>x_0571</t>
        </is>
      </c>
      <c r="C572" t="inlineStr">
        <is>
          <t>Deutsche Universität für Verwaltungswissenschaften Speyer</t>
        </is>
      </c>
      <c r="D572" t="inlineStr">
        <is>
          <t>academic_support</t>
        </is>
      </c>
      <c r="E572" t="inlineStr">
        <is>
          <t>university_research</t>
        </is>
      </c>
      <c r="F572" t="inlineStr">
        <is>
          <t>Staatskanzlei des Landes Rheinland-Pfalz</t>
        </is>
      </c>
      <c r="G572" t="inlineStr">
        <is>
          <t>context_actor</t>
        </is>
      </c>
      <c r="H572" t="inlineStr">
        <is>
          <t>public_policy_anchor</t>
        </is>
      </c>
      <c r="I572" t="n">
        <v>30</v>
      </c>
      <c r="J572" t="n">
        <v>0</v>
      </c>
      <c r="K572" t="n">
        <v>0.05555556</v>
      </c>
      <c r="L572" t="n">
        <v>0.03846154</v>
      </c>
      <c r="M572" t="n">
        <v>0.09401709</v>
      </c>
      <c r="N572" t="n">
        <v>1.21047009</v>
      </c>
      <c r="O572" t="n">
        <v>36.314103</v>
      </c>
      <c r="P572" t="n">
        <v>0.14285714</v>
      </c>
      <c r="Q572" t="n">
        <v>0.16666667</v>
      </c>
      <c r="R572" t="n">
        <v>0.30952381</v>
      </c>
      <c r="S572" t="n">
        <v>0.99627976</v>
      </c>
      <c r="T572" t="n">
        <v>1.09816522</v>
      </c>
      <c r="U572" t="n">
        <v>32.944957</v>
      </c>
      <c r="V572" t="b">
        <v>1</v>
      </c>
      <c r="W572" t="n">
        <v>1</v>
      </c>
      <c r="X572" t="inlineStr">
        <is>
          <t>role_subrole_balanced_score = base_support_score * capped sqrt(avg_macro_multiplier * avg_subrole_multiplier); role/subrole quota constraints use inverse weights.</t>
        </is>
      </c>
    </row>
    <row r="573">
      <c r="A573" t="inlineStr">
        <is>
          <t>C0572</t>
        </is>
      </c>
      <c r="B573" t="inlineStr">
        <is>
          <t>x_0572</t>
        </is>
      </c>
      <c r="C573" t="inlineStr">
        <is>
          <t>Deutsche Universität für Verwaltungswissenschaften Speyer</t>
        </is>
      </c>
      <c r="D573" t="inlineStr">
        <is>
          <t>academic_support</t>
        </is>
      </c>
      <c r="E573" t="inlineStr">
        <is>
          <t>university_research</t>
        </is>
      </c>
      <c r="F573" t="inlineStr">
        <is>
          <t>ZDF – Zweites Deutsches Fernsehen</t>
        </is>
      </c>
      <c r="G573" t="inlineStr">
        <is>
          <t>context_actor</t>
        </is>
      </c>
      <c r="H573" t="inlineStr">
        <is>
          <t>media_publicity_anchor</t>
        </is>
      </c>
      <c r="I573" t="n">
        <v>30</v>
      </c>
      <c r="J573" t="n">
        <v>0</v>
      </c>
      <c r="K573" t="n">
        <v>0.05555556</v>
      </c>
      <c r="L573" t="n">
        <v>0.03846154</v>
      </c>
      <c r="M573" t="n">
        <v>0.09401709</v>
      </c>
      <c r="N573" t="n">
        <v>1.21047009</v>
      </c>
      <c r="O573" t="n">
        <v>36.314103</v>
      </c>
      <c r="P573" t="n">
        <v>0.14285714</v>
      </c>
      <c r="Q573" t="n">
        <v>0.33333333</v>
      </c>
      <c r="R573" t="n">
        <v>0.47619048</v>
      </c>
      <c r="S573" t="n">
        <v>1.5327381</v>
      </c>
      <c r="T573" t="n">
        <v>1.36210631</v>
      </c>
      <c r="U573" t="n">
        <v>40.863189</v>
      </c>
      <c r="V573" t="b">
        <v>1</v>
      </c>
      <c r="W573" t="n">
        <v>1</v>
      </c>
      <c r="X573" t="inlineStr">
        <is>
          <t>role_subrole_balanced_score = base_support_score * capped sqrt(avg_macro_multiplier * avg_subrole_multiplier); role/subrole quota constraints use inverse weights.</t>
        </is>
      </c>
    </row>
    <row r="574">
      <c r="A574" t="inlineStr">
        <is>
          <t>C0573</t>
        </is>
      </c>
      <c r="B574" t="inlineStr">
        <is>
          <t>x_0573</t>
        </is>
      </c>
      <c r="C574" t="inlineStr">
        <is>
          <t>Evangelische Kirche der Pfalz</t>
        </is>
      </c>
      <c r="D574" t="inlineStr">
        <is>
          <t>context_actor</t>
        </is>
      </c>
      <c r="E574" t="inlineStr">
        <is>
          <t>culture_foundation_anchor</t>
        </is>
      </c>
      <c r="F574" t="inlineStr">
        <is>
          <t>Hochschule für Gesellschaftsgestaltung (HfGG)</t>
        </is>
      </c>
      <c r="G574" t="inlineStr">
        <is>
          <t>academic_support</t>
        </is>
      </c>
      <c r="H574" t="inlineStr">
        <is>
          <t>university_applied_sciences</t>
        </is>
      </c>
      <c r="I574" t="n">
        <v>30</v>
      </c>
      <c r="J574" t="n">
        <v>0</v>
      </c>
      <c r="K574" t="n">
        <v>0.03846154</v>
      </c>
      <c r="L574" t="n">
        <v>0.05555556</v>
      </c>
      <c r="M574" t="n">
        <v>0.09401709</v>
      </c>
      <c r="N574" t="n">
        <v>1.21047009</v>
      </c>
      <c r="O574" t="n">
        <v>36.314103</v>
      </c>
      <c r="P574" t="n">
        <v>0.33333333</v>
      </c>
      <c r="Q574" t="n">
        <v>0.09090909</v>
      </c>
      <c r="R574" t="n">
        <v>0.42424242</v>
      </c>
      <c r="S574" t="n">
        <v>1.3655303</v>
      </c>
      <c r="T574" t="n">
        <v>1.28566465</v>
      </c>
      <c r="U574" t="n">
        <v>38.569939</v>
      </c>
      <c r="V574" t="b">
        <v>1</v>
      </c>
      <c r="W574" t="n">
        <v>1</v>
      </c>
      <c r="X574" t="inlineStr">
        <is>
          <t>role_subrole_balanced_score = base_support_score * capped sqrt(avg_macro_multiplier * avg_subrole_multiplier); role/subrole quota constraints use inverse weights.</t>
        </is>
      </c>
    </row>
    <row r="575">
      <c r="A575" t="inlineStr">
        <is>
          <t>C0574</t>
        </is>
      </c>
      <c r="B575" t="inlineStr">
        <is>
          <t>x_0574</t>
        </is>
      </c>
      <c r="C575" t="inlineStr">
        <is>
          <t>Evangelische Kirche der Pfalz</t>
        </is>
      </c>
      <c r="D575" t="inlineStr">
        <is>
          <t>context_actor</t>
        </is>
      </c>
      <c r="E575" t="inlineStr">
        <is>
          <t>culture_foundation_anchor</t>
        </is>
      </c>
      <c r="F575" t="inlineStr">
        <is>
          <t>Johannes Gutenberg-Universität Mainz</t>
        </is>
      </c>
      <c r="G575" t="inlineStr">
        <is>
          <t>academic_support</t>
        </is>
      </c>
      <c r="H575" t="inlineStr">
        <is>
          <t>university_research</t>
        </is>
      </c>
      <c r="I575" t="n">
        <v>30</v>
      </c>
      <c r="J575" t="n">
        <v>0</v>
      </c>
      <c r="K575" t="n">
        <v>0.03846154</v>
      </c>
      <c r="L575" t="n">
        <v>0.05555556</v>
      </c>
      <c r="M575" t="n">
        <v>0.09401709</v>
      </c>
      <c r="N575" t="n">
        <v>1.21047009</v>
      </c>
      <c r="O575" t="n">
        <v>36.314103</v>
      </c>
      <c r="P575" t="n">
        <v>0.33333333</v>
      </c>
      <c r="Q575" t="n">
        <v>0.14285714</v>
      </c>
      <c r="R575" t="n">
        <v>0.47619048</v>
      </c>
      <c r="S575" t="n">
        <v>1.5327381</v>
      </c>
      <c r="T575" t="n">
        <v>1.36210631</v>
      </c>
      <c r="U575" t="n">
        <v>40.863189</v>
      </c>
      <c r="V575" t="b">
        <v>1</v>
      </c>
      <c r="W575" t="n">
        <v>1</v>
      </c>
      <c r="X575" t="inlineStr">
        <is>
          <t>role_subrole_balanced_score = base_support_score * capped sqrt(avg_macro_multiplier * avg_subrole_multiplier); role/subrole quota constraints use inverse weights.</t>
        </is>
      </c>
    </row>
    <row r="576">
      <c r="A576" t="inlineStr">
        <is>
          <t>C0575</t>
        </is>
      </c>
      <c r="B576" t="inlineStr">
        <is>
          <t>x_0575</t>
        </is>
      </c>
      <c r="C576" t="inlineStr">
        <is>
          <t>Evangelische Kirche der Pfalz</t>
        </is>
      </c>
      <c r="D576" t="inlineStr">
        <is>
          <t>context_actor</t>
        </is>
      </c>
      <c r="E576" t="inlineStr">
        <is>
          <t>culture_foundation_anchor</t>
        </is>
      </c>
      <c r="F576" t="inlineStr">
        <is>
          <t>Universität Trier</t>
        </is>
      </c>
      <c r="G576" t="inlineStr">
        <is>
          <t>academic_support</t>
        </is>
      </c>
      <c r="H576" t="inlineStr">
        <is>
          <t>university_research</t>
        </is>
      </c>
      <c r="I576" t="n">
        <v>30</v>
      </c>
      <c r="J576" t="n">
        <v>0</v>
      </c>
      <c r="K576" t="n">
        <v>0.03846154</v>
      </c>
      <c r="L576" t="n">
        <v>0.05555556</v>
      </c>
      <c r="M576" t="n">
        <v>0.09401709</v>
      </c>
      <c r="N576" t="n">
        <v>1.21047009</v>
      </c>
      <c r="O576" t="n">
        <v>36.314103</v>
      </c>
      <c r="P576" t="n">
        <v>0.33333333</v>
      </c>
      <c r="Q576" t="n">
        <v>0.14285714</v>
      </c>
      <c r="R576" t="n">
        <v>0.47619048</v>
      </c>
      <c r="S576" t="n">
        <v>1.5327381</v>
      </c>
      <c r="T576" t="n">
        <v>1.36210631</v>
      </c>
      <c r="U576" t="n">
        <v>40.863189</v>
      </c>
      <c r="V576" t="b">
        <v>1</v>
      </c>
      <c r="W576" t="n">
        <v>1</v>
      </c>
      <c r="X576" t="inlineStr">
        <is>
          <t>role_subrole_balanced_score = base_support_score * capped sqrt(avg_macro_multiplier * avg_subrole_multiplier); role/subrole quota constraints use inverse weights.</t>
        </is>
      </c>
    </row>
    <row r="577">
      <c r="A577" t="inlineStr">
        <is>
          <t>C0576</t>
        </is>
      </c>
      <c r="B577" t="inlineStr">
        <is>
          <t>x_0576</t>
        </is>
      </c>
      <c r="C577" t="inlineStr">
        <is>
          <t>Hochschule für Gesellschaftsgestaltung (HfGG)</t>
        </is>
      </c>
      <c r="D577" t="inlineStr">
        <is>
          <t>academic_support</t>
        </is>
      </c>
      <c r="E577" t="inlineStr">
        <is>
          <t>university_applied_sciences</t>
        </is>
      </c>
      <c r="F577" t="inlineStr">
        <is>
          <t>SWR – Südwestrundfunk</t>
        </is>
      </c>
      <c r="G577" t="inlineStr">
        <is>
          <t>context_actor</t>
        </is>
      </c>
      <c r="H577" t="inlineStr">
        <is>
          <t>media_publicity_anchor</t>
        </is>
      </c>
      <c r="I577" t="n">
        <v>30</v>
      </c>
      <c r="J577" t="n">
        <v>0</v>
      </c>
      <c r="K577" t="n">
        <v>0.05555556</v>
      </c>
      <c r="L577" t="n">
        <v>0.03846154</v>
      </c>
      <c r="M577" t="n">
        <v>0.09401709</v>
      </c>
      <c r="N577" t="n">
        <v>1.21047009</v>
      </c>
      <c r="O577" t="n">
        <v>36.314103</v>
      </c>
      <c r="P577" t="n">
        <v>0.09090909</v>
      </c>
      <c r="Q577" t="n">
        <v>0.33333333</v>
      </c>
      <c r="R577" t="n">
        <v>0.42424242</v>
      </c>
      <c r="S577" t="n">
        <v>1.3655303</v>
      </c>
      <c r="T577" t="n">
        <v>1.28566465</v>
      </c>
      <c r="U577" t="n">
        <v>38.569939</v>
      </c>
      <c r="V577" t="b">
        <v>1</v>
      </c>
      <c r="W577" t="n">
        <v>1</v>
      </c>
      <c r="X577" t="inlineStr">
        <is>
          <t>role_subrole_balanced_score = base_support_score * capped sqrt(avg_macro_multiplier * avg_subrole_multiplier); role/subrole quota constraints use inverse weights.</t>
        </is>
      </c>
    </row>
    <row r="578">
      <c r="A578" t="inlineStr">
        <is>
          <t>C0577</t>
        </is>
      </c>
      <c r="B578" t="inlineStr">
        <is>
          <t>x_0577</t>
        </is>
      </c>
      <c r="C578" t="inlineStr">
        <is>
          <t>Hochschule für Gesellschaftsgestaltung (HfGG)</t>
        </is>
      </c>
      <c r="D578" t="inlineStr">
        <is>
          <t>academic_support</t>
        </is>
      </c>
      <c r="E578" t="inlineStr">
        <is>
          <t>university_applied_sciences</t>
        </is>
      </c>
      <c r="F578" t="inlineStr">
        <is>
          <t>Staatskanzlei des Landes Rheinland-Pfalz</t>
        </is>
      </c>
      <c r="G578" t="inlineStr">
        <is>
          <t>context_actor</t>
        </is>
      </c>
      <c r="H578" t="inlineStr">
        <is>
          <t>public_policy_anchor</t>
        </is>
      </c>
      <c r="I578" t="n">
        <v>30</v>
      </c>
      <c r="J578" t="n">
        <v>0</v>
      </c>
      <c r="K578" t="n">
        <v>0.05555556</v>
      </c>
      <c r="L578" t="n">
        <v>0.03846154</v>
      </c>
      <c r="M578" t="n">
        <v>0.09401709</v>
      </c>
      <c r="N578" t="n">
        <v>1.21047009</v>
      </c>
      <c r="O578" t="n">
        <v>36.314103</v>
      </c>
      <c r="P578" t="n">
        <v>0.09090909</v>
      </c>
      <c r="Q578" t="n">
        <v>0.16666667</v>
      </c>
      <c r="R578" t="n">
        <v>0.25757576</v>
      </c>
      <c r="S578" t="n">
        <v>0.82907197</v>
      </c>
      <c r="T578" t="n">
        <v>1.00178182</v>
      </c>
      <c r="U578" t="n">
        <v>30.053455</v>
      </c>
      <c r="V578" t="b">
        <v>1</v>
      </c>
      <c r="W578" t="n">
        <v>1</v>
      </c>
      <c r="X578" t="inlineStr">
        <is>
          <t>role_subrole_balanced_score = base_support_score * capped sqrt(avg_macro_multiplier * avg_subrole_multiplier); role/subrole quota constraints use inverse weights.</t>
        </is>
      </c>
    </row>
    <row r="579">
      <c r="A579" t="inlineStr">
        <is>
          <t>C0578</t>
        </is>
      </c>
      <c r="B579" t="inlineStr">
        <is>
          <t>x_0578</t>
        </is>
      </c>
      <c r="C579" t="inlineStr">
        <is>
          <t>Hochschule für Gesellschaftsgestaltung (HfGG)</t>
        </is>
      </c>
      <c r="D579" t="inlineStr">
        <is>
          <t>academic_support</t>
        </is>
      </c>
      <c r="E579" t="inlineStr">
        <is>
          <t>university_applied_sciences</t>
        </is>
      </c>
      <c r="F579" t="inlineStr">
        <is>
          <t>ZDF – Zweites Deutsches Fernsehen</t>
        </is>
      </c>
      <c r="G579" t="inlineStr">
        <is>
          <t>context_actor</t>
        </is>
      </c>
      <c r="H579" t="inlineStr">
        <is>
          <t>media_publicity_anchor</t>
        </is>
      </c>
      <c r="I579" t="n">
        <v>30</v>
      </c>
      <c r="J579" t="n">
        <v>0</v>
      </c>
      <c r="K579" t="n">
        <v>0.05555556</v>
      </c>
      <c r="L579" t="n">
        <v>0.03846154</v>
      </c>
      <c r="M579" t="n">
        <v>0.09401709</v>
      </c>
      <c r="N579" t="n">
        <v>1.21047009</v>
      </c>
      <c r="O579" t="n">
        <v>36.314103</v>
      </c>
      <c r="P579" t="n">
        <v>0.09090909</v>
      </c>
      <c r="Q579" t="n">
        <v>0.33333333</v>
      </c>
      <c r="R579" t="n">
        <v>0.42424242</v>
      </c>
      <c r="S579" t="n">
        <v>1.3655303</v>
      </c>
      <c r="T579" t="n">
        <v>1.28566465</v>
      </c>
      <c r="U579" t="n">
        <v>38.569939</v>
      </c>
      <c r="V579" t="b">
        <v>1</v>
      </c>
      <c r="W579" t="n">
        <v>1</v>
      </c>
      <c r="X579" t="inlineStr">
        <is>
          <t>role_subrole_balanced_score = base_support_score * capped sqrt(avg_macro_multiplier * avg_subrole_multiplier); role/subrole quota constraints use inverse weights.</t>
        </is>
      </c>
    </row>
    <row r="580">
      <c r="A580" t="inlineStr">
        <is>
          <t>C0579</t>
        </is>
      </c>
      <c r="B580" t="inlineStr">
        <is>
          <t>x_0579</t>
        </is>
      </c>
      <c r="C580" t="inlineStr">
        <is>
          <t>Johannes Gutenberg-Universität Mainz</t>
        </is>
      </c>
      <c r="D580" t="inlineStr">
        <is>
          <t>academic_support</t>
        </is>
      </c>
      <c r="E580" t="inlineStr">
        <is>
          <t>university_research</t>
        </is>
      </c>
      <c r="F580" t="inlineStr">
        <is>
          <t>SWR – Südwestrundfunk</t>
        </is>
      </c>
      <c r="G580" t="inlineStr">
        <is>
          <t>context_actor</t>
        </is>
      </c>
      <c r="H580" t="inlineStr">
        <is>
          <t>media_publicity_anchor</t>
        </is>
      </c>
      <c r="I580" t="n">
        <v>30</v>
      </c>
      <c r="J580" t="n">
        <v>0</v>
      </c>
      <c r="K580" t="n">
        <v>0.05555556</v>
      </c>
      <c r="L580" t="n">
        <v>0.03846154</v>
      </c>
      <c r="M580" t="n">
        <v>0.09401709</v>
      </c>
      <c r="N580" t="n">
        <v>1.21047009</v>
      </c>
      <c r="O580" t="n">
        <v>36.314103</v>
      </c>
      <c r="P580" t="n">
        <v>0.14285714</v>
      </c>
      <c r="Q580" t="n">
        <v>0.33333333</v>
      </c>
      <c r="R580" t="n">
        <v>0.47619048</v>
      </c>
      <c r="S580" t="n">
        <v>1.5327381</v>
      </c>
      <c r="T580" t="n">
        <v>1.36210631</v>
      </c>
      <c r="U580" t="n">
        <v>40.863189</v>
      </c>
      <c r="V580" t="b">
        <v>1</v>
      </c>
      <c r="W580" t="n">
        <v>1</v>
      </c>
      <c r="X580" t="inlineStr">
        <is>
          <t>role_subrole_balanced_score = base_support_score * capped sqrt(avg_macro_multiplier * avg_subrole_multiplier); role/subrole quota constraints use inverse weights.</t>
        </is>
      </c>
    </row>
    <row r="581">
      <c r="A581" t="inlineStr">
        <is>
          <t>C0580</t>
        </is>
      </c>
      <c r="B581" t="inlineStr">
        <is>
          <t>x_0580</t>
        </is>
      </c>
      <c r="C581" t="inlineStr">
        <is>
          <t>Johannes Gutenberg-Universität Mainz</t>
        </is>
      </c>
      <c r="D581" t="inlineStr">
        <is>
          <t>academic_support</t>
        </is>
      </c>
      <c r="E581" t="inlineStr">
        <is>
          <t>university_research</t>
        </is>
      </c>
      <c r="F581" t="inlineStr">
        <is>
          <t>Staatskanzlei des Landes Rheinland-Pfalz</t>
        </is>
      </c>
      <c r="G581" t="inlineStr">
        <is>
          <t>context_actor</t>
        </is>
      </c>
      <c r="H581" t="inlineStr">
        <is>
          <t>public_policy_anchor</t>
        </is>
      </c>
      <c r="I581" t="n">
        <v>30</v>
      </c>
      <c r="J581" t="n">
        <v>0</v>
      </c>
      <c r="K581" t="n">
        <v>0.05555556</v>
      </c>
      <c r="L581" t="n">
        <v>0.03846154</v>
      </c>
      <c r="M581" t="n">
        <v>0.09401709</v>
      </c>
      <c r="N581" t="n">
        <v>1.21047009</v>
      </c>
      <c r="O581" t="n">
        <v>36.314103</v>
      </c>
      <c r="P581" t="n">
        <v>0.14285714</v>
      </c>
      <c r="Q581" t="n">
        <v>0.16666667</v>
      </c>
      <c r="R581" t="n">
        <v>0.30952381</v>
      </c>
      <c r="S581" t="n">
        <v>0.99627976</v>
      </c>
      <c r="T581" t="n">
        <v>1.09816522</v>
      </c>
      <c r="U581" t="n">
        <v>32.944957</v>
      </c>
      <c r="V581" t="b">
        <v>1</v>
      </c>
      <c r="W581" t="n">
        <v>1</v>
      </c>
      <c r="X581" t="inlineStr">
        <is>
          <t>role_subrole_balanced_score = base_support_score * capped sqrt(avg_macro_multiplier * avg_subrole_multiplier); role/subrole quota constraints use inverse weights.</t>
        </is>
      </c>
    </row>
    <row r="582">
      <c r="A582" t="inlineStr">
        <is>
          <t>C0581</t>
        </is>
      </c>
      <c r="B582" t="inlineStr">
        <is>
          <t>x_0581</t>
        </is>
      </c>
      <c r="C582" t="inlineStr">
        <is>
          <t>Johannes Gutenberg-Universität Mainz</t>
        </is>
      </c>
      <c r="D582" t="inlineStr">
        <is>
          <t>academic_support</t>
        </is>
      </c>
      <c r="E582" t="inlineStr">
        <is>
          <t>university_research</t>
        </is>
      </c>
      <c r="F582" t="inlineStr">
        <is>
          <t>ZDF – Zweites Deutsches Fernsehen</t>
        </is>
      </c>
      <c r="G582" t="inlineStr">
        <is>
          <t>context_actor</t>
        </is>
      </c>
      <c r="H582" t="inlineStr">
        <is>
          <t>media_publicity_anchor</t>
        </is>
      </c>
      <c r="I582" t="n">
        <v>30</v>
      </c>
      <c r="J582" t="n">
        <v>0</v>
      </c>
      <c r="K582" t="n">
        <v>0.05555556</v>
      </c>
      <c r="L582" t="n">
        <v>0.03846154</v>
      </c>
      <c r="M582" t="n">
        <v>0.09401709</v>
      </c>
      <c r="N582" t="n">
        <v>1.21047009</v>
      </c>
      <c r="O582" t="n">
        <v>36.314103</v>
      </c>
      <c r="P582" t="n">
        <v>0.14285714</v>
      </c>
      <c r="Q582" t="n">
        <v>0.33333333</v>
      </c>
      <c r="R582" t="n">
        <v>0.47619048</v>
      </c>
      <c r="S582" t="n">
        <v>1.5327381</v>
      </c>
      <c r="T582" t="n">
        <v>1.36210631</v>
      </c>
      <c r="U582" t="n">
        <v>40.863189</v>
      </c>
      <c r="V582" t="b">
        <v>1</v>
      </c>
      <c r="W582" t="n">
        <v>1</v>
      </c>
      <c r="X582" t="inlineStr">
        <is>
          <t>role_subrole_balanced_score = base_support_score * capped sqrt(avg_macro_multiplier * avg_subrole_multiplier); role/subrole quota constraints use inverse weights.</t>
        </is>
      </c>
    </row>
    <row r="583">
      <c r="A583" t="inlineStr">
        <is>
          <t>C0582</t>
        </is>
      </c>
      <c r="B583" t="inlineStr">
        <is>
          <t>x_0582</t>
        </is>
      </c>
      <c r="C583" t="inlineStr">
        <is>
          <t>SWR – Südwestrundfunk</t>
        </is>
      </c>
      <c r="D583" t="inlineStr">
        <is>
          <t>context_actor</t>
        </is>
      </c>
      <c r="E583" t="inlineStr">
        <is>
          <t>media_publicity_anchor</t>
        </is>
      </c>
      <c r="F583" t="inlineStr">
        <is>
          <t>Universität Trier</t>
        </is>
      </c>
      <c r="G583" t="inlineStr">
        <is>
          <t>academic_support</t>
        </is>
      </c>
      <c r="H583" t="inlineStr">
        <is>
          <t>university_research</t>
        </is>
      </c>
      <c r="I583" t="n">
        <v>30</v>
      </c>
      <c r="J583" t="n">
        <v>0</v>
      </c>
      <c r="K583" t="n">
        <v>0.03846154</v>
      </c>
      <c r="L583" t="n">
        <v>0.05555556</v>
      </c>
      <c r="M583" t="n">
        <v>0.09401709</v>
      </c>
      <c r="N583" t="n">
        <v>1.21047009</v>
      </c>
      <c r="O583" t="n">
        <v>36.314103</v>
      </c>
      <c r="P583" t="n">
        <v>0.33333333</v>
      </c>
      <c r="Q583" t="n">
        <v>0.14285714</v>
      </c>
      <c r="R583" t="n">
        <v>0.47619048</v>
      </c>
      <c r="S583" t="n">
        <v>1.5327381</v>
      </c>
      <c r="T583" t="n">
        <v>1.36210631</v>
      </c>
      <c r="U583" t="n">
        <v>40.863189</v>
      </c>
      <c r="V583" t="b">
        <v>1</v>
      </c>
      <c r="W583" t="n">
        <v>1</v>
      </c>
      <c r="X583" t="inlineStr">
        <is>
          <t>role_subrole_balanced_score = base_support_score * capped sqrt(avg_macro_multiplier * avg_subrole_multiplier); role/subrole quota constraints use inverse weights.</t>
        </is>
      </c>
    </row>
    <row r="584">
      <c r="A584" t="inlineStr">
        <is>
          <t>C0583</t>
        </is>
      </c>
      <c r="B584" t="inlineStr">
        <is>
          <t>x_0583</t>
        </is>
      </c>
      <c r="C584" t="inlineStr">
        <is>
          <t>Staatskanzlei des Landes Rheinland-Pfalz</t>
        </is>
      </c>
      <c r="D584" t="inlineStr">
        <is>
          <t>context_actor</t>
        </is>
      </c>
      <c r="E584" t="inlineStr">
        <is>
          <t>public_policy_anchor</t>
        </is>
      </c>
      <c r="F584" t="inlineStr">
        <is>
          <t>Universität Trier</t>
        </is>
      </c>
      <c r="G584" t="inlineStr">
        <is>
          <t>academic_support</t>
        </is>
      </c>
      <c r="H584" t="inlineStr">
        <is>
          <t>university_research</t>
        </is>
      </c>
      <c r="I584" t="n">
        <v>30</v>
      </c>
      <c r="J584" t="n">
        <v>0</v>
      </c>
      <c r="K584" t="n">
        <v>0.03846154</v>
      </c>
      <c r="L584" t="n">
        <v>0.05555556</v>
      </c>
      <c r="M584" t="n">
        <v>0.09401709</v>
      </c>
      <c r="N584" t="n">
        <v>1.21047009</v>
      </c>
      <c r="O584" t="n">
        <v>36.314103</v>
      </c>
      <c r="P584" t="n">
        <v>0.16666667</v>
      </c>
      <c r="Q584" t="n">
        <v>0.14285714</v>
      </c>
      <c r="R584" t="n">
        <v>0.30952381</v>
      </c>
      <c r="S584" t="n">
        <v>0.99627976</v>
      </c>
      <c r="T584" t="n">
        <v>1.09816522</v>
      </c>
      <c r="U584" t="n">
        <v>32.944957</v>
      </c>
      <c r="V584" t="b">
        <v>1</v>
      </c>
      <c r="W584" t="n">
        <v>1</v>
      </c>
      <c r="X584" t="inlineStr">
        <is>
          <t>role_subrole_balanced_score = base_support_score * capped sqrt(avg_macro_multiplier * avg_subrole_multiplier); role/subrole quota constraints use inverse weights.</t>
        </is>
      </c>
    </row>
    <row r="585">
      <c r="A585" t="inlineStr">
        <is>
          <t>C0584</t>
        </is>
      </c>
      <c r="B585" t="inlineStr">
        <is>
          <t>x_0584</t>
        </is>
      </c>
      <c r="C585" t="inlineStr">
        <is>
          <t>Universität Trier</t>
        </is>
      </c>
      <c r="D585" t="inlineStr">
        <is>
          <t>academic_support</t>
        </is>
      </c>
      <c r="E585" t="inlineStr">
        <is>
          <t>university_research</t>
        </is>
      </c>
      <c r="F585" t="inlineStr">
        <is>
          <t>ZDF – Zweites Deutsches Fernsehen</t>
        </is>
      </c>
      <c r="G585" t="inlineStr">
        <is>
          <t>context_actor</t>
        </is>
      </c>
      <c r="H585" t="inlineStr">
        <is>
          <t>media_publicity_anchor</t>
        </is>
      </c>
      <c r="I585" t="n">
        <v>30</v>
      </c>
      <c r="J585" t="n">
        <v>0</v>
      </c>
      <c r="K585" t="n">
        <v>0.05555556</v>
      </c>
      <c r="L585" t="n">
        <v>0.03846154</v>
      </c>
      <c r="M585" t="n">
        <v>0.09401709</v>
      </c>
      <c r="N585" t="n">
        <v>1.21047009</v>
      </c>
      <c r="O585" t="n">
        <v>36.314103</v>
      </c>
      <c r="P585" t="n">
        <v>0.14285714</v>
      </c>
      <c r="Q585" t="n">
        <v>0.33333333</v>
      </c>
      <c r="R585" t="n">
        <v>0.47619048</v>
      </c>
      <c r="S585" t="n">
        <v>1.5327381</v>
      </c>
      <c r="T585" t="n">
        <v>1.36210631</v>
      </c>
      <c r="U585" t="n">
        <v>40.863189</v>
      </c>
      <c r="V585" t="b">
        <v>1</v>
      </c>
      <c r="W585" t="n">
        <v>1</v>
      </c>
      <c r="X585" t="inlineStr">
        <is>
          <t>role_subrole_balanced_score = base_support_score * capped sqrt(avg_macro_multiplier * avg_subrole_multiplier); role/subrole quota constraints use inverse weights.</t>
        </is>
      </c>
    </row>
    <row r="586">
      <c r="A586" t="inlineStr">
        <is>
          <t>C0585</t>
        </is>
      </c>
      <c r="B586" t="inlineStr">
        <is>
          <t>x_0585</t>
        </is>
      </c>
      <c r="C586" t="inlineStr">
        <is>
          <t>BASF SE</t>
        </is>
      </c>
      <c r="D586" t="inlineStr">
        <is>
          <t>profit_anchor</t>
        </is>
      </c>
      <c r="E586" t="inlineStr">
        <is>
          <t>industry_anchor</t>
        </is>
      </c>
      <c r="F586" t="inlineStr">
        <is>
          <t>Investitions- und Strukturbank Rheinland-Pfalz (ISB)</t>
        </is>
      </c>
      <c r="G586" t="inlineStr">
        <is>
          <t>context_actor</t>
        </is>
      </c>
      <c r="H586" t="inlineStr">
        <is>
          <t>bank_finance_anchor</t>
        </is>
      </c>
      <c r="I586" t="n">
        <v>29</v>
      </c>
      <c r="J586" t="n">
        <v>0</v>
      </c>
      <c r="K586" t="n">
        <v>0.02040816</v>
      </c>
      <c r="L586" t="n">
        <v>0.03846154</v>
      </c>
      <c r="M586" t="n">
        <v>0.0588697</v>
      </c>
      <c r="N586" t="n">
        <v>0.75794741</v>
      </c>
      <c r="O586" t="n">
        <v>21.980475</v>
      </c>
      <c r="P586" t="n">
        <v>0.09090909</v>
      </c>
      <c r="Q586" t="n">
        <v>0.14285714</v>
      </c>
      <c r="R586" t="n">
        <v>0.23376623</v>
      </c>
      <c r="S586" t="n">
        <v>0.75243506</v>
      </c>
      <c r="T586" t="n">
        <v>0.75518621</v>
      </c>
      <c r="U586" t="n">
        <v>21.9004</v>
      </c>
      <c r="V586" t="b">
        <v>0</v>
      </c>
      <c r="W586" t="n">
        <v>0</v>
      </c>
      <c r="X586" t="inlineStr">
        <is>
          <t>role_subrole_balanced_score = base_support_score * capped sqrt(avg_macro_multiplier * avg_subrole_multiplier); role/subrole quota constraints use inverse weights.</t>
        </is>
      </c>
    </row>
    <row r="587">
      <c r="A587" t="inlineStr">
        <is>
          <t>C0586</t>
        </is>
      </c>
      <c r="B587" t="inlineStr">
        <is>
          <t>x_0586</t>
        </is>
      </c>
      <c r="C587" t="inlineStr">
        <is>
          <t>Investitions- und Strukturbank Rheinland-Pfalz (ISB)</t>
        </is>
      </c>
      <c r="D587" t="inlineStr">
        <is>
          <t>context_actor</t>
        </is>
      </c>
      <c r="E587" t="inlineStr">
        <is>
          <t>bank_finance_anchor</t>
        </is>
      </c>
      <c r="F587" t="inlineStr">
        <is>
          <t>KÜBLER GmbH</t>
        </is>
      </c>
      <c r="G587" t="inlineStr">
        <is>
          <t>profit_anchor</t>
        </is>
      </c>
      <c r="H587" t="inlineStr">
        <is>
          <t>energy_infrastructure_anchor</t>
        </is>
      </c>
      <c r="I587" t="n">
        <v>29</v>
      </c>
      <c r="J587" t="n">
        <v>0</v>
      </c>
      <c r="K587" t="n">
        <v>0.03846154</v>
      </c>
      <c r="L587" t="n">
        <v>0.02040816</v>
      </c>
      <c r="M587" t="n">
        <v>0.0588697</v>
      </c>
      <c r="N587" t="n">
        <v>0.75794741</v>
      </c>
      <c r="O587" t="n">
        <v>21.980475</v>
      </c>
      <c r="P587" t="n">
        <v>0.14285714</v>
      </c>
      <c r="Q587" t="n">
        <v>0.11111111</v>
      </c>
      <c r="R587" t="n">
        <v>0.25396825</v>
      </c>
      <c r="S587" t="n">
        <v>0.81746032</v>
      </c>
      <c r="T587" t="n">
        <v>0.78714162</v>
      </c>
      <c r="U587" t="n">
        <v>22.827107</v>
      </c>
      <c r="V587" t="b">
        <v>0</v>
      </c>
      <c r="W587" t="n">
        <v>0</v>
      </c>
      <c r="X587" t="inlineStr">
        <is>
          <t>role_subrole_balanced_score = base_support_score * capped sqrt(avg_macro_multiplier * avg_subrole_multiplier); role/subrole quota constraints use inverse weights.</t>
        </is>
      </c>
    </row>
    <row r="588">
      <c r="A588" t="inlineStr">
        <is>
          <t>C0587</t>
        </is>
      </c>
      <c r="B588" t="inlineStr">
        <is>
          <t>x_0587</t>
        </is>
      </c>
      <c r="C588" t="inlineStr">
        <is>
          <t>Investitions- und Strukturbank Rheinland-Pfalz (ISB)</t>
        </is>
      </c>
      <c r="D588" t="inlineStr">
        <is>
          <t>context_actor</t>
        </is>
      </c>
      <c r="E588" t="inlineStr">
        <is>
          <t>bank_finance_anchor</t>
        </is>
      </c>
      <c r="F588" t="inlineStr">
        <is>
          <t>SCHOTT AG</t>
        </is>
      </c>
      <c r="G588" t="inlineStr">
        <is>
          <t>profit_anchor</t>
        </is>
      </c>
      <c r="H588" t="inlineStr">
        <is>
          <t>industry_anchor</t>
        </is>
      </c>
      <c r="I588" t="n">
        <v>29</v>
      </c>
      <c r="J588" t="n">
        <v>0</v>
      </c>
      <c r="K588" t="n">
        <v>0.03846154</v>
      </c>
      <c r="L588" t="n">
        <v>0.02040816</v>
      </c>
      <c r="M588" t="n">
        <v>0.0588697</v>
      </c>
      <c r="N588" t="n">
        <v>0.75794741</v>
      </c>
      <c r="O588" t="n">
        <v>21.980475</v>
      </c>
      <c r="P588" t="n">
        <v>0.14285714</v>
      </c>
      <c r="Q588" t="n">
        <v>0.09090909</v>
      </c>
      <c r="R588" t="n">
        <v>0.23376623</v>
      </c>
      <c r="S588" t="n">
        <v>0.75243506</v>
      </c>
      <c r="T588" t="n">
        <v>0.75518621</v>
      </c>
      <c r="U588" t="n">
        <v>21.9004</v>
      </c>
      <c r="V588" t="b">
        <v>0</v>
      </c>
      <c r="W588" t="n">
        <v>0</v>
      </c>
      <c r="X588" t="inlineStr">
        <is>
          <t>role_subrole_balanced_score = base_support_score * capped sqrt(avg_macro_multiplier * avg_subrole_multiplier); role/subrole quota constraints use inverse weights.</t>
        </is>
      </c>
    </row>
    <row r="589">
      <c r="A589" t="inlineStr">
        <is>
          <t>C0588</t>
        </is>
      </c>
      <c r="B589" t="inlineStr">
        <is>
          <t>x_0588</t>
        </is>
      </c>
      <c r="C589" t="inlineStr">
        <is>
          <t>Investitions- und Strukturbank Rheinland-Pfalz (ISB)</t>
        </is>
      </c>
      <c r="D589" t="inlineStr">
        <is>
          <t>context_actor</t>
        </is>
      </c>
      <c r="E589" t="inlineStr">
        <is>
          <t>bank_finance_anchor</t>
        </is>
      </c>
      <c r="F589" t="inlineStr">
        <is>
          <t>Schoenergie GmbH</t>
        </is>
      </c>
      <c r="G589" t="inlineStr">
        <is>
          <t>profit_anchor</t>
        </is>
      </c>
      <c r="H589" t="inlineStr">
        <is>
          <t>energy_infrastructure_anchor</t>
        </is>
      </c>
      <c r="I589" t="n">
        <v>29</v>
      </c>
      <c r="J589" t="n">
        <v>0</v>
      </c>
      <c r="K589" t="n">
        <v>0.03846154</v>
      </c>
      <c r="L589" t="n">
        <v>0.02040816</v>
      </c>
      <c r="M589" t="n">
        <v>0.0588697</v>
      </c>
      <c r="N589" t="n">
        <v>0.75794741</v>
      </c>
      <c r="O589" t="n">
        <v>21.980475</v>
      </c>
      <c r="P589" t="n">
        <v>0.14285714</v>
      </c>
      <c r="Q589" t="n">
        <v>0.11111111</v>
      </c>
      <c r="R589" t="n">
        <v>0.25396825</v>
      </c>
      <c r="S589" t="n">
        <v>0.81746032</v>
      </c>
      <c r="T589" t="n">
        <v>0.78714162</v>
      </c>
      <c r="U589" t="n">
        <v>22.827107</v>
      </c>
      <c r="V589" t="b">
        <v>0</v>
      </c>
      <c r="W589" t="n">
        <v>0</v>
      </c>
      <c r="X589" t="inlineStr">
        <is>
          <t>role_subrole_balanced_score = base_support_score * capped sqrt(avg_macro_multiplier * avg_subrole_multiplier); role/subrole quota constraints use inverse weights.</t>
        </is>
      </c>
    </row>
    <row r="590">
      <c r="A590" t="inlineStr">
        <is>
          <t>C0589</t>
        </is>
      </c>
      <c r="B590" t="inlineStr">
        <is>
          <t>x_0589</t>
        </is>
      </c>
      <c r="C590" t="inlineStr">
        <is>
          <t>Investitions- und Strukturbank Rheinland-Pfalz (ISB)</t>
        </is>
      </c>
      <c r="D590" t="inlineStr">
        <is>
          <t>context_actor</t>
        </is>
      </c>
      <c r="E590" t="inlineStr">
        <is>
          <t>bank_finance_anchor</t>
        </is>
      </c>
      <c r="F590" t="inlineStr">
        <is>
          <t>thyssenkrupp Rasselstein GmbH</t>
        </is>
      </c>
      <c r="G590" t="inlineStr">
        <is>
          <t>profit_anchor</t>
        </is>
      </c>
      <c r="H590" t="inlineStr">
        <is>
          <t>industry_anchor</t>
        </is>
      </c>
      <c r="I590" t="n">
        <v>29</v>
      </c>
      <c r="J590" t="n">
        <v>0</v>
      </c>
      <c r="K590" t="n">
        <v>0.03846154</v>
      </c>
      <c r="L590" t="n">
        <v>0.02040816</v>
      </c>
      <c r="M590" t="n">
        <v>0.0588697</v>
      </c>
      <c r="N590" t="n">
        <v>0.75794741</v>
      </c>
      <c r="O590" t="n">
        <v>21.980475</v>
      </c>
      <c r="P590" t="n">
        <v>0.14285714</v>
      </c>
      <c r="Q590" t="n">
        <v>0.09090909</v>
      </c>
      <c r="R590" t="n">
        <v>0.23376623</v>
      </c>
      <c r="S590" t="n">
        <v>0.75243506</v>
      </c>
      <c r="T590" t="n">
        <v>0.75518621</v>
      </c>
      <c r="U590" t="n">
        <v>21.9004</v>
      </c>
      <c r="V590" t="b">
        <v>0</v>
      </c>
      <c r="W590" t="n">
        <v>0</v>
      </c>
      <c r="X590" t="inlineStr">
        <is>
          <t>role_subrole_balanced_score = base_support_score * capped sqrt(avg_macro_multiplier * avg_subrole_multiplier); role/subrole quota constraints use inverse weights.</t>
        </is>
      </c>
    </row>
    <row r="591">
      <c r="A591" t="inlineStr">
        <is>
          <t>C0590</t>
        </is>
      </c>
      <c r="B591" t="inlineStr">
        <is>
          <t>x_0590</t>
        </is>
      </c>
      <c r="C591" t="inlineStr">
        <is>
          <t>1. FSV Mainz 05 e.V.</t>
        </is>
      </c>
      <c r="D591" t="inlineStr">
        <is>
          <t>context_actor</t>
        </is>
      </c>
      <c r="E591" t="inlineStr">
        <is>
          <t>sports_regional_identity_anchor</t>
        </is>
      </c>
      <c r="F591" t="inlineStr">
        <is>
          <t>Deutsche Telekom AG</t>
        </is>
      </c>
      <c r="G591" t="inlineStr">
        <is>
          <t>profit_anchor</t>
        </is>
      </c>
      <c r="H591" t="inlineStr">
        <is>
          <t>technology_digital_anchor</t>
        </is>
      </c>
      <c r="I591" t="n">
        <v>29</v>
      </c>
      <c r="J591" t="n">
        <v>0</v>
      </c>
      <c r="K591" t="n">
        <v>0.03846154</v>
      </c>
      <c r="L591" t="n">
        <v>0.02040816</v>
      </c>
      <c r="M591" t="n">
        <v>0.0588697</v>
      </c>
      <c r="N591" t="n">
        <v>0.75794741</v>
      </c>
      <c r="O591" t="n">
        <v>21.980475</v>
      </c>
      <c r="P591" t="n">
        <v>0.5</v>
      </c>
      <c r="Q591" t="n">
        <v>0.11111111</v>
      </c>
      <c r="R591" t="n">
        <v>0.61111111</v>
      </c>
      <c r="S591" t="n">
        <v>1.96701389</v>
      </c>
      <c r="T591" t="n">
        <v>1.22102133</v>
      </c>
      <c r="U591" t="n">
        <v>35.409618</v>
      </c>
      <c r="V591" t="b">
        <v>0</v>
      </c>
      <c r="W591" t="n">
        <v>0</v>
      </c>
      <c r="X591" t="inlineStr">
        <is>
          <t>role_subrole_balanced_score = base_support_score * capped sqrt(avg_macro_multiplier * avg_subrole_multiplier); role/subrole quota constraints use inverse weights.</t>
        </is>
      </c>
    </row>
    <row r="592">
      <c r="A592" t="inlineStr">
        <is>
          <t>C0591</t>
        </is>
      </c>
      <c r="B592" t="inlineStr">
        <is>
          <t>x_0591</t>
        </is>
      </c>
      <c r="C592" t="inlineStr">
        <is>
          <t>Deutsche Telekom AG</t>
        </is>
      </c>
      <c r="D592" t="inlineStr">
        <is>
          <t>profit_anchor</t>
        </is>
      </c>
      <c r="E592" t="inlineStr">
        <is>
          <t>technology_digital_anchor</t>
        </is>
      </c>
      <c r="F592" t="inlineStr">
        <is>
          <t>Hochschule für Musik Mainz</t>
        </is>
      </c>
      <c r="G592" t="inlineStr">
        <is>
          <t>academic_support</t>
        </is>
      </c>
      <c r="H592" t="inlineStr">
        <is>
          <t>university_applied_sciences</t>
        </is>
      </c>
      <c r="I592" t="n">
        <v>29</v>
      </c>
      <c r="J592" t="n">
        <v>0</v>
      </c>
      <c r="K592" t="n">
        <v>0.02040816</v>
      </c>
      <c r="L592" t="n">
        <v>0.05555556</v>
      </c>
      <c r="M592" t="n">
        <v>0.07596372</v>
      </c>
      <c r="N592" t="n">
        <v>0.97803288</v>
      </c>
      <c r="O592" t="n">
        <v>28.362954</v>
      </c>
      <c r="P592" t="n">
        <v>0.11111111</v>
      </c>
      <c r="Q592" t="n">
        <v>0.09090909</v>
      </c>
      <c r="R592" t="n">
        <v>0.2020202</v>
      </c>
      <c r="S592" t="n">
        <v>0.6502525300000001</v>
      </c>
      <c r="T592" t="n">
        <v>0.7974762399999999</v>
      </c>
      <c r="U592" t="n">
        <v>23.126811</v>
      </c>
      <c r="V592" t="b">
        <v>1</v>
      </c>
      <c r="W592" t="n">
        <v>1</v>
      </c>
      <c r="X592" t="inlineStr">
        <is>
          <t>role_subrole_balanced_score = base_support_score * capped sqrt(avg_macro_multiplier * avg_subrole_multiplier); role/subrole quota constraints use inverse weights.</t>
        </is>
      </c>
    </row>
    <row r="593">
      <c r="A593" t="inlineStr">
        <is>
          <t>C0592</t>
        </is>
      </c>
      <c r="B593" t="inlineStr">
        <is>
          <t>x_0592</t>
        </is>
      </c>
      <c r="C593" t="inlineStr">
        <is>
          <t>Entwicklungsagentur Rheinland-Pfalz e.V.</t>
        </is>
      </c>
      <c r="D593" t="inlineStr">
        <is>
          <t>implementation_anchor</t>
        </is>
      </c>
      <c r="E593" t="inlineStr">
        <is>
          <t>public_policy_anchor</t>
        </is>
      </c>
      <c r="F593" t="inlineStr">
        <is>
          <t>Villa Musica Rheinland-Pfalz</t>
        </is>
      </c>
      <c r="G593" t="inlineStr">
        <is>
          <t>context_actor</t>
        </is>
      </c>
      <c r="H593" t="inlineStr">
        <is>
          <t>culture_foundation_anchor</t>
        </is>
      </c>
      <c r="I593" t="n">
        <v>29</v>
      </c>
      <c r="J593" t="n">
        <v>0</v>
      </c>
      <c r="K593" t="n">
        <v>0.1</v>
      </c>
      <c r="L593" t="n">
        <v>0.03846154</v>
      </c>
      <c r="M593" t="n">
        <v>0.13846154</v>
      </c>
      <c r="N593" t="n">
        <v>1.78269231</v>
      </c>
      <c r="O593" t="n">
        <v>51.698077</v>
      </c>
      <c r="P593" t="n">
        <v>0.16666667</v>
      </c>
      <c r="Q593" t="n">
        <v>0.33333333</v>
      </c>
      <c r="R593" t="n">
        <v>0.5</v>
      </c>
      <c r="S593" t="n">
        <v>1.609375</v>
      </c>
      <c r="T593" t="n">
        <v>1.6938183</v>
      </c>
      <c r="U593" t="n">
        <v>49.120731</v>
      </c>
      <c r="V593" t="b">
        <v>0</v>
      </c>
      <c r="W593" t="n">
        <v>0</v>
      </c>
      <c r="X593" t="inlineStr">
        <is>
          <t>role_subrole_balanced_score = base_support_score * capped sqrt(avg_macro_multiplier * avg_subrole_multiplier); role/subrole quota constraints use inverse weights.</t>
        </is>
      </c>
    </row>
    <row r="594">
      <c r="A594" t="inlineStr">
        <is>
          <t>C0593</t>
        </is>
      </c>
      <c r="B594" t="inlineStr">
        <is>
          <t>x_0593</t>
        </is>
      </c>
      <c r="C594" t="inlineStr">
        <is>
          <t>Entwicklungsagentur Rheinland-Pfalz e.V.</t>
        </is>
      </c>
      <c r="D594" t="inlineStr">
        <is>
          <t>implementation_anchor</t>
        </is>
      </c>
      <c r="E594" t="inlineStr">
        <is>
          <t>public_policy_anchor</t>
        </is>
      </c>
      <c r="F594" t="inlineStr">
        <is>
          <t>robotspaceship</t>
        </is>
      </c>
      <c r="G594" t="inlineStr">
        <is>
          <t>context_actor</t>
        </is>
      </c>
      <c r="H594" t="inlineStr">
        <is>
          <t>technology_digital_anchor</t>
        </is>
      </c>
      <c r="I594" t="n">
        <v>29</v>
      </c>
      <c r="J594" t="n">
        <v>0</v>
      </c>
      <c r="K594" t="n">
        <v>0.1</v>
      </c>
      <c r="L594" t="n">
        <v>0.03846154</v>
      </c>
      <c r="M594" t="n">
        <v>0.13846154</v>
      </c>
      <c r="N594" t="n">
        <v>1.78269231</v>
      </c>
      <c r="O594" t="n">
        <v>51.698077</v>
      </c>
      <c r="P594" t="n">
        <v>0.16666667</v>
      </c>
      <c r="Q594" t="n">
        <v>0.11111111</v>
      </c>
      <c r="R594" t="n">
        <v>0.27777778</v>
      </c>
      <c r="S594" t="n">
        <v>0.89409722</v>
      </c>
      <c r="T594" t="n">
        <v>1.26249762</v>
      </c>
      <c r="U594" t="n">
        <v>36.612431</v>
      </c>
      <c r="V594" t="b">
        <v>0</v>
      </c>
      <c r="W594" t="n">
        <v>0</v>
      </c>
      <c r="X594" t="inlineStr">
        <is>
          <t>role_subrole_balanced_score = base_support_score * capped sqrt(avg_macro_multiplier * avg_subrole_multiplier); role/subrole quota constraints use inverse weights.</t>
        </is>
      </c>
    </row>
    <row r="595">
      <c r="A595" t="inlineStr">
        <is>
          <t>C0594</t>
        </is>
      </c>
      <c r="B595" t="inlineStr">
        <is>
          <t>x_0594</t>
        </is>
      </c>
      <c r="C595" t="inlineStr">
        <is>
          <t>Erster FC Kaiserslautern GmbH &amp; Co. KGaA</t>
        </is>
      </c>
      <c r="D595" t="inlineStr">
        <is>
          <t>profit_anchor</t>
        </is>
      </c>
      <c r="E595" t="inlineStr">
        <is>
          <t>sports_regional_identity_anchor</t>
        </is>
      </c>
      <c r="F595" t="inlineStr">
        <is>
          <t>Johannes Gutenberg-Universität Mainz</t>
        </is>
      </c>
      <c r="G595" t="inlineStr">
        <is>
          <t>academic_support</t>
        </is>
      </c>
      <c r="H595" t="inlineStr">
        <is>
          <t>university_research</t>
        </is>
      </c>
      <c r="I595" t="n">
        <v>29</v>
      </c>
      <c r="J595" t="n">
        <v>0</v>
      </c>
      <c r="K595" t="n">
        <v>0.02040816</v>
      </c>
      <c r="L595" t="n">
        <v>0.05555556</v>
      </c>
      <c r="M595" t="n">
        <v>0.07596372</v>
      </c>
      <c r="N595" t="n">
        <v>0.97803288</v>
      </c>
      <c r="O595" t="n">
        <v>28.362954</v>
      </c>
      <c r="P595" t="n">
        <v>0.5</v>
      </c>
      <c r="Q595" t="n">
        <v>0.14285714</v>
      </c>
      <c r="R595" t="n">
        <v>0.64285714</v>
      </c>
      <c r="S595" t="n">
        <v>2.06919643</v>
      </c>
      <c r="T595" t="n">
        <v>1.42258291</v>
      </c>
      <c r="U595" t="n">
        <v>41.254904</v>
      </c>
      <c r="V595" t="b">
        <v>1</v>
      </c>
      <c r="W595" t="n">
        <v>1</v>
      </c>
      <c r="X595" t="inlineStr">
        <is>
          <t>role_subrole_balanced_score = base_support_score * capped sqrt(avg_macro_multiplier * avg_subrole_multiplier); role/subrole quota constraints use inverse weights.</t>
        </is>
      </c>
    </row>
    <row r="596">
      <c r="A596" t="inlineStr">
        <is>
          <t>C0595</t>
        </is>
      </c>
      <c r="B596" t="inlineStr">
        <is>
          <t>x_0595</t>
        </is>
      </c>
      <c r="C596" t="inlineStr">
        <is>
          <t>Erster FC Kaiserslautern GmbH &amp; Co. KGaA</t>
        </is>
      </c>
      <c r="D596" t="inlineStr">
        <is>
          <t>profit_anchor</t>
        </is>
      </c>
      <c r="E596" t="inlineStr">
        <is>
          <t>sports_regional_identity_anchor</t>
        </is>
      </c>
      <c r="F596" t="inlineStr">
        <is>
          <t>Villa Musica Rheinland-Pfalz</t>
        </is>
      </c>
      <c r="G596" t="inlineStr">
        <is>
          <t>context_actor</t>
        </is>
      </c>
      <c r="H596" t="inlineStr">
        <is>
          <t>culture_foundation_anchor</t>
        </is>
      </c>
      <c r="I596" t="n">
        <v>29</v>
      </c>
      <c r="J596" t="n">
        <v>0</v>
      </c>
      <c r="K596" t="n">
        <v>0.02040816</v>
      </c>
      <c r="L596" t="n">
        <v>0.03846154</v>
      </c>
      <c r="M596" t="n">
        <v>0.0588697</v>
      </c>
      <c r="N596" t="n">
        <v>0.75794741</v>
      </c>
      <c r="O596" t="n">
        <v>21.980475</v>
      </c>
      <c r="P596" t="n">
        <v>0.5</v>
      </c>
      <c r="Q596" t="n">
        <v>0.33333333</v>
      </c>
      <c r="R596" t="n">
        <v>0.83333333</v>
      </c>
      <c r="S596" t="n">
        <v>2.68229167</v>
      </c>
      <c r="T596" t="n">
        <v>1.42584572</v>
      </c>
      <c r="U596" t="n">
        <v>41.349526</v>
      </c>
      <c r="V596" t="b">
        <v>0</v>
      </c>
      <c r="W596" t="n">
        <v>0</v>
      </c>
      <c r="X596" t="inlineStr">
        <is>
          <t>role_subrole_balanced_score = base_support_score * capped sqrt(avg_macro_multiplier * avg_subrole_multiplier); role/subrole quota constraints use inverse weights.</t>
        </is>
      </c>
    </row>
    <row r="597">
      <c r="A597" t="inlineStr">
        <is>
          <t>C0596</t>
        </is>
      </c>
      <c r="B597" t="inlineStr">
        <is>
          <t>x_0596</t>
        </is>
      </c>
      <c r="C597" t="inlineStr">
        <is>
          <t>Erster FC Kaiserslautern GmbH &amp; Co. KGaA</t>
        </is>
      </c>
      <c r="D597" t="inlineStr">
        <is>
          <t>profit_anchor</t>
        </is>
      </c>
      <c r="E597" t="inlineStr">
        <is>
          <t>sports_regional_identity_anchor</t>
        </is>
      </c>
      <c r="F597" t="inlineStr">
        <is>
          <t>robotspaceship</t>
        </is>
      </c>
      <c r="G597" t="inlineStr">
        <is>
          <t>context_actor</t>
        </is>
      </c>
      <c r="H597" t="inlineStr">
        <is>
          <t>technology_digital_anchor</t>
        </is>
      </c>
      <c r="I597" t="n">
        <v>29</v>
      </c>
      <c r="J597" t="n">
        <v>0</v>
      </c>
      <c r="K597" t="n">
        <v>0.02040816</v>
      </c>
      <c r="L597" t="n">
        <v>0.03846154</v>
      </c>
      <c r="M597" t="n">
        <v>0.0588697</v>
      </c>
      <c r="N597" t="n">
        <v>0.75794741</v>
      </c>
      <c r="O597" t="n">
        <v>21.980475</v>
      </c>
      <c r="P597" t="n">
        <v>0.5</v>
      </c>
      <c r="Q597" t="n">
        <v>0.11111111</v>
      </c>
      <c r="R597" t="n">
        <v>0.61111111</v>
      </c>
      <c r="S597" t="n">
        <v>1.96701389</v>
      </c>
      <c r="T597" t="n">
        <v>1.22102133</v>
      </c>
      <c r="U597" t="n">
        <v>35.409618</v>
      </c>
      <c r="V597" t="b">
        <v>0</v>
      </c>
      <c r="W597" t="n">
        <v>0</v>
      </c>
      <c r="X597" t="inlineStr">
        <is>
          <t>role_subrole_balanced_score = base_support_score * capped sqrt(avg_macro_multiplier * avg_subrole_multiplier); role/subrole quota constraints use inverse weights.</t>
        </is>
      </c>
    </row>
    <row r="598">
      <c r="A598" t="inlineStr">
        <is>
          <t>C0597</t>
        </is>
      </c>
      <c r="B598" t="inlineStr">
        <is>
          <t>x_0597</t>
        </is>
      </c>
      <c r="C598" t="inlineStr">
        <is>
          <t>Hochschule Mainz</t>
        </is>
      </c>
      <c r="D598" t="inlineStr">
        <is>
          <t>academic_support</t>
        </is>
      </c>
      <c r="E598" t="inlineStr">
        <is>
          <t>university_applied_sciences</t>
        </is>
      </c>
      <c r="F598" t="inlineStr">
        <is>
          <t>Villa Musica Rheinland-Pfalz</t>
        </is>
      </c>
      <c r="G598" t="inlineStr">
        <is>
          <t>context_actor</t>
        </is>
      </c>
      <c r="H598" t="inlineStr">
        <is>
          <t>culture_foundation_anchor</t>
        </is>
      </c>
      <c r="I598" t="n">
        <v>29</v>
      </c>
      <c r="J598" t="n">
        <v>0</v>
      </c>
      <c r="K598" t="n">
        <v>0.05555556</v>
      </c>
      <c r="L598" t="n">
        <v>0.03846154</v>
      </c>
      <c r="M598" t="n">
        <v>0.09401709</v>
      </c>
      <c r="N598" t="n">
        <v>1.21047009</v>
      </c>
      <c r="O598" t="n">
        <v>35.103632</v>
      </c>
      <c r="P598" t="n">
        <v>0.09090909</v>
      </c>
      <c r="Q598" t="n">
        <v>0.33333333</v>
      </c>
      <c r="R598" t="n">
        <v>0.42424242</v>
      </c>
      <c r="S598" t="n">
        <v>1.3655303</v>
      </c>
      <c r="T598" t="n">
        <v>1.28566465</v>
      </c>
      <c r="U598" t="n">
        <v>37.284275</v>
      </c>
      <c r="V598" t="b">
        <v>1</v>
      </c>
      <c r="W598" t="n">
        <v>1</v>
      </c>
      <c r="X598" t="inlineStr">
        <is>
          <t>role_subrole_balanced_score = base_support_score * capped sqrt(avg_macro_multiplier * avg_subrole_multiplier); role/subrole quota constraints use inverse weights.</t>
        </is>
      </c>
    </row>
    <row r="599">
      <c r="A599" t="inlineStr">
        <is>
          <t>C0598</t>
        </is>
      </c>
      <c r="B599" t="inlineStr">
        <is>
          <t>x_0598</t>
        </is>
      </c>
      <c r="C599" t="inlineStr">
        <is>
          <t>1. FSV Mainz 05 e.V.</t>
        </is>
      </c>
      <c r="D599" t="inlineStr">
        <is>
          <t>context_actor</t>
        </is>
      </c>
      <c r="E599" t="inlineStr">
        <is>
          <t>sports_regional_identity_anchor</t>
        </is>
      </c>
      <c r="F599" t="inlineStr">
        <is>
          <t>LOTTO Rheinland-Pfalz GmbH</t>
        </is>
      </c>
      <c r="G599" t="inlineStr">
        <is>
          <t>profit_anchor</t>
        </is>
      </c>
      <c r="H599" t="inlineStr">
        <is>
          <t>culture_foundation_anchor</t>
        </is>
      </c>
      <c r="I599" t="n">
        <v>29</v>
      </c>
      <c r="J599" t="n">
        <v>0</v>
      </c>
      <c r="K599" t="n">
        <v>0.03846154</v>
      </c>
      <c r="L599" t="n">
        <v>0.02040816</v>
      </c>
      <c r="M599" t="n">
        <v>0.0588697</v>
      </c>
      <c r="N599" t="n">
        <v>0.75794741</v>
      </c>
      <c r="O599" t="n">
        <v>21.980475</v>
      </c>
      <c r="P599" t="n">
        <v>0.5</v>
      </c>
      <c r="Q599" t="n">
        <v>0.33333333</v>
      </c>
      <c r="R599" t="n">
        <v>0.83333333</v>
      </c>
      <c r="S599" t="n">
        <v>2.68229167</v>
      </c>
      <c r="T599" t="n">
        <v>1.42584572</v>
      </c>
      <c r="U599" t="n">
        <v>41.349526</v>
      </c>
      <c r="V599" t="b">
        <v>0</v>
      </c>
      <c r="W599" t="n">
        <v>0</v>
      </c>
      <c r="X599" t="inlineStr">
        <is>
          <t>role_subrole_balanced_score = base_support_score * capped sqrt(avg_macro_multiplier * avg_subrole_multiplier); role/subrole quota constraints use inverse weights.</t>
        </is>
      </c>
    </row>
    <row r="600">
      <c r="A600" t="inlineStr">
        <is>
          <t>C0599</t>
        </is>
      </c>
      <c r="B600" t="inlineStr">
        <is>
          <t>x_0599</t>
        </is>
      </c>
      <c r="C600" t="inlineStr">
        <is>
          <t>Evangelische Kirche der Pfalz</t>
        </is>
      </c>
      <c r="D600" t="inlineStr">
        <is>
          <t>context_actor</t>
        </is>
      </c>
      <c r="E600" t="inlineStr">
        <is>
          <t>culture_foundation_anchor</t>
        </is>
      </c>
      <c r="F600" t="inlineStr">
        <is>
          <t>LOTTO Rheinland-Pfalz GmbH</t>
        </is>
      </c>
      <c r="G600" t="inlineStr">
        <is>
          <t>profit_anchor</t>
        </is>
      </c>
      <c r="H600" t="inlineStr">
        <is>
          <t>culture_foundation_anchor</t>
        </is>
      </c>
      <c r="I600" t="n">
        <v>29</v>
      </c>
      <c r="J600" t="n">
        <v>0</v>
      </c>
      <c r="K600" t="n">
        <v>0.03846154</v>
      </c>
      <c r="L600" t="n">
        <v>0.02040816</v>
      </c>
      <c r="M600" t="n">
        <v>0.0588697</v>
      </c>
      <c r="N600" t="n">
        <v>0.75794741</v>
      </c>
      <c r="O600" t="n">
        <v>21.980475</v>
      </c>
      <c r="P600" t="n">
        <v>0.33333333</v>
      </c>
      <c r="Q600" t="n">
        <v>0.33333333</v>
      </c>
      <c r="R600" t="n">
        <v>0.66666667</v>
      </c>
      <c r="S600" t="n">
        <v>2.14583333</v>
      </c>
      <c r="T600" t="n">
        <v>1.27531518</v>
      </c>
      <c r="U600" t="n">
        <v>36.98414</v>
      </c>
      <c r="V600" t="b">
        <v>0</v>
      </c>
      <c r="W600" t="n">
        <v>0</v>
      </c>
      <c r="X600" t="inlineStr">
        <is>
          <t>role_subrole_balanced_score = base_support_score * capped sqrt(avg_macro_multiplier * avg_subrole_multiplier); role/subrole quota constraints use inverse weights.</t>
        </is>
      </c>
    </row>
    <row r="601">
      <c r="A601" t="inlineStr">
        <is>
          <t>C0600</t>
        </is>
      </c>
      <c r="B601" t="inlineStr">
        <is>
          <t>x_0600</t>
        </is>
      </c>
      <c r="C601" t="inlineStr">
        <is>
          <t>Hochschule für Musik Mainz</t>
        </is>
      </c>
      <c r="D601" t="inlineStr">
        <is>
          <t>academic_support</t>
        </is>
      </c>
      <c r="E601" t="inlineStr">
        <is>
          <t>university_applied_sciences</t>
        </is>
      </c>
      <c r="F601" t="inlineStr">
        <is>
          <t>LOTTO Rheinland-Pfalz GmbH</t>
        </is>
      </c>
      <c r="G601" t="inlineStr">
        <is>
          <t>profit_anchor</t>
        </is>
      </c>
      <c r="H601" t="inlineStr">
        <is>
          <t>culture_foundation_anchor</t>
        </is>
      </c>
      <c r="I601" t="n">
        <v>29</v>
      </c>
      <c r="J601" t="n">
        <v>0</v>
      </c>
      <c r="K601" t="n">
        <v>0.05555556</v>
      </c>
      <c r="L601" t="n">
        <v>0.02040816</v>
      </c>
      <c r="M601" t="n">
        <v>0.07596372</v>
      </c>
      <c r="N601" t="n">
        <v>0.97803288</v>
      </c>
      <c r="O601" t="n">
        <v>28.362954</v>
      </c>
      <c r="P601" t="n">
        <v>0.09090909</v>
      </c>
      <c r="Q601" t="n">
        <v>0.33333333</v>
      </c>
      <c r="R601" t="n">
        <v>0.42424242</v>
      </c>
      <c r="S601" t="n">
        <v>1.3655303</v>
      </c>
      <c r="T601" t="n">
        <v>1.15565286</v>
      </c>
      <c r="U601" t="n">
        <v>33.513933</v>
      </c>
      <c r="V601" t="b">
        <v>1</v>
      </c>
      <c r="W601" t="n">
        <v>1</v>
      </c>
      <c r="X601" t="inlineStr">
        <is>
          <t>role_subrole_balanced_score = base_support_score * capped sqrt(avg_macro_multiplier * avg_subrole_multiplier); role/subrole quota constraints use inverse weights.</t>
        </is>
      </c>
    </row>
    <row r="602">
      <c r="A602" t="inlineStr">
        <is>
          <t>C0601</t>
        </is>
      </c>
      <c r="B602" t="inlineStr">
        <is>
          <t>x_0601</t>
        </is>
      </c>
      <c r="C602" t="inlineStr">
        <is>
          <t>Hochschule für Musik Mainz</t>
        </is>
      </c>
      <c r="D602" t="inlineStr">
        <is>
          <t>academic_support</t>
        </is>
      </c>
      <c r="E602" t="inlineStr">
        <is>
          <t>university_applied_sciences</t>
        </is>
      </c>
      <c r="F602" t="inlineStr">
        <is>
          <t>SWR – Südwestrundfunk</t>
        </is>
      </c>
      <c r="G602" t="inlineStr">
        <is>
          <t>context_actor</t>
        </is>
      </c>
      <c r="H602" t="inlineStr">
        <is>
          <t>media_publicity_anchor</t>
        </is>
      </c>
      <c r="I602" t="n">
        <v>29</v>
      </c>
      <c r="J602" t="n">
        <v>0</v>
      </c>
      <c r="K602" t="n">
        <v>0.05555556</v>
      </c>
      <c r="L602" t="n">
        <v>0.03846154</v>
      </c>
      <c r="M602" t="n">
        <v>0.09401709</v>
      </c>
      <c r="N602" t="n">
        <v>1.21047009</v>
      </c>
      <c r="O602" t="n">
        <v>35.103632</v>
      </c>
      <c r="P602" t="n">
        <v>0.09090909</v>
      </c>
      <c r="Q602" t="n">
        <v>0.33333333</v>
      </c>
      <c r="R602" t="n">
        <v>0.42424242</v>
      </c>
      <c r="S602" t="n">
        <v>1.3655303</v>
      </c>
      <c r="T602" t="n">
        <v>1.28566465</v>
      </c>
      <c r="U602" t="n">
        <v>37.284275</v>
      </c>
      <c r="V602" t="b">
        <v>1</v>
      </c>
      <c r="W602" t="n">
        <v>1</v>
      </c>
      <c r="X602" t="inlineStr">
        <is>
          <t>role_subrole_balanced_score = base_support_score * capped sqrt(avg_macro_multiplier * avg_subrole_multiplier); role/subrole quota constraints use inverse weights.</t>
        </is>
      </c>
    </row>
    <row r="603">
      <c r="A603" t="inlineStr">
        <is>
          <t>C0602</t>
        </is>
      </c>
      <c r="B603" t="inlineStr">
        <is>
          <t>x_0602</t>
        </is>
      </c>
      <c r="C603" t="inlineStr">
        <is>
          <t>Hochschule für Musik Mainz</t>
        </is>
      </c>
      <c r="D603" t="inlineStr">
        <is>
          <t>academic_support</t>
        </is>
      </c>
      <c r="E603" t="inlineStr">
        <is>
          <t>university_applied_sciences</t>
        </is>
      </c>
      <c r="F603" t="inlineStr">
        <is>
          <t>Städtetag Rheinland-Pfalz</t>
        </is>
      </c>
      <c r="G603" t="inlineStr">
        <is>
          <t>context_actor</t>
        </is>
      </c>
      <c r="H603" t="inlineStr">
        <is>
          <t>public_policy_anchor</t>
        </is>
      </c>
      <c r="I603" t="n">
        <v>29</v>
      </c>
      <c r="J603" t="n">
        <v>0</v>
      </c>
      <c r="K603" t="n">
        <v>0.05555556</v>
      </c>
      <c r="L603" t="n">
        <v>0.03846154</v>
      </c>
      <c r="M603" t="n">
        <v>0.09401709</v>
      </c>
      <c r="N603" t="n">
        <v>1.21047009</v>
      </c>
      <c r="O603" t="n">
        <v>35.103632</v>
      </c>
      <c r="P603" t="n">
        <v>0.09090909</v>
      </c>
      <c r="Q603" t="n">
        <v>0.16666667</v>
      </c>
      <c r="R603" t="n">
        <v>0.25757576</v>
      </c>
      <c r="S603" t="n">
        <v>0.82907197</v>
      </c>
      <c r="T603" t="n">
        <v>1.00178182</v>
      </c>
      <c r="U603" t="n">
        <v>29.051673</v>
      </c>
      <c r="V603" t="b">
        <v>1</v>
      </c>
      <c r="W603" t="n">
        <v>1</v>
      </c>
      <c r="X603" t="inlineStr">
        <is>
          <t>role_subrole_balanced_score = base_support_score * capped sqrt(avg_macro_multiplier * avg_subrole_multiplier); role/subrole quota constraints use inverse weights.</t>
        </is>
      </c>
    </row>
    <row r="604">
      <c r="A604" t="inlineStr">
        <is>
          <t>C0603</t>
        </is>
      </c>
      <c r="B604" t="inlineStr">
        <is>
          <t>x_0603</t>
        </is>
      </c>
      <c r="C604" t="inlineStr">
        <is>
          <t>Hochschule für Musik Mainz</t>
        </is>
      </c>
      <c r="D604" t="inlineStr">
        <is>
          <t>academic_support</t>
        </is>
      </c>
      <c r="E604" t="inlineStr">
        <is>
          <t>university_applied_sciences</t>
        </is>
      </c>
      <c r="F604" t="inlineStr">
        <is>
          <t>Villa Musica Rheinland-Pfalz</t>
        </is>
      </c>
      <c r="G604" t="inlineStr">
        <is>
          <t>context_actor</t>
        </is>
      </c>
      <c r="H604" t="inlineStr">
        <is>
          <t>culture_foundation_anchor</t>
        </is>
      </c>
      <c r="I604" t="n">
        <v>29</v>
      </c>
      <c r="J604" t="n">
        <v>0</v>
      </c>
      <c r="K604" t="n">
        <v>0.05555556</v>
      </c>
      <c r="L604" t="n">
        <v>0.03846154</v>
      </c>
      <c r="M604" t="n">
        <v>0.09401709</v>
      </c>
      <c r="N604" t="n">
        <v>1.21047009</v>
      </c>
      <c r="O604" t="n">
        <v>35.103632</v>
      </c>
      <c r="P604" t="n">
        <v>0.09090909</v>
      </c>
      <c r="Q604" t="n">
        <v>0.33333333</v>
      </c>
      <c r="R604" t="n">
        <v>0.42424242</v>
      </c>
      <c r="S604" t="n">
        <v>1.3655303</v>
      </c>
      <c r="T604" t="n">
        <v>1.28566465</v>
      </c>
      <c r="U604" t="n">
        <v>37.284275</v>
      </c>
      <c r="V604" t="b">
        <v>1</v>
      </c>
      <c r="W604" t="n">
        <v>1</v>
      </c>
      <c r="X604" t="inlineStr">
        <is>
          <t>role_subrole_balanced_score = base_support_score * capped sqrt(avg_macro_multiplier * avg_subrole_multiplier); role/subrole quota constraints use inverse weights.</t>
        </is>
      </c>
    </row>
    <row r="605">
      <c r="A605" t="inlineStr">
        <is>
          <t>C0604</t>
        </is>
      </c>
      <c r="B605" t="inlineStr">
        <is>
          <t>x_0604</t>
        </is>
      </c>
      <c r="C605" t="inlineStr">
        <is>
          <t>Hochschule für Musik Mainz</t>
        </is>
      </c>
      <c r="D605" t="inlineStr">
        <is>
          <t>academic_support</t>
        </is>
      </c>
      <c r="E605" t="inlineStr">
        <is>
          <t>university_applied_sciences</t>
        </is>
      </c>
      <c r="F605" t="inlineStr">
        <is>
          <t>ZDF – Zweites Deutsches Fernsehen</t>
        </is>
      </c>
      <c r="G605" t="inlineStr">
        <is>
          <t>context_actor</t>
        </is>
      </c>
      <c r="H605" t="inlineStr">
        <is>
          <t>media_publicity_anchor</t>
        </is>
      </c>
      <c r="I605" t="n">
        <v>29</v>
      </c>
      <c r="J605" t="n">
        <v>0</v>
      </c>
      <c r="K605" t="n">
        <v>0.05555556</v>
      </c>
      <c r="L605" t="n">
        <v>0.03846154</v>
      </c>
      <c r="M605" t="n">
        <v>0.09401709</v>
      </c>
      <c r="N605" t="n">
        <v>1.21047009</v>
      </c>
      <c r="O605" t="n">
        <v>35.103632</v>
      </c>
      <c r="P605" t="n">
        <v>0.09090909</v>
      </c>
      <c r="Q605" t="n">
        <v>0.33333333</v>
      </c>
      <c r="R605" t="n">
        <v>0.42424242</v>
      </c>
      <c r="S605" t="n">
        <v>1.3655303</v>
      </c>
      <c r="T605" t="n">
        <v>1.28566465</v>
      </c>
      <c r="U605" t="n">
        <v>37.284275</v>
      </c>
      <c r="V605" t="b">
        <v>1</v>
      </c>
      <c r="W605" t="n">
        <v>1</v>
      </c>
      <c r="X605" t="inlineStr">
        <is>
          <t>role_subrole_balanced_score = base_support_score * capped sqrt(avg_macro_multiplier * avg_subrole_multiplier); role/subrole quota constraints use inverse weights.</t>
        </is>
      </c>
    </row>
    <row r="606">
      <c r="A606" t="inlineStr">
        <is>
          <t>C0605</t>
        </is>
      </c>
      <c r="B606" t="inlineStr">
        <is>
          <t>x_0605</t>
        </is>
      </c>
      <c r="C606" t="inlineStr">
        <is>
          <t>LOTTO Rheinland-Pfalz GmbH</t>
        </is>
      </c>
      <c r="D606" t="inlineStr">
        <is>
          <t>profit_anchor</t>
        </is>
      </c>
      <c r="E606" t="inlineStr">
        <is>
          <t>culture_foundation_anchor</t>
        </is>
      </c>
      <c r="F606" t="inlineStr">
        <is>
          <t>RPR1.</t>
        </is>
      </c>
      <c r="G606" t="inlineStr">
        <is>
          <t>context_actor</t>
        </is>
      </c>
      <c r="H606" t="inlineStr">
        <is>
          <t>media_publicity_anchor</t>
        </is>
      </c>
      <c r="I606" t="n">
        <v>29</v>
      </c>
      <c r="J606" t="n">
        <v>0</v>
      </c>
      <c r="K606" t="n">
        <v>0.02040816</v>
      </c>
      <c r="L606" t="n">
        <v>0.03846154</v>
      </c>
      <c r="M606" t="n">
        <v>0.0588697</v>
      </c>
      <c r="N606" t="n">
        <v>0.75794741</v>
      </c>
      <c r="O606" t="n">
        <v>21.980475</v>
      </c>
      <c r="P606" t="n">
        <v>0.33333333</v>
      </c>
      <c r="Q606" t="n">
        <v>0.33333333</v>
      </c>
      <c r="R606" t="n">
        <v>0.66666667</v>
      </c>
      <c r="S606" t="n">
        <v>2.14583333</v>
      </c>
      <c r="T606" t="n">
        <v>1.27531518</v>
      </c>
      <c r="U606" t="n">
        <v>36.98414</v>
      </c>
      <c r="V606" t="b">
        <v>0</v>
      </c>
      <c r="W606" t="n">
        <v>0</v>
      </c>
      <c r="X606" t="inlineStr">
        <is>
          <t>role_subrole_balanced_score = base_support_score * capped sqrt(avg_macro_multiplier * avg_subrole_multiplier); role/subrole quota constraints use inverse weights.</t>
        </is>
      </c>
    </row>
    <row r="607">
      <c r="A607" t="inlineStr">
        <is>
          <t>C0606</t>
        </is>
      </c>
      <c r="B607" t="inlineStr">
        <is>
          <t>x_0606</t>
        </is>
      </c>
      <c r="C607" t="inlineStr">
        <is>
          <t>Hochschule für Musik Mainz</t>
        </is>
      </c>
      <c r="D607" t="inlineStr">
        <is>
          <t>academic_support</t>
        </is>
      </c>
      <c r="E607" t="inlineStr">
        <is>
          <t>university_applied_sciences</t>
        </is>
      </c>
      <c r="F607" t="inlineStr">
        <is>
          <t>SWR – Südwestrundfunk</t>
        </is>
      </c>
      <c r="G607" t="inlineStr">
        <is>
          <t>context_actor</t>
        </is>
      </c>
      <c r="H607" t="inlineStr">
        <is>
          <t>media_publicity_anchor</t>
        </is>
      </c>
      <c r="I607" t="n">
        <v>29</v>
      </c>
      <c r="J607" t="n">
        <v>0</v>
      </c>
      <c r="K607" t="n">
        <v>0.05555556</v>
      </c>
      <c r="L607" t="n">
        <v>0.03846154</v>
      </c>
      <c r="M607" t="n">
        <v>0.09401709</v>
      </c>
      <c r="N607" t="n">
        <v>1.21047009</v>
      </c>
      <c r="O607" t="n">
        <v>35.103632</v>
      </c>
      <c r="P607" t="n">
        <v>0.09090909</v>
      </c>
      <c r="Q607" t="n">
        <v>0.33333333</v>
      </c>
      <c r="R607" t="n">
        <v>0.42424242</v>
      </c>
      <c r="S607" t="n">
        <v>1.3655303</v>
      </c>
      <c r="T607" t="n">
        <v>1.28566465</v>
      </c>
      <c r="U607" t="n">
        <v>37.284275</v>
      </c>
      <c r="V607" t="b">
        <v>1</v>
      </c>
      <c r="W607" t="n">
        <v>1</v>
      </c>
      <c r="X607" t="inlineStr">
        <is>
          <t>role_subrole_balanced_score = base_support_score * capped sqrt(avg_macro_multiplier * avg_subrole_multiplier); role/subrole quota constraints use inverse weights.</t>
        </is>
      </c>
    </row>
    <row r="608">
      <c r="A608" t="inlineStr">
        <is>
          <t>C0607</t>
        </is>
      </c>
      <c r="B608" t="inlineStr">
        <is>
          <t>x_0607</t>
        </is>
      </c>
      <c r="C608" t="inlineStr">
        <is>
          <t>Hochschule für Musik Mainz</t>
        </is>
      </c>
      <c r="D608" t="inlineStr">
        <is>
          <t>academic_support</t>
        </is>
      </c>
      <c r="E608" t="inlineStr">
        <is>
          <t>university_applied_sciences</t>
        </is>
      </c>
      <c r="F608" t="inlineStr">
        <is>
          <t>ZDF – Zweites Deutsches Fernsehen</t>
        </is>
      </c>
      <c r="G608" t="inlineStr">
        <is>
          <t>context_actor</t>
        </is>
      </c>
      <c r="H608" t="inlineStr">
        <is>
          <t>media_publicity_anchor</t>
        </is>
      </c>
      <c r="I608" t="n">
        <v>29</v>
      </c>
      <c r="J608" t="n">
        <v>0</v>
      </c>
      <c r="K608" t="n">
        <v>0.05555556</v>
      </c>
      <c r="L608" t="n">
        <v>0.03846154</v>
      </c>
      <c r="M608" t="n">
        <v>0.09401709</v>
      </c>
      <c r="N608" t="n">
        <v>1.21047009</v>
      </c>
      <c r="O608" t="n">
        <v>35.103632</v>
      </c>
      <c r="P608" t="n">
        <v>0.09090909</v>
      </c>
      <c r="Q608" t="n">
        <v>0.33333333</v>
      </c>
      <c r="R608" t="n">
        <v>0.42424242</v>
      </c>
      <c r="S608" t="n">
        <v>1.3655303</v>
      </c>
      <c r="T608" t="n">
        <v>1.28566465</v>
      </c>
      <c r="U608" t="n">
        <v>37.284275</v>
      </c>
      <c r="V608" t="b">
        <v>1</v>
      </c>
      <c r="W608" t="n">
        <v>1</v>
      </c>
      <c r="X608" t="inlineStr">
        <is>
          <t>role_subrole_balanced_score = base_support_score * capped sqrt(avg_macro_multiplier * avg_subrole_multiplier); role/subrole quota constraints use inverse weights.</t>
        </is>
      </c>
    </row>
    <row r="609">
      <c r="A609" t="inlineStr">
        <is>
          <t>C0608</t>
        </is>
      </c>
      <c r="B609" t="inlineStr">
        <is>
          <t>x_0608</t>
        </is>
      </c>
      <c r="C609" t="inlineStr">
        <is>
          <t>LOTTO Rheinland-Pfalz GmbH</t>
        </is>
      </c>
      <c r="D609" t="inlineStr">
        <is>
          <t>profit_anchor</t>
        </is>
      </c>
      <c r="E609" t="inlineStr">
        <is>
          <t>culture_foundation_anchor</t>
        </is>
      </c>
      <c r="F609" t="inlineStr">
        <is>
          <t>SWR – Südwestrundfunk</t>
        </is>
      </c>
      <c r="G609" t="inlineStr">
        <is>
          <t>context_actor</t>
        </is>
      </c>
      <c r="H609" t="inlineStr">
        <is>
          <t>media_publicity_anchor</t>
        </is>
      </c>
      <c r="I609" t="n">
        <v>29</v>
      </c>
      <c r="J609" t="n">
        <v>0</v>
      </c>
      <c r="K609" t="n">
        <v>0.02040816</v>
      </c>
      <c r="L609" t="n">
        <v>0.03846154</v>
      </c>
      <c r="M609" t="n">
        <v>0.0588697</v>
      </c>
      <c r="N609" t="n">
        <v>0.75794741</v>
      </c>
      <c r="O609" t="n">
        <v>21.980475</v>
      </c>
      <c r="P609" t="n">
        <v>0.33333333</v>
      </c>
      <c r="Q609" t="n">
        <v>0.33333333</v>
      </c>
      <c r="R609" t="n">
        <v>0.66666667</v>
      </c>
      <c r="S609" t="n">
        <v>2.14583333</v>
      </c>
      <c r="T609" t="n">
        <v>1.27531518</v>
      </c>
      <c r="U609" t="n">
        <v>36.98414</v>
      </c>
      <c r="V609" t="b">
        <v>0</v>
      </c>
      <c r="W609" t="n">
        <v>0</v>
      </c>
      <c r="X609" t="inlineStr">
        <is>
          <t>role_subrole_balanced_score = base_support_score * capped sqrt(avg_macro_multiplier * avg_subrole_multiplier); role/subrole quota constraints use inverse weights.</t>
        </is>
      </c>
    </row>
    <row r="610">
      <c r="A610" t="inlineStr">
        <is>
          <t>C0609</t>
        </is>
      </c>
      <c r="B610" t="inlineStr">
        <is>
          <t>x_0609</t>
        </is>
      </c>
      <c r="C610" t="inlineStr">
        <is>
          <t>LOTTO Rheinland-Pfalz GmbH</t>
        </is>
      </c>
      <c r="D610" t="inlineStr">
        <is>
          <t>profit_anchor</t>
        </is>
      </c>
      <c r="E610" t="inlineStr">
        <is>
          <t>culture_foundation_anchor</t>
        </is>
      </c>
      <c r="F610" t="inlineStr">
        <is>
          <t>ZDF – Zweites Deutsches Fernsehen</t>
        </is>
      </c>
      <c r="G610" t="inlineStr">
        <is>
          <t>context_actor</t>
        </is>
      </c>
      <c r="H610" t="inlineStr">
        <is>
          <t>media_publicity_anchor</t>
        </is>
      </c>
      <c r="I610" t="n">
        <v>29</v>
      </c>
      <c r="J610" t="n">
        <v>0</v>
      </c>
      <c r="K610" t="n">
        <v>0.02040816</v>
      </c>
      <c r="L610" t="n">
        <v>0.03846154</v>
      </c>
      <c r="M610" t="n">
        <v>0.0588697</v>
      </c>
      <c r="N610" t="n">
        <v>0.75794741</v>
      </c>
      <c r="O610" t="n">
        <v>21.980475</v>
      </c>
      <c r="P610" t="n">
        <v>0.33333333</v>
      </c>
      <c r="Q610" t="n">
        <v>0.33333333</v>
      </c>
      <c r="R610" t="n">
        <v>0.66666667</v>
      </c>
      <c r="S610" t="n">
        <v>2.14583333</v>
      </c>
      <c r="T610" t="n">
        <v>1.27531518</v>
      </c>
      <c r="U610" t="n">
        <v>36.98414</v>
      </c>
      <c r="V610" t="b">
        <v>0</v>
      </c>
      <c r="W610" t="n">
        <v>0</v>
      </c>
      <c r="X610" t="inlineStr">
        <is>
          <t>role_subrole_balanced_score = base_support_score * capped sqrt(avg_macro_multiplier * avg_subrole_multiplier); role/subrole quota constraints use inverse weights.</t>
        </is>
      </c>
    </row>
    <row r="611">
      <c r="A611" t="inlineStr">
        <is>
          <t>C0610</t>
        </is>
      </c>
      <c r="B611" t="inlineStr">
        <is>
          <t>x_0610</t>
        </is>
      </c>
      <c r="C611" t="inlineStr">
        <is>
          <t>AOK Rheinland-Pfalz/Saarland</t>
        </is>
      </c>
      <c r="D611" t="inlineStr">
        <is>
          <t>context_actor</t>
        </is>
      </c>
      <c r="E611" t="inlineStr">
        <is>
          <t>health_social_anchor</t>
        </is>
      </c>
      <c r="F611" t="inlineStr">
        <is>
          <t>GLOBUS Markthallen Holding GmbH &amp; Co. KG</t>
        </is>
      </c>
      <c r="G611" t="inlineStr">
        <is>
          <t>profit_anchor</t>
        </is>
      </c>
      <c r="H611" t="inlineStr">
        <is>
          <t>food_beverage_consumer_anchor</t>
        </is>
      </c>
      <c r="I611" t="n">
        <v>29</v>
      </c>
      <c r="J611" t="n">
        <v>0</v>
      </c>
      <c r="K611" t="n">
        <v>0.03846154</v>
      </c>
      <c r="L611" t="n">
        <v>0.02040816</v>
      </c>
      <c r="M611" t="n">
        <v>0.0588697</v>
      </c>
      <c r="N611" t="n">
        <v>0.75794741</v>
      </c>
      <c r="O611" t="n">
        <v>21.980475</v>
      </c>
      <c r="P611" t="n">
        <v>0.08333333</v>
      </c>
      <c r="Q611" t="n">
        <v>0.2</v>
      </c>
      <c r="R611" t="n">
        <v>0.28333333</v>
      </c>
      <c r="S611" t="n">
        <v>0.91197917</v>
      </c>
      <c r="T611" t="n">
        <v>0.83140378</v>
      </c>
      <c r="U611" t="n">
        <v>24.11071</v>
      </c>
      <c r="V611" t="b">
        <v>0</v>
      </c>
      <c r="W611" t="n">
        <v>0</v>
      </c>
      <c r="X611" t="inlineStr">
        <is>
          <t>role_subrole_balanced_score = base_support_score * capped sqrt(avg_macro_multiplier * avg_subrole_multiplier); role/subrole quota constraints use inverse weights.</t>
        </is>
      </c>
    </row>
    <row r="612">
      <c r="A612" t="inlineStr">
        <is>
          <t>C0611</t>
        </is>
      </c>
      <c r="B612" t="inlineStr">
        <is>
          <t>x_0611</t>
        </is>
      </c>
      <c r="C612" t="inlineStr">
        <is>
          <t>GLOBUS Markthallen Holding GmbH &amp; Co. KG</t>
        </is>
      </c>
      <c r="D612" t="inlineStr">
        <is>
          <t>profit_anchor</t>
        </is>
      </c>
      <c r="E612" t="inlineStr">
        <is>
          <t>food_beverage_consumer_anchor</t>
        </is>
      </c>
      <c r="F612" t="inlineStr">
        <is>
          <t>IKK Südwest</t>
        </is>
      </c>
      <c r="G612" t="inlineStr">
        <is>
          <t>context_actor</t>
        </is>
      </c>
      <c r="H612" t="inlineStr">
        <is>
          <t>health_social_anchor</t>
        </is>
      </c>
      <c r="I612" t="n">
        <v>29</v>
      </c>
      <c r="J612" t="n">
        <v>0</v>
      </c>
      <c r="K612" t="n">
        <v>0.02040816</v>
      </c>
      <c r="L612" t="n">
        <v>0.03846154</v>
      </c>
      <c r="M612" t="n">
        <v>0.0588697</v>
      </c>
      <c r="N612" t="n">
        <v>0.75794741</v>
      </c>
      <c r="O612" t="n">
        <v>21.980475</v>
      </c>
      <c r="P612" t="n">
        <v>0.2</v>
      </c>
      <c r="Q612" t="n">
        <v>0.08333333</v>
      </c>
      <c r="R612" t="n">
        <v>0.28333333</v>
      </c>
      <c r="S612" t="n">
        <v>0.91197917</v>
      </c>
      <c r="T612" t="n">
        <v>0.83140378</v>
      </c>
      <c r="U612" t="n">
        <v>24.11071</v>
      </c>
      <c r="V612" t="b">
        <v>0</v>
      </c>
      <c r="W612" t="n">
        <v>0</v>
      </c>
      <c r="X612" t="inlineStr">
        <is>
          <t>role_subrole_balanced_score = base_support_score * capped sqrt(avg_macro_multiplier * avg_subrole_multiplier); role/subrole quota constraints use inverse weights.</t>
        </is>
      </c>
    </row>
    <row r="613">
      <c r="A613" t="inlineStr">
        <is>
          <t>C0612</t>
        </is>
      </c>
      <c r="B613" t="inlineStr">
        <is>
          <t>x_0612</t>
        </is>
      </c>
      <c r="C613" t="inlineStr">
        <is>
          <t>GLOBUS Markthallen Holding GmbH &amp; Co. KG</t>
        </is>
      </c>
      <c r="D613" t="inlineStr">
        <is>
          <t>profit_anchor</t>
        </is>
      </c>
      <c r="E613" t="inlineStr">
        <is>
          <t>food_beverage_consumer_anchor</t>
        </is>
      </c>
      <c r="F613" t="inlineStr">
        <is>
          <t>RPR1.</t>
        </is>
      </c>
      <c r="G613" t="inlineStr">
        <is>
          <t>context_actor</t>
        </is>
      </c>
      <c r="H613" t="inlineStr">
        <is>
          <t>media_publicity_anchor</t>
        </is>
      </c>
      <c r="I613" t="n">
        <v>29</v>
      </c>
      <c r="J613" t="n">
        <v>0</v>
      </c>
      <c r="K613" t="n">
        <v>0.02040816</v>
      </c>
      <c r="L613" t="n">
        <v>0.03846154</v>
      </c>
      <c r="M613" t="n">
        <v>0.0588697</v>
      </c>
      <c r="N613" t="n">
        <v>0.75794741</v>
      </c>
      <c r="O613" t="n">
        <v>21.980475</v>
      </c>
      <c r="P613" t="n">
        <v>0.2</v>
      </c>
      <c r="Q613" t="n">
        <v>0.33333333</v>
      </c>
      <c r="R613" t="n">
        <v>0.53333333</v>
      </c>
      <c r="S613" t="n">
        <v>1.71666667</v>
      </c>
      <c r="T613" t="n">
        <v>1.14067658</v>
      </c>
      <c r="U613" t="n">
        <v>33.079621</v>
      </c>
      <c r="V613" t="b">
        <v>0</v>
      </c>
      <c r="W613" t="n">
        <v>0</v>
      </c>
      <c r="X613" t="inlineStr">
        <is>
          <t>role_subrole_balanced_score = base_support_score * capped sqrt(avg_macro_multiplier * avg_subrole_multiplier); role/subrole quota constraints use inverse weights.</t>
        </is>
      </c>
    </row>
    <row r="614">
      <c r="A614" t="inlineStr">
        <is>
          <t>C0613</t>
        </is>
      </c>
      <c r="B614" t="inlineStr">
        <is>
          <t>x_0613</t>
        </is>
      </c>
      <c r="C614" t="inlineStr">
        <is>
          <t>GLOBUS Markthallen Holding GmbH &amp; Co. KG</t>
        </is>
      </c>
      <c r="D614" t="inlineStr">
        <is>
          <t>profit_anchor</t>
        </is>
      </c>
      <c r="E614" t="inlineStr">
        <is>
          <t>food_beverage_consumer_anchor</t>
        </is>
      </c>
      <c r="F614" t="inlineStr">
        <is>
          <t>Techniker Krankenkasse</t>
        </is>
      </c>
      <c r="G614" t="inlineStr">
        <is>
          <t>context_actor</t>
        </is>
      </c>
      <c r="H614" t="inlineStr">
        <is>
          <t>health_social_anchor</t>
        </is>
      </c>
      <c r="I614" t="n">
        <v>29</v>
      </c>
      <c r="J614" t="n">
        <v>0</v>
      </c>
      <c r="K614" t="n">
        <v>0.02040816</v>
      </c>
      <c r="L614" t="n">
        <v>0.03846154</v>
      </c>
      <c r="M614" t="n">
        <v>0.0588697</v>
      </c>
      <c r="N614" t="n">
        <v>0.75794741</v>
      </c>
      <c r="O614" t="n">
        <v>21.980475</v>
      </c>
      <c r="P614" t="n">
        <v>0.2</v>
      </c>
      <c r="Q614" t="n">
        <v>0.08333333</v>
      </c>
      <c r="R614" t="n">
        <v>0.28333333</v>
      </c>
      <c r="S614" t="n">
        <v>0.91197917</v>
      </c>
      <c r="T614" t="n">
        <v>0.83140378</v>
      </c>
      <c r="U614" t="n">
        <v>24.11071</v>
      </c>
      <c r="V614" t="b">
        <v>0</v>
      </c>
      <c r="W614" t="n">
        <v>0</v>
      </c>
      <c r="X614" t="inlineStr">
        <is>
          <t>role_subrole_balanced_score = base_support_score * capped sqrt(avg_macro_multiplier * avg_subrole_multiplier); role/subrole quota constraints use inverse weights.</t>
        </is>
      </c>
    </row>
    <row r="615">
      <c r="A615" t="inlineStr">
        <is>
          <t>C0614</t>
        </is>
      </c>
      <c r="B615" t="inlineStr">
        <is>
          <t>x_0614</t>
        </is>
      </c>
      <c r="C615" t="inlineStr">
        <is>
          <t>Landkreistag Rheinland-Pfalz</t>
        </is>
      </c>
      <c r="D615" t="inlineStr">
        <is>
          <t>context_actor</t>
        </is>
      </c>
      <c r="E615" t="inlineStr">
        <is>
          <t>public_policy_anchor</t>
        </is>
      </c>
      <c r="F615" t="inlineStr">
        <is>
          <t>Universität Koblenz</t>
        </is>
      </c>
      <c r="G615" t="inlineStr">
        <is>
          <t>academic_support</t>
        </is>
      </c>
      <c r="H615" t="inlineStr">
        <is>
          <t>university_research</t>
        </is>
      </c>
      <c r="I615" t="n">
        <v>29</v>
      </c>
      <c r="J615" t="n">
        <v>0</v>
      </c>
      <c r="K615" t="n">
        <v>0.03846154</v>
      </c>
      <c r="L615" t="n">
        <v>0.05555556</v>
      </c>
      <c r="M615" t="n">
        <v>0.09401709</v>
      </c>
      <c r="N615" t="n">
        <v>1.21047009</v>
      </c>
      <c r="O615" t="n">
        <v>35.103632</v>
      </c>
      <c r="P615" t="n">
        <v>0.16666667</v>
      </c>
      <c r="Q615" t="n">
        <v>0.14285714</v>
      </c>
      <c r="R615" t="n">
        <v>0.30952381</v>
      </c>
      <c r="S615" t="n">
        <v>0.99627976</v>
      </c>
      <c r="T615" t="n">
        <v>1.09816522</v>
      </c>
      <c r="U615" t="n">
        <v>31.846791</v>
      </c>
      <c r="V615" t="b">
        <v>1</v>
      </c>
      <c r="W615" t="n">
        <v>1</v>
      </c>
      <c r="X615" t="inlineStr">
        <is>
          <t>role_subrole_balanced_score = base_support_score * capped sqrt(avg_macro_multiplier * avg_subrole_multiplier); role/subrole quota constraints use inverse weights.</t>
        </is>
      </c>
    </row>
    <row r="616">
      <c r="A616" t="inlineStr">
        <is>
          <t>C0615</t>
        </is>
      </c>
      <c r="B616" t="inlineStr">
        <is>
          <t>x_0615</t>
        </is>
      </c>
      <c r="C616" t="inlineStr">
        <is>
          <t>Sparkassenverband Rheinland-Pfalz</t>
        </is>
      </c>
      <c r="D616" t="inlineStr">
        <is>
          <t>profit_anchor</t>
        </is>
      </c>
      <c r="E616" t="inlineStr">
        <is>
          <t>bank_finance_anchor</t>
        </is>
      </c>
      <c r="F616" t="inlineStr">
        <is>
          <t>Universität Koblenz</t>
        </is>
      </c>
      <c r="G616" t="inlineStr">
        <is>
          <t>academic_support</t>
        </is>
      </c>
      <c r="H616" t="inlineStr">
        <is>
          <t>university_research</t>
        </is>
      </c>
      <c r="I616" t="n">
        <v>29</v>
      </c>
      <c r="J616" t="n">
        <v>0</v>
      </c>
      <c r="K616" t="n">
        <v>0.02040816</v>
      </c>
      <c r="L616" t="n">
        <v>0.05555556</v>
      </c>
      <c r="M616" t="n">
        <v>0.07596372</v>
      </c>
      <c r="N616" t="n">
        <v>0.97803288</v>
      </c>
      <c r="O616" t="n">
        <v>28.362954</v>
      </c>
      <c r="P616" t="n">
        <v>0.14285714</v>
      </c>
      <c r="Q616" t="n">
        <v>0.14285714</v>
      </c>
      <c r="R616" t="n">
        <v>0.28571429</v>
      </c>
      <c r="S616" t="n">
        <v>0.91964286</v>
      </c>
      <c r="T616" t="n">
        <v>0.94838861</v>
      </c>
      <c r="U616" t="n">
        <v>27.50327</v>
      </c>
      <c r="V616" t="b">
        <v>1</v>
      </c>
      <c r="W616" t="n">
        <v>1</v>
      </c>
      <c r="X616" t="inlineStr">
        <is>
          <t>role_subrole_balanced_score = base_support_score * capped sqrt(avg_macro_multiplier * avg_subrole_multiplier); role/subrole quota constraints use inverse weights.</t>
        </is>
      </c>
    </row>
    <row r="617">
      <c r="A617" t="inlineStr">
        <is>
          <t>C0616</t>
        </is>
      </c>
      <c r="B617" t="inlineStr">
        <is>
          <t>x_0616</t>
        </is>
      </c>
      <c r="C617" t="inlineStr">
        <is>
          <t>Staatskanzlei des Landes Rheinland-Pfalz</t>
        </is>
      </c>
      <c r="D617" t="inlineStr">
        <is>
          <t>context_actor</t>
        </is>
      </c>
      <c r="E617" t="inlineStr">
        <is>
          <t>public_policy_anchor</t>
        </is>
      </c>
      <c r="F617" t="inlineStr">
        <is>
          <t>Universität Koblenz</t>
        </is>
      </c>
      <c r="G617" t="inlineStr">
        <is>
          <t>academic_support</t>
        </is>
      </c>
      <c r="H617" t="inlineStr">
        <is>
          <t>university_research</t>
        </is>
      </c>
      <c r="I617" t="n">
        <v>29</v>
      </c>
      <c r="J617" t="n">
        <v>0</v>
      </c>
      <c r="K617" t="n">
        <v>0.03846154</v>
      </c>
      <c r="L617" t="n">
        <v>0.05555556</v>
      </c>
      <c r="M617" t="n">
        <v>0.09401709</v>
      </c>
      <c r="N617" t="n">
        <v>1.21047009</v>
      </c>
      <c r="O617" t="n">
        <v>35.103632</v>
      </c>
      <c r="P617" t="n">
        <v>0.16666667</v>
      </c>
      <c r="Q617" t="n">
        <v>0.14285714</v>
      </c>
      <c r="R617" t="n">
        <v>0.30952381</v>
      </c>
      <c r="S617" t="n">
        <v>0.99627976</v>
      </c>
      <c r="T617" t="n">
        <v>1.09816522</v>
      </c>
      <c r="U617" t="n">
        <v>31.846791</v>
      </c>
      <c r="V617" t="b">
        <v>1</v>
      </c>
      <c r="W617" t="n">
        <v>1</v>
      </c>
      <c r="X617" t="inlineStr">
        <is>
          <t>role_subrole_balanced_score = base_support_score * capped sqrt(avg_macro_multiplier * avg_subrole_multiplier); role/subrole quota constraints use inverse weights.</t>
        </is>
      </c>
    </row>
    <row r="618">
      <c r="A618" t="inlineStr">
        <is>
          <t>C0617</t>
        </is>
      </c>
      <c r="B618" t="inlineStr">
        <is>
          <t>x_0617</t>
        </is>
      </c>
      <c r="C618" t="inlineStr">
        <is>
          <t>Städtetag Rheinland-Pfalz</t>
        </is>
      </c>
      <c r="D618" t="inlineStr">
        <is>
          <t>context_actor</t>
        </is>
      </c>
      <c r="E618" t="inlineStr">
        <is>
          <t>public_policy_anchor</t>
        </is>
      </c>
      <c r="F618" t="inlineStr">
        <is>
          <t>Universität Koblenz</t>
        </is>
      </c>
      <c r="G618" t="inlineStr">
        <is>
          <t>academic_support</t>
        </is>
      </c>
      <c r="H618" t="inlineStr">
        <is>
          <t>university_research</t>
        </is>
      </c>
      <c r="I618" t="n">
        <v>29</v>
      </c>
      <c r="J618" t="n">
        <v>0</v>
      </c>
      <c r="K618" t="n">
        <v>0.03846154</v>
      </c>
      <c r="L618" t="n">
        <v>0.05555556</v>
      </c>
      <c r="M618" t="n">
        <v>0.09401709</v>
      </c>
      <c r="N618" t="n">
        <v>1.21047009</v>
      </c>
      <c r="O618" t="n">
        <v>35.103632</v>
      </c>
      <c r="P618" t="n">
        <v>0.16666667</v>
      </c>
      <c r="Q618" t="n">
        <v>0.14285714</v>
      </c>
      <c r="R618" t="n">
        <v>0.30952381</v>
      </c>
      <c r="S618" t="n">
        <v>0.99627976</v>
      </c>
      <c r="T618" t="n">
        <v>1.09816522</v>
      </c>
      <c r="U618" t="n">
        <v>31.846791</v>
      </c>
      <c r="V618" t="b">
        <v>1</v>
      </c>
      <c r="W618" t="n">
        <v>1</v>
      </c>
      <c r="X618" t="inlineStr">
        <is>
          <t>role_subrole_balanced_score = base_support_score * capped sqrt(avg_macro_multiplier * avg_subrole_multiplier); role/subrole quota constraints use inverse weights.</t>
        </is>
      </c>
    </row>
    <row r="619">
      <c r="A619" t="inlineStr">
        <is>
          <t>C0618</t>
        </is>
      </c>
      <c r="B619" t="inlineStr">
        <is>
          <t>x_0618</t>
        </is>
      </c>
      <c r="C619" t="inlineStr">
        <is>
          <t>ENTEGA Plus GmbH</t>
        </is>
      </c>
      <c r="D619" t="inlineStr">
        <is>
          <t>profit_anchor</t>
        </is>
      </c>
      <c r="E619" t="inlineStr">
        <is>
          <t>energy_infrastructure_anchor</t>
        </is>
      </c>
      <c r="F619" t="inlineStr">
        <is>
          <t>Hochschule Trier</t>
        </is>
      </c>
      <c r="G619" t="inlineStr">
        <is>
          <t>academic_support</t>
        </is>
      </c>
      <c r="H619" t="inlineStr">
        <is>
          <t>university_applied_sciences</t>
        </is>
      </c>
      <c r="I619" t="n">
        <v>29</v>
      </c>
      <c r="J619" t="n">
        <v>0</v>
      </c>
      <c r="K619" t="n">
        <v>0.02040816</v>
      </c>
      <c r="L619" t="n">
        <v>0.05555556</v>
      </c>
      <c r="M619" t="n">
        <v>0.07596372</v>
      </c>
      <c r="N619" t="n">
        <v>0.97803288</v>
      </c>
      <c r="O619" t="n">
        <v>28.362954</v>
      </c>
      <c r="P619" t="n">
        <v>0.11111111</v>
      </c>
      <c r="Q619" t="n">
        <v>0.09090909</v>
      </c>
      <c r="R619" t="n">
        <v>0.2020202</v>
      </c>
      <c r="S619" t="n">
        <v>0.6502525300000001</v>
      </c>
      <c r="T619" t="n">
        <v>0.7974762399999999</v>
      </c>
      <c r="U619" t="n">
        <v>23.126811</v>
      </c>
      <c r="V619" t="b">
        <v>1</v>
      </c>
      <c r="W619" t="n">
        <v>1</v>
      </c>
      <c r="X619" t="inlineStr">
        <is>
          <t>role_subrole_balanced_score = base_support_score * capped sqrt(avg_macro_multiplier * avg_subrole_multiplier); role/subrole quota constraints use inverse weights.</t>
        </is>
      </c>
    </row>
    <row r="620">
      <c r="A620" t="inlineStr">
        <is>
          <t>C0619</t>
        </is>
      </c>
      <c r="B620" t="inlineStr">
        <is>
          <t>x_0619</t>
        </is>
      </c>
      <c r="C620" t="inlineStr">
        <is>
          <t>Hochschule Trier</t>
        </is>
      </c>
      <c r="D620" t="inlineStr">
        <is>
          <t>academic_support</t>
        </is>
      </c>
      <c r="E620" t="inlineStr">
        <is>
          <t>university_applied_sciences</t>
        </is>
      </c>
      <c r="F620" t="inlineStr">
        <is>
          <t>Pfalzwerke AG</t>
        </is>
      </c>
      <c r="G620" t="inlineStr">
        <is>
          <t>profit_anchor</t>
        </is>
      </c>
      <c r="H620" t="inlineStr">
        <is>
          <t>energy_infrastructure_anchor</t>
        </is>
      </c>
      <c r="I620" t="n">
        <v>29</v>
      </c>
      <c r="J620" t="n">
        <v>0</v>
      </c>
      <c r="K620" t="n">
        <v>0.05555556</v>
      </c>
      <c r="L620" t="n">
        <v>0.02040816</v>
      </c>
      <c r="M620" t="n">
        <v>0.07596372</v>
      </c>
      <c r="N620" t="n">
        <v>0.97803288</v>
      </c>
      <c r="O620" t="n">
        <v>28.362954</v>
      </c>
      <c r="P620" t="n">
        <v>0.09090909</v>
      </c>
      <c r="Q620" t="n">
        <v>0.11111111</v>
      </c>
      <c r="R620" t="n">
        <v>0.2020202</v>
      </c>
      <c r="S620" t="n">
        <v>0.6502525300000001</v>
      </c>
      <c r="T620" t="n">
        <v>0.7974762399999999</v>
      </c>
      <c r="U620" t="n">
        <v>23.126811</v>
      </c>
      <c r="V620" t="b">
        <v>1</v>
      </c>
      <c r="W620" t="n">
        <v>1</v>
      </c>
      <c r="X620" t="inlineStr">
        <is>
          <t>role_subrole_balanced_score = base_support_score * capped sqrt(avg_macro_multiplier * avg_subrole_multiplier); role/subrole quota constraints use inverse weights.</t>
        </is>
      </c>
    </row>
    <row r="621">
      <c r="A621" t="inlineStr">
        <is>
          <t>C0620</t>
        </is>
      </c>
      <c r="B621" t="inlineStr">
        <is>
          <t>x_0620</t>
        </is>
      </c>
      <c r="C621" t="inlineStr">
        <is>
          <t>Hochschule Trier</t>
        </is>
      </c>
      <c r="D621" t="inlineStr">
        <is>
          <t>academic_support</t>
        </is>
      </c>
      <c r="E621" t="inlineStr">
        <is>
          <t>university_applied_sciences</t>
        </is>
      </c>
      <c r="F621" t="inlineStr">
        <is>
          <t>Westenergie AG</t>
        </is>
      </c>
      <c r="G621" t="inlineStr">
        <is>
          <t>profit_anchor</t>
        </is>
      </c>
      <c r="H621" t="inlineStr">
        <is>
          <t>energy_infrastructure_anchor</t>
        </is>
      </c>
      <c r="I621" t="n">
        <v>29</v>
      </c>
      <c r="J621" t="n">
        <v>0</v>
      </c>
      <c r="K621" t="n">
        <v>0.05555556</v>
      </c>
      <c r="L621" t="n">
        <v>0.02040816</v>
      </c>
      <c r="M621" t="n">
        <v>0.07596372</v>
      </c>
      <c r="N621" t="n">
        <v>0.97803288</v>
      </c>
      <c r="O621" t="n">
        <v>28.362954</v>
      </c>
      <c r="P621" t="n">
        <v>0.09090909</v>
      </c>
      <c r="Q621" t="n">
        <v>0.11111111</v>
      </c>
      <c r="R621" t="n">
        <v>0.2020202</v>
      </c>
      <c r="S621" t="n">
        <v>0.6502525300000001</v>
      </c>
      <c r="T621" t="n">
        <v>0.7974762399999999</v>
      </c>
      <c r="U621" t="n">
        <v>23.126811</v>
      </c>
      <c r="V621" t="b">
        <v>1</v>
      </c>
      <c r="W621" t="n">
        <v>1</v>
      </c>
      <c r="X621" t="inlineStr">
        <is>
          <t>role_subrole_balanced_score = base_support_score * capped sqrt(avg_macro_multiplier * avg_subrole_multiplier); role/subrole quota constraints use inverse weights.</t>
        </is>
      </c>
    </row>
    <row r="622">
      <c r="A622" t="inlineStr">
        <is>
          <t>C0621</t>
        </is>
      </c>
      <c r="B622" t="inlineStr">
        <is>
          <t>x_0621</t>
        </is>
      </c>
      <c r="C622" t="inlineStr">
        <is>
          <t>Deutsche Universität für Verwaltungswissenschaften Speyer</t>
        </is>
      </c>
      <c r="D622" t="inlineStr">
        <is>
          <t>academic_support</t>
        </is>
      </c>
      <c r="E622" t="inlineStr">
        <is>
          <t>university_research</t>
        </is>
      </c>
      <c r="F622" t="inlineStr">
        <is>
          <t>RPR1.</t>
        </is>
      </c>
      <c r="G622" t="inlineStr">
        <is>
          <t>context_actor</t>
        </is>
      </c>
      <c r="H622" t="inlineStr">
        <is>
          <t>media_publicity_anchor</t>
        </is>
      </c>
      <c r="I622" t="n">
        <v>29</v>
      </c>
      <c r="J622" t="n">
        <v>0</v>
      </c>
      <c r="K622" t="n">
        <v>0.05555556</v>
      </c>
      <c r="L622" t="n">
        <v>0.03846154</v>
      </c>
      <c r="M622" t="n">
        <v>0.09401709</v>
      </c>
      <c r="N622" t="n">
        <v>1.21047009</v>
      </c>
      <c r="O622" t="n">
        <v>35.103632</v>
      </c>
      <c r="P622" t="n">
        <v>0.14285714</v>
      </c>
      <c r="Q622" t="n">
        <v>0.33333333</v>
      </c>
      <c r="R622" t="n">
        <v>0.47619048</v>
      </c>
      <c r="S622" t="n">
        <v>1.5327381</v>
      </c>
      <c r="T622" t="n">
        <v>1.36210631</v>
      </c>
      <c r="U622" t="n">
        <v>39.501083</v>
      </c>
      <c r="V622" t="b">
        <v>1</v>
      </c>
      <c r="W622" t="n">
        <v>1</v>
      </c>
      <c r="X622" t="inlineStr">
        <is>
          <t>role_subrole_balanced_score = base_support_score * capped sqrt(avg_macro_multiplier * avg_subrole_multiplier); role/subrole quota constraints use inverse weights.</t>
        </is>
      </c>
    </row>
    <row r="623">
      <c r="A623" t="inlineStr">
        <is>
          <t>C0622</t>
        </is>
      </c>
      <c r="B623" t="inlineStr">
        <is>
          <t>x_0622</t>
        </is>
      </c>
      <c r="C623" t="inlineStr">
        <is>
          <t>Evangelische Kirche der Pfalz</t>
        </is>
      </c>
      <c r="D623" t="inlineStr">
        <is>
          <t>context_actor</t>
        </is>
      </c>
      <c r="E623" t="inlineStr">
        <is>
          <t>culture_foundation_anchor</t>
        </is>
      </c>
      <c r="F623" t="inlineStr">
        <is>
          <t>Universität Koblenz</t>
        </is>
      </c>
      <c r="G623" t="inlineStr">
        <is>
          <t>academic_support</t>
        </is>
      </c>
      <c r="H623" t="inlineStr">
        <is>
          <t>university_research</t>
        </is>
      </c>
      <c r="I623" t="n">
        <v>29</v>
      </c>
      <c r="J623" t="n">
        <v>0</v>
      </c>
      <c r="K623" t="n">
        <v>0.03846154</v>
      </c>
      <c r="L623" t="n">
        <v>0.05555556</v>
      </c>
      <c r="M623" t="n">
        <v>0.09401709</v>
      </c>
      <c r="N623" t="n">
        <v>1.21047009</v>
      </c>
      <c r="O623" t="n">
        <v>35.103632</v>
      </c>
      <c r="P623" t="n">
        <v>0.33333333</v>
      </c>
      <c r="Q623" t="n">
        <v>0.14285714</v>
      </c>
      <c r="R623" t="n">
        <v>0.47619048</v>
      </c>
      <c r="S623" t="n">
        <v>1.5327381</v>
      </c>
      <c r="T623" t="n">
        <v>1.36210631</v>
      </c>
      <c r="U623" t="n">
        <v>39.501083</v>
      </c>
      <c r="V623" t="b">
        <v>1</v>
      </c>
      <c r="W623" t="n">
        <v>1</v>
      </c>
      <c r="X623" t="inlineStr">
        <is>
          <t>role_subrole_balanced_score = base_support_score * capped sqrt(avg_macro_multiplier * avg_subrole_multiplier); role/subrole quota constraints use inverse weights.</t>
        </is>
      </c>
    </row>
    <row r="624">
      <c r="A624" t="inlineStr">
        <is>
          <t>C0623</t>
        </is>
      </c>
      <c r="B624" t="inlineStr">
        <is>
          <t>x_0623</t>
        </is>
      </c>
      <c r="C624" t="inlineStr">
        <is>
          <t>Evangelische Kirche der Pfalz</t>
        </is>
      </c>
      <c r="D624" t="inlineStr">
        <is>
          <t>context_actor</t>
        </is>
      </c>
      <c r="E624" t="inlineStr">
        <is>
          <t>culture_foundation_anchor</t>
        </is>
      </c>
      <c r="F624" t="inlineStr">
        <is>
          <t>Vinzenz Pallotti University gGmbH</t>
        </is>
      </c>
      <c r="G624" t="inlineStr">
        <is>
          <t>academic_support</t>
        </is>
      </c>
      <c r="H624" t="inlineStr">
        <is>
          <t>university_research</t>
        </is>
      </c>
      <c r="I624" t="n">
        <v>29</v>
      </c>
      <c r="J624" t="n">
        <v>0</v>
      </c>
      <c r="K624" t="n">
        <v>0.03846154</v>
      </c>
      <c r="L624" t="n">
        <v>0.05555556</v>
      </c>
      <c r="M624" t="n">
        <v>0.09401709</v>
      </c>
      <c r="N624" t="n">
        <v>1.21047009</v>
      </c>
      <c r="O624" t="n">
        <v>35.103632</v>
      </c>
      <c r="P624" t="n">
        <v>0.33333333</v>
      </c>
      <c r="Q624" t="n">
        <v>0.14285714</v>
      </c>
      <c r="R624" t="n">
        <v>0.47619048</v>
      </c>
      <c r="S624" t="n">
        <v>1.5327381</v>
      </c>
      <c r="T624" t="n">
        <v>1.36210631</v>
      </c>
      <c r="U624" t="n">
        <v>39.501083</v>
      </c>
      <c r="V624" t="b">
        <v>1</v>
      </c>
      <c r="W624" t="n">
        <v>1</v>
      </c>
      <c r="X624" t="inlineStr">
        <is>
          <t>role_subrole_balanced_score = base_support_score * capped sqrt(avg_macro_multiplier * avg_subrole_multiplier); role/subrole quota constraints use inverse weights.</t>
        </is>
      </c>
    </row>
    <row r="625">
      <c r="A625" t="inlineStr">
        <is>
          <t>C0624</t>
        </is>
      </c>
      <c r="B625" t="inlineStr">
        <is>
          <t>x_0624</t>
        </is>
      </c>
      <c r="C625" t="inlineStr">
        <is>
          <t>Hochschule für Gesellschaftsgestaltung (HfGG)</t>
        </is>
      </c>
      <c r="D625" t="inlineStr">
        <is>
          <t>academic_support</t>
        </is>
      </c>
      <c r="E625" t="inlineStr">
        <is>
          <t>university_applied_sciences</t>
        </is>
      </c>
      <c r="F625" t="inlineStr">
        <is>
          <t>RPR1.</t>
        </is>
      </c>
      <c r="G625" t="inlineStr">
        <is>
          <t>context_actor</t>
        </is>
      </c>
      <c r="H625" t="inlineStr">
        <is>
          <t>media_publicity_anchor</t>
        </is>
      </c>
      <c r="I625" t="n">
        <v>29</v>
      </c>
      <c r="J625" t="n">
        <v>0</v>
      </c>
      <c r="K625" t="n">
        <v>0.05555556</v>
      </c>
      <c r="L625" t="n">
        <v>0.03846154</v>
      </c>
      <c r="M625" t="n">
        <v>0.09401709</v>
      </c>
      <c r="N625" t="n">
        <v>1.21047009</v>
      </c>
      <c r="O625" t="n">
        <v>35.103632</v>
      </c>
      <c r="P625" t="n">
        <v>0.09090909</v>
      </c>
      <c r="Q625" t="n">
        <v>0.33333333</v>
      </c>
      <c r="R625" t="n">
        <v>0.42424242</v>
      </c>
      <c r="S625" t="n">
        <v>1.3655303</v>
      </c>
      <c r="T625" t="n">
        <v>1.28566465</v>
      </c>
      <c r="U625" t="n">
        <v>37.284275</v>
      </c>
      <c r="V625" t="b">
        <v>1</v>
      </c>
      <c r="W625" t="n">
        <v>1</v>
      </c>
      <c r="X625" t="inlineStr">
        <is>
          <t>role_subrole_balanced_score = base_support_score * capped sqrt(avg_macro_multiplier * avg_subrole_multiplier); role/subrole quota constraints use inverse weights.</t>
        </is>
      </c>
    </row>
    <row r="626">
      <c r="A626" t="inlineStr">
        <is>
          <t>C0625</t>
        </is>
      </c>
      <c r="B626" t="inlineStr">
        <is>
          <t>x_0625</t>
        </is>
      </c>
      <c r="C626" t="inlineStr">
        <is>
          <t>Johannes Gutenberg-Universität Mainz</t>
        </is>
      </c>
      <c r="D626" t="inlineStr">
        <is>
          <t>academic_support</t>
        </is>
      </c>
      <c r="E626" t="inlineStr">
        <is>
          <t>university_research</t>
        </is>
      </c>
      <c r="F626" t="inlineStr">
        <is>
          <t>RPR1.</t>
        </is>
      </c>
      <c r="G626" t="inlineStr">
        <is>
          <t>context_actor</t>
        </is>
      </c>
      <c r="H626" t="inlineStr">
        <is>
          <t>media_publicity_anchor</t>
        </is>
      </c>
      <c r="I626" t="n">
        <v>29</v>
      </c>
      <c r="J626" t="n">
        <v>0</v>
      </c>
      <c r="K626" t="n">
        <v>0.05555556</v>
      </c>
      <c r="L626" t="n">
        <v>0.03846154</v>
      </c>
      <c r="M626" t="n">
        <v>0.09401709</v>
      </c>
      <c r="N626" t="n">
        <v>1.21047009</v>
      </c>
      <c r="O626" t="n">
        <v>35.103632</v>
      </c>
      <c r="P626" t="n">
        <v>0.14285714</v>
      </c>
      <c r="Q626" t="n">
        <v>0.33333333</v>
      </c>
      <c r="R626" t="n">
        <v>0.47619048</v>
      </c>
      <c r="S626" t="n">
        <v>1.5327381</v>
      </c>
      <c r="T626" t="n">
        <v>1.36210631</v>
      </c>
      <c r="U626" t="n">
        <v>39.501083</v>
      </c>
      <c r="V626" t="b">
        <v>1</v>
      </c>
      <c r="W626" t="n">
        <v>1</v>
      </c>
      <c r="X626" t="inlineStr">
        <is>
          <t>role_subrole_balanced_score = base_support_score * capped sqrt(avg_macro_multiplier * avg_subrole_multiplier); role/subrole quota constraints use inverse weights.</t>
        </is>
      </c>
    </row>
    <row r="627">
      <c r="A627" t="inlineStr">
        <is>
          <t>C0626</t>
        </is>
      </c>
      <c r="B627" t="inlineStr">
        <is>
          <t>x_0626</t>
        </is>
      </c>
      <c r="C627" t="inlineStr">
        <is>
          <t>RPR1.</t>
        </is>
      </c>
      <c r="D627" t="inlineStr">
        <is>
          <t>context_actor</t>
        </is>
      </c>
      <c r="E627" t="inlineStr">
        <is>
          <t>media_publicity_anchor</t>
        </is>
      </c>
      <c r="F627" t="inlineStr">
        <is>
          <t>Universität Trier</t>
        </is>
      </c>
      <c r="G627" t="inlineStr">
        <is>
          <t>academic_support</t>
        </is>
      </c>
      <c r="H627" t="inlineStr">
        <is>
          <t>university_research</t>
        </is>
      </c>
      <c r="I627" t="n">
        <v>29</v>
      </c>
      <c r="J627" t="n">
        <v>0</v>
      </c>
      <c r="K627" t="n">
        <v>0.03846154</v>
      </c>
      <c r="L627" t="n">
        <v>0.05555556</v>
      </c>
      <c r="M627" t="n">
        <v>0.09401709</v>
      </c>
      <c r="N627" t="n">
        <v>1.21047009</v>
      </c>
      <c r="O627" t="n">
        <v>35.103632</v>
      </c>
      <c r="P627" t="n">
        <v>0.33333333</v>
      </c>
      <c r="Q627" t="n">
        <v>0.14285714</v>
      </c>
      <c r="R627" t="n">
        <v>0.47619048</v>
      </c>
      <c r="S627" t="n">
        <v>1.5327381</v>
      </c>
      <c r="T627" t="n">
        <v>1.36210631</v>
      </c>
      <c r="U627" t="n">
        <v>39.501083</v>
      </c>
      <c r="V627" t="b">
        <v>1</v>
      </c>
      <c r="W627" t="n">
        <v>1</v>
      </c>
      <c r="X627" t="inlineStr">
        <is>
          <t>role_subrole_balanced_score = base_support_score * capped sqrt(avg_macro_multiplier * avg_subrole_multiplier); role/subrole quota constraints use inverse weights.</t>
        </is>
      </c>
    </row>
    <row r="628">
      <c r="A628" t="inlineStr">
        <is>
          <t>C0627</t>
        </is>
      </c>
      <c r="B628" t="inlineStr">
        <is>
          <t>x_0627</t>
        </is>
      </c>
      <c r="C628" t="inlineStr">
        <is>
          <t>SWR – Südwestrundfunk</t>
        </is>
      </c>
      <c r="D628" t="inlineStr">
        <is>
          <t>context_actor</t>
        </is>
      </c>
      <c r="E628" t="inlineStr">
        <is>
          <t>media_publicity_anchor</t>
        </is>
      </c>
      <c r="F628" t="inlineStr">
        <is>
          <t>Universität Koblenz</t>
        </is>
      </c>
      <c r="G628" t="inlineStr">
        <is>
          <t>academic_support</t>
        </is>
      </c>
      <c r="H628" t="inlineStr">
        <is>
          <t>university_research</t>
        </is>
      </c>
      <c r="I628" t="n">
        <v>29</v>
      </c>
      <c r="J628" t="n">
        <v>0</v>
      </c>
      <c r="K628" t="n">
        <v>0.03846154</v>
      </c>
      <c r="L628" t="n">
        <v>0.05555556</v>
      </c>
      <c r="M628" t="n">
        <v>0.09401709</v>
      </c>
      <c r="N628" t="n">
        <v>1.21047009</v>
      </c>
      <c r="O628" t="n">
        <v>35.103632</v>
      </c>
      <c r="P628" t="n">
        <v>0.33333333</v>
      </c>
      <c r="Q628" t="n">
        <v>0.14285714</v>
      </c>
      <c r="R628" t="n">
        <v>0.47619048</v>
      </c>
      <c r="S628" t="n">
        <v>1.5327381</v>
      </c>
      <c r="T628" t="n">
        <v>1.36210631</v>
      </c>
      <c r="U628" t="n">
        <v>39.501083</v>
      </c>
      <c r="V628" t="b">
        <v>1</v>
      </c>
      <c r="W628" t="n">
        <v>1</v>
      </c>
      <c r="X628" t="inlineStr">
        <is>
          <t>role_subrole_balanced_score = base_support_score * capped sqrt(avg_macro_multiplier * avg_subrole_multiplier); role/subrole quota constraints use inverse weights.</t>
        </is>
      </c>
    </row>
    <row r="629">
      <c r="A629" t="inlineStr">
        <is>
          <t>C0628</t>
        </is>
      </c>
      <c r="B629" t="inlineStr">
        <is>
          <t>x_0628</t>
        </is>
      </c>
      <c r="C629" t="inlineStr">
        <is>
          <t>SWR – Südwestrundfunk</t>
        </is>
      </c>
      <c r="D629" t="inlineStr">
        <is>
          <t>context_actor</t>
        </is>
      </c>
      <c r="E629" t="inlineStr">
        <is>
          <t>media_publicity_anchor</t>
        </is>
      </c>
      <c r="F629" t="inlineStr">
        <is>
          <t>Vinzenz Pallotti University gGmbH</t>
        </is>
      </c>
      <c r="G629" t="inlineStr">
        <is>
          <t>academic_support</t>
        </is>
      </c>
      <c r="H629" t="inlineStr">
        <is>
          <t>university_research</t>
        </is>
      </c>
      <c r="I629" t="n">
        <v>29</v>
      </c>
      <c r="J629" t="n">
        <v>0</v>
      </c>
      <c r="K629" t="n">
        <v>0.03846154</v>
      </c>
      <c r="L629" t="n">
        <v>0.05555556</v>
      </c>
      <c r="M629" t="n">
        <v>0.09401709</v>
      </c>
      <c r="N629" t="n">
        <v>1.21047009</v>
      </c>
      <c r="O629" t="n">
        <v>35.103632</v>
      </c>
      <c r="P629" t="n">
        <v>0.33333333</v>
      </c>
      <c r="Q629" t="n">
        <v>0.14285714</v>
      </c>
      <c r="R629" t="n">
        <v>0.47619048</v>
      </c>
      <c r="S629" t="n">
        <v>1.5327381</v>
      </c>
      <c r="T629" t="n">
        <v>1.36210631</v>
      </c>
      <c r="U629" t="n">
        <v>39.501083</v>
      </c>
      <c r="V629" t="b">
        <v>1</v>
      </c>
      <c r="W629" t="n">
        <v>1</v>
      </c>
      <c r="X629" t="inlineStr">
        <is>
          <t>role_subrole_balanced_score = base_support_score * capped sqrt(avg_macro_multiplier * avg_subrole_multiplier); role/subrole quota constraints use inverse weights.</t>
        </is>
      </c>
    </row>
    <row r="630">
      <c r="A630" t="inlineStr">
        <is>
          <t>C0629</t>
        </is>
      </c>
      <c r="B630" t="inlineStr">
        <is>
          <t>x_0629</t>
        </is>
      </c>
      <c r="C630" t="inlineStr">
        <is>
          <t>Staatskanzlei des Landes Rheinland-Pfalz</t>
        </is>
      </c>
      <c r="D630" t="inlineStr">
        <is>
          <t>context_actor</t>
        </is>
      </c>
      <c r="E630" t="inlineStr">
        <is>
          <t>public_policy_anchor</t>
        </is>
      </c>
      <c r="F630" t="inlineStr">
        <is>
          <t>Universität Koblenz</t>
        </is>
      </c>
      <c r="G630" t="inlineStr">
        <is>
          <t>academic_support</t>
        </is>
      </c>
      <c r="H630" t="inlineStr">
        <is>
          <t>university_research</t>
        </is>
      </c>
      <c r="I630" t="n">
        <v>29</v>
      </c>
      <c r="J630" t="n">
        <v>0</v>
      </c>
      <c r="K630" t="n">
        <v>0.03846154</v>
      </c>
      <c r="L630" t="n">
        <v>0.05555556</v>
      </c>
      <c r="M630" t="n">
        <v>0.09401709</v>
      </c>
      <c r="N630" t="n">
        <v>1.21047009</v>
      </c>
      <c r="O630" t="n">
        <v>35.103632</v>
      </c>
      <c r="P630" t="n">
        <v>0.16666667</v>
      </c>
      <c r="Q630" t="n">
        <v>0.14285714</v>
      </c>
      <c r="R630" t="n">
        <v>0.30952381</v>
      </c>
      <c r="S630" t="n">
        <v>0.99627976</v>
      </c>
      <c r="T630" t="n">
        <v>1.09816522</v>
      </c>
      <c r="U630" t="n">
        <v>31.846791</v>
      </c>
      <c r="V630" t="b">
        <v>1</v>
      </c>
      <c r="W630" t="n">
        <v>1</v>
      </c>
      <c r="X630" t="inlineStr">
        <is>
          <t>role_subrole_balanced_score = base_support_score * capped sqrt(avg_macro_multiplier * avg_subrole_multiplier); role/subrole quota constraints use inverse weights.</t>
        </is>
      </c>
    </row>
    <row r="631">
      <c r="A631" t="inlineStr">
        <is>
          <t>C0630</t>
        </is>
      </c>
      <c r="B631" t="inlineStr">
        <is>
          <t>x_0630</t>
        </is>
      </c>
      <c r="C631" t="inlineStr">
        <is>
          <t>Staatskanzlei des Landes Rheinland-Pfalz</t>
        </is>
      </c>
      <c r="D631" t="inlineStr">
        <is>
          <t>context_actor</t>
        </is>
      </c>
      <c r="E631" t="inlineStr">
        <is>
          <t>public_policy_anchor</t>
        </is>
      </c>
      <c r="F631" t="inlineStr">
        <is>
          <t>Vinzenz Pallotti University gGmbH</t>
        </is>
      </c>
      <c r="G631" t="inlineStr">
        <is>
          <t>academic_support</t>
        </is>
      </c>
      <c r="H631" t="inlineStr">
        <is>
          <t>university_research</t>
        </is>
      </c>
      <c r="I631" t="n">
        <v>29</v>
      </c>
      <c r="J631" t="n">
        <v>0</v>
      </c>
      <c r="K631" t="n">
        <v>0.03846154</v>
      </c>
      <c r="L631" t="n">
        <v>0.05555556</v>
      </c>
      <c r="M631" t="n">
        <v>0.09401709</v>
      </c>
      <c r="N631" t="n">
        <v>1.21047009</v>
      </c>
      <c r="O631" t="n">
        <v>35.103632</v>
      </c>
      <c r="P631" t="n">
        <v>0.16666667</v>
      </c>
      <c r="Q631" t="n">
        <v>0.14285714</v>
      </c>
      <c r="R631" t="n">
        <v>0.30952381</v>
      </c>
      <c r="S631" t="n">
        <v>0.99627976</v>
      </c>
      <c r="T631" t="n">
        <v>1.09816522</v>
      </c>
      <c r="U631" t="n">
        <v>31.846791</v>
      </c>
      <c r="V631" t="b">
        <v>1</v>
      </c>
      <c r="W631" t="n">
        <v>1</v>
      </c>
      <c r="X631" t="inlineStr">
        <is>
          <t>role_subrole_balanced_score = base_support_score * capped sqrt(avg_macro_multiplier * avg_subrole_multiplier); role/subrole quota constraints use inverse weights.</t>
        </is>
      </c>
    </row>
    <row r="632">
      <c r="A632" t="inlineStr">
        <is>
          <t>C0631</t>
        </is>
      </c>
      <c r="B632" t="inlineStr">
        <is>
          <t>x_0631</t>
        </is>
      </c>
      <c r="C632" t="inlineStr">
        <is>
          <t>Universität Koblenz</t>
        </is>
      </c>
      <c r="D632" t="inlineStr">
        <is>
          <t>academic_support</t>
        </is>
      </c>
      <c r="E632" t="inlineStr">
        <is>
          <t>university_research</t>
        </is>
      </c>
      <c r="F632" t="inlineStr">
        <is>
          <t>ZDF – Zweites Deutsches Fernsehen</t>
        </is>
      </c>
      <c r="G632" t="inlineStr">
        <is>
          <t>context_actor</t>
        </is>
      </c>
      <c r="H632" t="inlineStr">
        <is>
          <t>media_publicity_anchor</t>
        </is>
      </c>
      <c r="I632" t="n">
        <v>29</v>
      </c>
      <c r="J632" t="n">
        <v>0</v>
      </c>
      <c r="K632" t="n">
        <v>0.05555556</v>
      </c>
      <c r="L632" t="n">
        <v>0.03846154</v>
      </c>
      <c r="M632" t="n">
        <v>0.09401709</v>
      </c>
      <c r="N632" t="n">
        <v>1.21047009</v>
      </c>
      <c r="O632" t="n">
        <v>35.103632</v>
      </c>
      <c r="P632" t="n">
        <v>0.14285714</v>
      </c>
      <c r="Q632" t="n">
        <v>0.33333333</v>
      </c>
      <c r="R632" t="n">
        <v>0.47619048</v>
      </c>
      <c r="S632" t="n">
        <v>1.5327381</v>
      </c>
      <c r="T632" t="n">
        <v>1.36210631</v>
      </c>
      <c r="U632" t="n">
        <v>39.501083</v>
      </c>
      <c r="V632" t="b">
        <v>1</v>
      </c>
      <c r="W632" t="n">
        <v>1</v>
      </c>
      <c r="X632" t="inlineStr">
        <is>
          <t>role_subrole_balanced_score = base_support_score * capped sqrt(avg_macro_multiplier * avg_subrole_multiplier); role/subrole quota constraints use inverse weights.</t>
        </is>
      </c>
    </row>
    <row r="633">
      <c r="A633" t="inlineStr">
        <is>
          <t>C0632</t>
        </is>
      </c>
      <c r="B633" t="inlineStr">
        <is>
          <t>x_0632</t>
        </is>
      </c>
      <c r="C633" t="inlineStr">
        <is>
          <t>Vinzenz Pallotti University gGmbH</t>
        </is>
      </c>
      <c r="D633" t="inlineStr">
        <is>
          <t>academic_support</t>
        </is>
      </c>
      <c r="E633" t="inlineStr">
        <is>
          <t>university_research</t>
        </is>
      </c>
      <c r="F633" t="inlineStr">
        <is>
          <t>ZDF – Zweites Deutsches Fernsehen</t>
        </is>
      </c>
      <c r="G633" t="inlineStr">
        <is>
          <t>context_actor</t>
        </is>
      </c>
      <c r="H633" t="inlineStr">
        <is>
          <t>media_publicity_anchor</t>
        </is>
      </c>
      <c r="I633" t="n">
        <v>29</v>
      </c>
      <c r="J633" t="n">
        <v>0</v>
      </c>
      <c r="K633" t="n">
        <v>0.05555556</v>
      </c>
      <c r="L633" t="n">
        <v>0.03846154</v>
      </c>
      <c r="M633" t="n">
        <v>0.09401709</v>
      </c>
      <c r="N633" t="n">
        <v>1.21047009</v>
      </c>
      <c r="O633" t="n">
        <v>35.103632</v>
      </c>
      <c r="P633" t="n">
        <v>0.14285714</v>
      </c>
      <c r="Q633" t="n">
        <v>0.33333333</v>
      </c>
      <c r="R633" t="n">
        <v>0.47619048</v>
      </c>
      <c r="S633" t="n">
        <v>1.5327381</v>
      </c>
      <c r="T633" t="n">
        <v>1.36210631</v>
      </c>
      <c r="U633" t="n">
        <v>39.501083</v>
      </c>
      <c r="V633" t="b">
        <v>1</v>
      </c>
      <c r="W633" t="n">
        <v>1</v>
      </c>
      <c r="X633" t="inlineStr">
        <is>
          <t>role_subrole_balanced_score = base_support_score * capped sqrt(avg_macro_multiplier * avg_subrole_multiplier); role/subrole quota constraints use inverse weights.</t>
        </is>
      </c>
    </row>
    <row r="634">
      <c r="A634" t="inlineStr">
        <is>
          <t>C0633</t>
        </is>
      </c>
      <c r="B634" t="inlineStr">
        <is>
          <t>x_0633</t>
        </is>
      </c>
      <c r="C634" t="inlineStr">
        <is>
          <t>Investitions- und Strukturbank Rheinland-Pfalz (ISB)</t>
        </is>
      </c>
      <c r="D634" t="inlineStr">
        <is>
          <t>context_actor</t>
        </is>
      </c>
      <c r="E634" t="inlineStr">
        <is>
          <t>bank_finance_anchor</t>
        </is>
      </c>
      <c r="F634" t="inlineStr">
        <is>
          <t>Landesbank Baden-Württemberg (LBBW)</t>
        </is>
      </c>
      <c r="G634" t="inlineStr">
        <is>
          <t>profit_anchor</t>
        </is>
      </c>
      <c r="H634" t="inlineStr">
        <is>
          <t>bank_finance_anchor</t>
        </is>
      </c>
      <c r="I634" t="n">
        <v>28</v>
      </c>
      <c r="J634" t="n">
        <v>0</v>
      </c>
      <c r="K634" t="n">
        <v>0.03846154</v>
      </c>
      <c r="L634" t="n">
        <v>0.02040816</v>
      </c>
      <c r="M634" t="n">
        <v>0.0588697</v>
      </c>
      <c r="N634" t="n">
        <v>0.75794741</v>
      </c>
      <c r="O634" t="n">
        <v>21.222527</v>
      </c>
      <c r="P634" t="n">
        <v>0.14285714</v>
      </c>
      <c r="Q634" t="n">
        <v>0.14285714</v>
      </c>
      <c r="R634" t="n">
        <v>0.28571429</v>
      </c>
      <c r="S634" t="n">
        <v>0.91964286</v>
      </c>
      <c r="T634" t="n">
        <v>0.83488977</v>
      </c>
      <c r="U634" t="n">
        <v>23.376913</v>
      </c>
      <c r="V634" t="b">
        <v>0</v>
      </c>
      <c r="W634" t="n">
        <v>0</v>
      </c>
      <c r="X634" t="inlineStr">
        <is>
          <t>role_subrole_balanced_score = base_support_score * capped sqrt(avg_macro_multiplier * avg_subrole_multiplier); role/subrole quota constraints use inverse weights.</t>
        </is>
      </c>
    </row>
    <row r="635">
      <c r="A635" t="inlineStr">
        <is>
          <t>C0634</t>
        </is>
      </c>
      <c r="B635" t="inlineStr">
        <is>
          <t>x_0634</t>
        </is>
      </c>
      <c r="C635" t="inlineStr">
        <is>
          <t>Investitions- und Strukturbank Rheinland-Pfalz (ISB)</t>
        </is>
      </c>
      <c r="D635" t="inlineStr">
        <is>
          <t>context_actor</t>
        </is>
      </c>
      <c r="E635" t="inlineStr">
        <is>
          <t>bank_finance_anchor</t>
        </is>
      </c>
      <c r="F635" t="inlineStr">
        <is>
          <t>Michelin Reifenwerke AG &amp; Co. KGaA</t>
        </is>
      </c>
      <c r="G635" t="inlineStr">
        <is>
          <t>profit_anchor</t>
        </is>
      </c>
      <c r="H635" t="inlineStr">
        <is>
          <t>industry_anchor</t>
        </is>
      </c>
      <c r="I635" t="n">
        <v>28</v>
      </c>
      <c r="J635" t="n">
        <v>0</v>
      </c>
      <c r="K635" t="n">
        <v>0.03846154</v>
      </c>
      <c r="L635" t="n">
        <v>0.02040816</v>
      </c>
      <c r="M635" t="n">
        <v>0.0588697</v>
      </c>
      <c r="N635" t="n">
        <v>0.75794741</v>
      </c>
      <c r="O635" t="n">
        <v>21.222527</v>
      </c>
      <c r="P635" t="n">
        <v>0.14285714</v>
      </c>
      <c r="Q635" t="n">
        <v>0.09090909</v>
      </c>
      <c r="R635" t="n">
        <v>0.23376623</v>
      </c>
      <c r="S635" t="n">
        <v>0.75243506</v>
      </c>
      <c r="T635" t="n">
        <v>0.75518621</v>
      </c>
      <c r="U635" t="n">
        <v>21.145214</v>
      </c>
      <c r="V635" t="b">
        <v>0</v>
      </c>
      <c r="W635" t="n">
        <v>0</v>
      </c>
      <c r="X635" t="inlineStr">
        <is>
          <t>role_subrole_balanced_score = base_support_score * capped sqrt(avg_macro_multiplier * avg_subrole_multiplier); role/subrole quota constraints use inverse weights.</t>
        </is>
      </c>
    </row>
    <row r="636">
      <c r="A636" t="inlineStr">
        <is>
          <t>C0635</t>
        </is>
      </c>
      <c r="B636" t="inlineStr">
        <is>
          <t>x_0635</t>
        </is>
      </c>
      <c r="C636" t="inlineStr">
        <is>
          <t>Investitions- und Strukturbank Rheinland-Pfalz (ISB)</t>
        </is>
      </c>
      <c r="D636" t="inlineStr">
        <is>
          <t>context_actor</t>
        </is>
      </c>
      <c r="E636" t="inlineStr">
        <is>
          <t>bank_finance_anchor</t>
        </is>
      </c>
      <c r="F636" t="inlineStr">
        <is>
          <t>SIMONA AG</t>
        </is>
      </c>
      <c r="G636" t="inlineStr">
        <is>
          <t>profit_anchor</t>
        </is>
      </c>
      <c r="H636" t="inlineStr">
        <is>
          <t>industry_anchor</t>
        </is>
      </c>
      <c r="I636" t="n">
        <v>28</v>
      </c>
      <c r="J636" t="n">
        <v>0</v>
      </c>
      <c r="K636" t="n">
        <v>0.03846154</v>
      </c>
      <c r="L636" t="n">
        <v>0.02040816</v>
      </c>
      <c r="M636" t="n">
        <v>0.0588697</v>
      </c>
      <c r="N636" t="n">
        <v>0.75794741</v>
      </c>
      <c r="O636" t="n">
        <v>21.222527</v>
      </c>
      <c r="P636" t="n">
        <v>0.14285714</v>
      </c>
      <c r="Q636" t="n">
        <v>0.09090909</v>
      </c>
      <c r="R636" t="n">
        <v>0.23376623</v>
      </c>
      <c r="S636" t="n">
        <v>0.75243506</v>
      </c>
      <c r="T636" t="n">
        <v>0.75518621</v>
      </c>
      <c r="U636" t="n">
        <v>21.145214</v>
      </c>
      <c r="V636" t="b">
        <v>0</v>
      </c>
      <c r="W636" t="n">
        <v>0</v>
      </c>
      <c r="X636" t="inlineStr">
        <is>
          <t>role_subrole_balanced_score = base_support_score * capped sqrt(avg_macro_multiplier * avg_subrole_multiplier); role/subrole quota constraints use inverse weights.</t>
        </is>
      </c>
    </row>
    <row r="637">
      <c r="A637" t="inlineStr">
        <is>
          <t>C0636</t>
        </is>
      </c>
      <c r="B637" t="inlineStr">
        <is>
          <t>x_0636</t>
        </is>
      </c>
      <c r="C637" t="inlineStr">
        <is>
          <t>Evangelische Kirche der Pfalz</t>
        </is>
      </c>
      <c r="D637" t="inlineStr">
        <is>
          <t>context_actor</t>
        </is>
      </c>
      <c r="E637" t="inlineStr">
        <is>
          <t>culture_foundation_anchor</t>
        </is>
      </c>
      <c r="F637" t="inlineStr">
        <is>
          <t>Hochschule für Musik Mainz</t>
        </is>
      </c>
      <c r="G637" t="inlineStr">
        <is>
          <t>academic_support</t>
        </is>
      </c>
      <c r="H637" t="inlineStr">
        <is>
          <t>university_applied_sciences</t>
        </is>
      </c>
      <c r="I637" t="n">
        <v>28</v>
      </c>
      <c r="J637" t="n">
        <v>0</v>
      </c>
      <c r="K637" t="n">
        <v>0.03846154</v>
      </c>
      <c r="L637" t="n">
        <v>0.05555556</v>
      </c>
      <c r="M637" t="n">
        <v>0.09401709</v>
      </c>
      <c r="N637" t="n">
        <v>1.21047009</v>
      </c>
      <c r="O637" t="n">
        <v>33.893162</v>
      </c>
      <c r="P637" t="n">
        <v>0.33333333</v>
      </c>
      <c r="Q637" t="n">
        <v>0.09090909</v>
      </c>
      <c r="R637" t="n">
        <v>0.42424242</v>
      </c>
      <c r="S637" t="n">
        <v>1.3655303</v>
      </c>
      <c r="T637" t="n">
        <v>1.28566465</v>
      </c>
      <c r="U637" t="n">
        <v>35.99861</v>
      </c>
      <c r="V637" t="b">
        <v>1</v>
      </c>
      <c r="W637" t="n">
        <v>1</v>
      </c>
      <c r="X637" t="inlineStr">
        <is>
          <t>role_subrole_balanced_score = base_support_score * capped sqrt(avg_macro_multiplier * avg_subrole_multiplier); role/subrole quota constraints use inverse weights.</t>
        </is>
      </c>
    </row>
    <row r="638">
      <c r="A638" t="inlineStr">
        <is>
          <t>C0637</t>
        </is>
      </c>
      <c r="B638" t="inlineStr">
        <is>
          <t>x_0637</t>
        </is>
      </c>
      <c r="C638" t="inlineStr">
        <is>
          <t>Evangelische Kirche der Pfalz</t>
        </is>
      </c>
      <c r="D638" t="inlineStr">
        <is>
          <t>context_actor</t>
        </is>
      </c>
      <c r="E638" t="inlineStr">
        <is>
          <t>culture_foundation_anchor</t>
        </is>
      </c>
      <c r="F638" t="inlineStr">
        <is>
          <t>LOTTO Rheinland-Pfalz GmbH</t>
        </is>
      </c>
      <c r="G638" t="inlineStr">
        <is>
          <t>profit_anchor</t>
        </is>
      </c>
      <c r="H638" t="inlineStr">
        <is>
          <t>culture_foundation_anchor</t>
        </is>
      </c>
      <c r="I638" t="n">
        <v>28</v>
      </c>
      <c r="J638" t="n">
        <v>0</v>
      </c>
      <c r="K638" t="n">
        <v>0.03846154</v>
      </c>
      <c r="L638" t="n">
        <v>0.02040816</v>
      </c>
      <c r="M638" t="n">
        <v>0.0588697</v>
      </c>
      <c r="N638" t="n">
        <v>0.75794741</v>
      </c>
      <c r="O638" t="n">
        <v>21.222527</v>
      </c>
      <c r="P638" t="n">
        <v>0.33333333</v>
      </c>
      <c r="Q638" t="n">
        <v>0.33333333</v>
      </c>
      <c r="R638" t="n">
        <v>0.66666667</v>
      </c>
      <c r="S638" t="n">
        <v>2.14583333</v>
      </c>
      <c r="T638" t="n">
        <v>1.27531518</v>
      </c>
      <c r="U638" t="n">
        <v>35.708825</v>
      </c>
      <c r="V638" t="b">
        <v>0</v>
      </c>
      <c r="W638" t="n">
        <v>0</v>
      </c>
      <c r="X638" t="inlineStr">
        <is>
          <t>role_subrole_balanced_score = base_support_score * capped sqrt(avg_macro_multiplier * avg_subrole_multiplier); role/subrole quota constraints use inverse weights.</t>
        </is>
      </c>
    </row>
    <row r="639">
      <c r="A639" t="inlineStr">
        <is>
          <t>C0638</t>
        </is>
      </c>
      <c r="B639" t="inlineStr">
        <is>
          <t>x_0638</t>
        </is>
      </c>
      <c r="C639" t="inlineStr">
        <is>
          <t>Deutsche Universität für Verwaltungswissenschaften Speyer</t>
        </is>
      </c>
      <c r="D639" t="inlineStr">
        <is>
          <t>academic_support</t>
        </is>
      </c>
      <c r="E639" t="inlineStr">
        <is>
          <t>university_research</t>
        </is>
      </c>
      <c r="F639" t="inlineStr">
        <is>
          <t>Villa Musica Rheinland-Pfalz</t>
        </is>
      </c>
      <c r="G639" t="inlineStr">
        <is>
          <t>context_actor</t>
        </is>
      </c>
      <c r="H639" t="inlineStr">
        <is>
          <t>culture_foundation_anchor</t>
        </is>
      </c>
      <c r="I639" t="n">
        <v>28</v>
      </c>
      <c r="J639" t="n">
        <v>0</v>
      </c>
      <c r="K639" t="n">
        <v>0.05555556</v>
      </c>
      <c r="L639" t="n">
        <v>0.03846154</v>
      </c>
      <c r="M639" t="n">
        <v>0.09401709</v>
      </c>
      <c r="N639" t="n">
        <v>1.21047009</v>
      </c>
      <c r="O639" t="n">
        <v>33.893162</v>
      </c>
      <c r="P639" t="n">
        <v>0.14285714</v>
      </c>
      <c r="Q639" t="n">
        <v>0.33333333</v>
      </c>
      <c r="R639" t="n">
        <v>0.47619048</v>
      </c>
      <c r="S639" t="n">
        <v>1.5327381</v>
      </c>
      <c r="T639" t="n">
        <v>1.36210631</v>
      </c>
      <c r="U639" t="n">
        <v>38.138977</v>
      </c>
      <c r="V639" t="b">
        <v>1</v>
      </c>
      <c r="W639" t="n">
        <v>1</v>
      </c>
      <c r="X639" t="inlineStr">
        <is>
          <t>role_subrole_balanced_score = base_support_score * capped sqrt(avg_macro_multiplier * avg_subrole_multiplier); role/subrole quota constraints use inverse weights.</t>
        </is>
      </c>
    </row>
    <row r="640">
      <c r="A640" t="inlineStr">
        <is>
          <t>C0639</t>
        </is>
      </c>
      <c r="B640" t="inlineStr">
        <is>
          <t>x_0639</t>
        </is>
      </c>
      <c r="C640" t="inlineStr">
        <is>
          <t>Evangelische Kirche der Pfalz</t>
        </is>
      </c>
      <c r="D640" t="inlineStr">
        <is>
          <t>context_actor</t>
        </is>
      </c>
      <c r="E640" t="inlineStr">
        <is>
          <t>culture_foundation_anchor</t>
        </is>
      </c>
      <c r="F640" t="inlineStr">
        <is>
          <t>Hochschule für Musik Mainz</t>
        </is>
      </c>
      <c r="G640" t="inlineStr">
        <is>
          <t>academic_support</t>
        </is>
      </c>
      <c r="H640" t="inlineStr">
        <is>
          <t>university_applied_sciences</t>
        </is>
      </c>
      <c r="I640" t="n">
        <v>28</v>
      </c>
      <c r="J640" t="n">
        <v>0</v>
      </c>
      <c r="K640" t="n">
        <v>0.03846154</v>
      </c>
      <c r="L640" t="n">
        <v>0.05555556</v>
      </c>
      <c r="M640" t="n">
        <v>0.09401709</v>
      </c>
      <c r="N640" t="n">
        <v>1.21047009</v>
      </c>
      <c r="O640" t="n">
        <v>33.893162</v>
      </c>
      <c r="P640" t="n">
        <v>0.33333333</v>
      </c>
      <c r="Q640" t="n">
        <v>0.09090909</v>
      </c>
      <c r="R640" t="n">
        <v>0.42424242</v>
      </c>
      <c r="S640" t="n">
        <v>1.3655303</v>
      </c>
      <c r="T640" t="n">
        <v>1.28566465</v>
      </c>
      <c r="U640" t="n">
        <v>35.99861</v>
      </c>
      <c r="V640" t="b">
        <v>1</v>
      </c>
      <c r="W640" t="n">
        <v>1</v>
      </c>
      <c r="X640" t="inlineStr">
        <is>
          <t>role_subrole_balanced_score = base_support_score * capped sqrt(avg_macro_multiplier * avg_subrole_multiplier); role/subrole quota constraints use inverse weights.</t>
        </is>
      </c>
    </row>
    <row r="641">
      <c r="A641" t="inlineStr">
        <is>
          <t>C0640</t>
        </is>
      </c>
      <c r="B641" t="inlineStr">
        <is>
          <t>x_0640</t>
        </is>
      </c>
      <c r="C641" t="inlineStr">
        <is>
          <t>ENTEGA Plus GmbH</t>
        </is>
      </c>
      <c r="D641" t="inlineStr">
        <is>
          <t>profit_anchor</t>
        </is>
      </c>
      <c r="E641" t="inlineStr">
        <is>
          <t>energy_infrastructure_anchor</t>
        </is>
      </c>
      <c r="F641" t="inlineStr">
        <is>
          <t>JUWI GmbH</t>
        </is>
      </c>
      <c r="G641" t="inlineStr">
        <is>
          <t>profit_anchor</t>
        </is>
      </c>
      <c r="H641" t="inlineStr">
        <is>
          <t>energy_infrastructure_anchor</t>
        </is>
      </c>
      <c r="I641" t="n">
        <v>25</v>
      </c>
      <c r="J641" t="n">
        <v>0</v>
      </c>
      <c r="K641" t="n">
        <v>0.02040816</v>
      </c>
      <c r="L641" t="n">
        <v>0.02040816</v>
      </c>
      <c r="M641" t="n">
        <v>0.04081633</v>
      </c>
      <c r="N641" t="n">
        <v>0.5255102</v>
      </c>
      <c r="O641" t="n">
        <v>13.137755</v>
      </c>
      <c r="P641" t="n">
        <v>0.11111111</v>
      </c>
      <c r="Q641" t="n">
        <v>0.11111111</v>
      </c>
      <c r="R641" t="n">
        <v>0.22222222</v>
      </c>
      <c r="S641" t="n">
        <v>0.71527778</v>
      </c>
      <c r="T641" t="n">
        <v>0.61309524</v>
      </c>
      <c r="U641" t="n">
        <v>15.327381</v>
      </c>
      <c r="V641" t="b">
        <v>0</v>
      </c>
      <c r="W641" t="n">
        <v>0</v>
      </c>
      <c r="X641" t="inlineStr">
        <is>
          <t>role_subrole_balanced_score = base_support_score * capped sqrt(avg_macro_multiplier * avg_subrole_multiplier); role/subrole quota constraints use inverse weights.</t>
        </is>
      </c>
    </row>
    <row r="642">
      <c r="A642" t="inlineStr">
        <is>
          <t>C0641</t>
        </is>
      </c>
      <c r="B642" t="inlineStr">
        <is>
          <t>x_0641</t>
        </is>
      </c>
      <c r="C642" t="inlineStr">
        <is>
          <t>ENTEGA Plus GmbH</t>
        </is>
      </c>
      <c r="D642" t="inlineStr">
        <is>
          <t>profit_anchor</t>
        </is>
      </c>
      <c r="E642" t="inlineStr">
        <is>
          <t>energy_infrastructure_anchor</t>
        </is>
      </c>
      <c r="F642" t="inlineStr">
        <is>
          <t>Mainzer Stadtwerke AG</t>
        </is>
      </c>
      <c r="G642" t="inlineStr">
        <is>
          <t>profit_anchor</t>
        </is>
      </c>
      <c r="H642" t="inlineStr">
        <is>
          <t>energy_infrastructure_anchor</t>
        </is>
      </c>
      <c r="I642" t="n">
        <v>25</v>
      </c>
      <c r="J642" t="n">
        <v>0</v>
      </c>
      <c r="K642" t="n">
        <v>0.02040816</v>
      </c>
      <c r="L642" t="n">
        <v>0.02040816</v>
      </c>
      <c r="M642" t="n">
        <v>0.04081633</v>
      </c>
      <c r="N642" t="n">
        <v>0.5255102</v>
      </c>
      <c r="O642" t="n">
        <v>13.137755</v>
      </c>
      <c r="P642" t="n">
        <v>0.11111111</v>
      </c>
      <c r="Q642" t="n">
        <v>0.11111111</v>
      </c>
      <c r="R642" t="n">
        <v>0.22222222</v>
      </c>
      <c r="S642" t="n">
        <v>0.71527778</v>
      </c>
      <c r="T642" t="n">
        <v>0.61309524</v>
      </c>
      <c r="U642" t="n">
        <v>15.327381</v>
      </c>
      <c r="V642" t="b">
        <v>0</v>
      </c>
      <c r="W642" t="n">
        <v>0</v>
      </c>
      <c r="X642" t="inlineStr">
        <is>
          <t>role_subrole_balanced_score = base_support_score * capped sqrt(avg_macro_multiplier * avg_subrole_multiplier); role/subrole quota constraints use inverse weights.</t>
        </is>
      </c>
    </row>
    <row r="643">
      <c r="A643" t="inlineStr">
        <is>
          <t>C0642</t>
        </is>
      </c>
      <c r="B643" t="inlineStr">
        <is>
          <t>x_0642</t>
        </is>
      </c>
      <c r="C643" t="inlineStr">
        <is>
          <t>ENTEGA Plus GmbH</t>
        </is>
      </c>
      <c r="D643" t="inlineStr">
        <is>
          <t>profit_anchor</t>
        </is>
      </c>
      <c r="E643" t="inlineStr">
        <is>
          <t>energy_infrastructure_anchor</t>
        </is>
      </c>
      <c r="F643" t="inlineStr">
        <is>
          <t>Pfalzwerke AG</t>
        </is>
      </c>
      <c r="G643" t="inlineStr">
        <is>
          <t>profit_anchor</t>
        </is>
      </c>
      <c r="H643" t="inlineStr">
        <is>
          <t>energy_infrastructure_anchor</t>
        </is>
      </c>
      <c r="I643" t="n">
        <v>25</v>
      </c>
      <c r="J643" t="n">
        <v>0</v>
      </c>
      <c r="K643" t="n">
        <v>0.02040816</v>
      </c>
      <c r="L643" t="n">
        <v>0.02040816</v>
      </c>
      <c r="M643" t="n">
        <v>0.04081633</v>
      </c>
      <c r="N643" t="n">
        <v>0.5255102</v>
      </c>
      <c r="O643" t="n">
        <v>13.137755</v>
      </c>
      <c r="P643" t="n">
        <v>0.11111111</v>
      </c>
      <c r="Q643" t="n">
        <v>0.11111111</v>
      </c>
      <c r="R643" t="n">
        <v>0.22222222</v>
      </c>
      <c r="S643" t="n">
        <v>0.71527778</v>
      </c>
      <c r="T643" t="n">
        <v>0.61309524</v>
      </c>
      <c r="U643" t="n">
        <v>15.327381</v>
      </c>
      <c r="V643" t="b">
        <v>0</v>
      </c>
      <c r="W643" t="n">
        <v>0</v>
      </c>
      <c r="X643" t="inlineStr">
        <is>
          <t>role_subrole_balanced_score = base_support_score * capped sqrt(avg_macro_multiplier * avg_subrole_multiplier); role/subrole quota constraints use inverse weights.</t>
        </is>
      </c>
    </row>
    <row r="644">
      <c r="A644" t="inlineStr">
        <is>
          <t>C0643</t>
        </is>
      </c>
      <c r="B644" t="inlineStr">
        <is>
          <t>x_0643</t>
        </is>
      </c>
      <c r="C644" t="inlineStr">
        <is>
          <t>ENTEGA Plus GmbH</t>
        </is>
      </c>
      <c r="D644" t="inlineStr">
        <is>
          <t>profit_anchor</t>
        </is>
      </c>
      <c r="E644" t="inlineStr">
        <is>
          <t>energy_infrastructure_anchor</t>
        </is>
      </c>
      <c r="F644" t="inlineStr">
        <is>
          <t>Westenergie AG</t>
        </is>
      </c>
      <c r="G644" t="inlineStr">
        <is>
          <t>profit_anchor</t>
        </is>
      </c>
      <c r="H644" t="inlineStr">
        <is>
          <t>energy_infrastructure_anchor</t>
        </is>
      </c>
      <c r="I644" t="n">
        <v>25</v>
      </c>
      <c r="J644" t="n">
        <v>0</v>
      </c>
      <c r="K644" t="n">
        <v>0.02040816</v>
      </c>
      <c r="L644" t="n">
        <v>0.02040816</v>
      </c>
      <c r="M644" t="n">
        <v>0.04081633</v>
      </c>
      <c r="N644" t="n">
        <v>0.5255102</v>
      </c>
      <c r="O644" t="n">
        <v>13.137755</v>
      </c>
      <c r="P644" t="n">
        <v>0.11111111</v>
      </c>
      <c r="Q644" t="n">
        <v>0.11111111</v>
      </c>
      <c r="R644" t="n">
        <v>0.22222222</v>
      </c>
      <c r="S644" t="n">
        <v>0.71527778</v>
      </c>
      <c r="T644" t="n">
        <v>0.61309524</v>
      </c>
      <c r="U644" t="n">
        <v>15.327381</v>
      </c>
      <c r="V644" t="b">
        <v>0</v>
      </c>
      <c r="W644" t="n">
        <v>0</v>
      </c>
      <c r="X644" t="inlineStr">
        <is>
          <t>role_subrole_balanced_score = base_support_score * capped sqrt(avg_macro_multiplier * avg_subrole_multiplier); role/subrole quota constraints use inverse weights.</t>
        </is>
      </c>
    </row>
    <row r="645">
      <c r="A645" t="inlineStr">
        <is>
          <t>C0644</t>
        </is>
      </c>
      <c r="B645" t="inlineStr">
        <is>
          <t>x_0644</t>
        </is>
      </c>
      <c r="C645" t="inlineStr">
        <is>
          <t>JUWI GmbH</t>
        </is>
      </c>
      <c r="D645" t="inlineStr">
        <is>
          <t>profit_anchor</t>
        </is>
      </c>
      <c r="E645" t="inlineStr">
        <is>
          <t>energy_infrastructure_anchor</t>
        </is>
      </c>
      <c r="F645" t="inlineStr">
        <is>
          <t>Mainzer Stadtwerke AG</t>
        </is>
      </c>
      <c r="G645" t="inlineStr">
        <is>
          <t>profit_anchor</t>
        </is>
      </c>
      <c r="H645" t="inlineStr">
        <is>
          <t>energy_infrastructure_anchor</t>
        </is>
      </c>
      <c r="I645" t="n">
        <v>25</v>
      </c>
      <c r="J645" t="n">
        <v>0</v>
      </c>
      <c r="K645" t="n">
        <v>0.02040816</v>
      </c>
      <c r="L645" t="n">
        <v>0.02040816</v>
      </c>
      <c r="M645" t="n">
        <v>0.04081633</v>
      </c>
      <c r="N645" t="n">
        <v>0.5255102</v>
      </c>
      <c r="O645" t="n">
        <v>13.137755</v>
      </c>
      <c r="P645" t="n">
        <v>0.11111111</v>
      </c>
      <c r="Q645" t="n">
        <v>0.11111111</v>
      </c>
      <c r="R645" t="n">
        <v>0.22222222</v>
      </c>
      <c r="S645" t="n">
        <v>0.71527778</v>
      </c>
      <c r="T645" t="n">
        <v>0.61309524</v>
      </c>
      <c r="U645" t="n">
        <v>15.327381</v>
      </c>
      <c r="V645" t="b">
        <v>0</v>
      </c>
      <c r="W645" t="n">
        <v>0</v>
      </c>
      <c r="X645" t="inlineStr">
        <is>
          <t>role_subrole_balanced_score = base_support_score * capped sqrt(avg_macro_multiplier * avg_subrole_multiplier); role/subrole quota constraints use inverse weights.</t>
        </is>
      </c>
    </row>
    <row r="646">
      <c r="A646" t="inlineStr">
        <is>
          <t>C0645</t>
        </is>
      </c>
      <c r="B646" t="inlineStr">
        <is>
          <t>x_0645</t>
        </is>
      </c>
      <c r="C646" t="inlineStr">
        <is>
          <t>JUWI GmbH</t>
        </is>
      </c>
      <c r="D646" t="inlineStr">
        <is>
          <t>profit_anchor</t>
        </is>
      </c>
      <c r="E646" t="inlineStr">
        <is>
          <t>energy_infrastructure_anchor</t>
        </is>
      </c>
      <c r="F646" t="inlineStr">
        <is>
          <t>Pfalzwerke AG</t>
        </is>
      </c>
      <c r="G646" t="inlineStr">
        <is>
          <t>profit_anchor</t>
        </is>
      </c>
      <c r="H646" t="inlineStr">
        <is>
          <t>energy_infrastructure_anchor</t>
        </is>
      </c>
      <c r="I646" t="n">
        <v>25</v>
      </c>
      <c r="J646" t="n">
        <v>0</v>
      </c>
      <c r="K646" t="n">
        <v>0.02040816</v>
      </c>
      <c r="L646" t="n">
        <v>0.02040816</v>
      </c>
      <c r="M646" t="n">
        <v>0.04081633</v>
      </c>
      <c r="N646" t="n">
        <v>0.5255102</v>
      </c>
      <c r="O646" t="n">
        <v>13.137755</v>
      </c>
      <c r="P646" t="n">
        <v>0.11111111</v>
      </c>
      <c r="Q646" t="n">
        <v>0.11111111</v>
      </c>
      <c r="R646" t="n">
        <v>0.22222222</v>
      </c>
      <c r="S646" t="n">
        <v>0.71527778</v>
      </c>
      <c r="T646" t="n">
        <v>0.61309524</v>
      </c>
      <c r="U646" t="n">
        <v>15.327381</v>
      </c>
      <c r="V646" t="b">
        <v>0</v>
      </c>
      <c r="W646" t="n">
        <v>0</v>
      </c>
      <c r="X646" t="inlineStr">
        <is>
          <t>role_subrole_balanced_score = base_support_score * capped sqrt(avg_macro_multiplier * avg_subrole_multiplier); role/subrole quota constraints use inverse weights.</t>
        </is>
      </c>
    </row>
    <row r="647">
      <c r="A647" t="inlineStr">
        <is>
          <t>C0646</t>
        </is>
      </c>
      <c r="B647" t="inlineStr">
        <is>
          <t>x_0646</t>
        </is>
      </c>
      <c r="C647" t="inlineStr">
        <is>
          <t>JUWI GmbH</t>
        </is>
      </c>
      <c r="D647" t="inlineStr">
        <is>
          <t>profit_anchor</t>
        </is>
      </c>
      <c r="E647" t="inlineStr">
        <is>
          <t>energy_infrastructure_anchor</t>
        </is>
      </c>
      <c r="F647" t="inlineStr">
        <is>
          <t>Westenergie AG</t>
        </is>
      </c>
      <c r="G647" t="inlineStr">
        <is>
          <t>profit_anchor</t>
        </is>
      </c>
      <c r="H647" t="inlineStr">
        <is>
          <t>energy_infrastructure_anchor</t>
        </is>
      </c>
      <c r="I647" t="n">
        <v>25</v>
      </c>
      <c r="J647" t="n">
        <v>0</v>
      </c>
      <c r="K647" t="n">
        <v>0.02040816</v>
      </c>
      <c r="L647" t="n">
        <v>0.02040816</v>
      </c>
      <c r="M647" t="n">
        <v>0.04081633</v>
      </c>
      <c r="N647" t="n">
        <v>0.5255102</v>
      </c>
      <c r="O647" t="n">
        <v>13.137755</v>
      </c>
      <c r="P647" t="n">
        <v>0.11111111</v>
      </c>
      <c r="Q647" t="n">
        <v>0.11111111</v>
      </c>
      <c r="R647" t="n">
        <v>0.22222222</v>
      </c>
      <c r="S647" t="n">
        <v>0.71527778</v>
      </c>
      <c r="T647" t="n">
        <v>0.61309524</v>
      </c>
      <c r="U647" t="n">
        <v>15.327381</v>
      </c>
      <c r="V647" t="b">
        <v>0</v>
      </c>
      <c r="W647" t="n">
        <v>0</v>
      </c>
      <c r="X647" t="inlineStr">
        <is>
          <t>role_subrole_balanced_score = base_support_score * capped sqrt(avg_macro_multiplier * avg_subrole_multiplier); role/subrole quota constraints use inverse weights.</t>
        </is>
      </c>
    </row>
    <row r="648">
      <c r="A648" t="inlineStr">
        <is>
          <t>C0647</t>
        </is>
      </c>
      <c r="B648" t="inlineStr">
        <is>
          <t>x_0647</t>
        </is>
      </c>
      <c r="C648" t="inlineStr">
        <is>
          <t>Mainzer Stadtwerke AG</t>
        </is>
      </c>
      <c r="D648" t="inlineStr">
        <is>
          <t>profit_anchor</t>
        </is>
      </c>
      <c r="E648" t="inlineStr">
        <is>
          <t>energy_infrastructure_anchor</t>
        </is>
      </c>
      <c r="F648" t="inlineStr">
        <is>
          <t>Pfalzwerke AG</t>
        </is>
      </c>
      <c r="G648" t="inlineStr">
        <is>
          <t>profit_anchor</t>
        </is>
      </c>
      <c r="H648" t="inlineStr">
        <is>
          <t>energy_infrastructure_anchor</t>
        </is>
      </c>
      <c r="I648" t="n">
        <v>25</v>
      </c>
      <c r="J648" t="n">
        <v>0</v>
      </c>
      <c r="K648" t="n">
        <v>0.02040816</v>
      </c>
      <c r="L648" t="n">
        <v>0.02040816</v>
      </c>
      <c r="M648" t="n">
        <v>0.04081633</v>
      </c>
      <c r="N648" t="n">
        <v>0.5255102</v>
      </c>
      <c r="O648" t="n">
        <v>13.137755</v>
      </c>
      <c r="P648" t="n">
        <v>0.11111111</v>
      </c>
      <c r="Q648" t="n">
        <v>0.11111111</v>
      </c>
      <c r="R648" t="n">
        <v>0.22222222</v>
      </c>
      <c r="S648" t="n">
        <v>0.71527778</v>
      </c>
      <c r="T648" t="n">
        <v>0.61309524</v>
      </c>
      <c r="U648" t="n">
        <v>15.327381</v>
      </c>
      <c r="V648" t="b">
        <v>0</v>
      </c>
      <c r="W648" t="n">
        <v>0</v>
      </c>
      <c r="X648" t="inlineStr">
        <is>
          <t>role_subrole_balanced_score = base_support_score * capped sqrt(avg_macro_multiplier * avg_subrole_multiplier); role/subrole quota constraints use inverse weights.</t>
        </is>
      </c>
    </row>
    <row r="649">
      <c r="A649" t="inlineStr">
        <is>
          <t>C0648</t>
        </is>
      </c>
      <c r="B649" t="inlineStr">
        <is>
          <t>x_0648</t>
        </is>
      </c>
      <c r="C649" t="inlineStr">
        <is>
          <t>Mainzer Stadtwerke AG</t>
        </is>
      </c>
      <c r="D649" t="inlineStr">
        <is>
          <t>profit_anchor</t>
        </is>
      </c>
      <c r="E649" t="inlineStr">
        <is>
          <t>energy_infrastructure_anchor</t>
        </is>
      </c>
      <c r="F649" t="inlineStr">
        <is>
          <t>Westenergie AG</t>
        </is>
      </c>
      <c r="G649" t="inlineStr">
        <is>
          <t>profit_anchor</t>
        </is>
      </c>
      <c r="H649" t="inlineStr">
        <is>
          <t>energy_infrastructure_anchor</t>
        </is>
      </c>
      <c r="I649" t="n">
        <v>25</v>
      </c>
      <c r="J649" t="n">
        <v>0</v>
      </c>
      <c r="K649" t="n">
        <v>0.02040816</v>
      </c>
      <c r="L649" t="n">
        <v>0.02040816</v>
      </c>
      <c r="M649" t="n">
        <v>0.04081633</v>
      </c>
      <c r="N649" t="n">
        <v>0.5255102</v>
      </c>
      <c r="O649" t="n">
        <v>13.137755</v>
      </c>
      <c r="P649" t="n">
        <v>0.11111111</v>
      </c>
      <c r="Q649" t="n">
        <v>0.11111111</v>
      </c>
      <c r="R649" t="n">
        <v>0.22222222</v>
      </c>
      <c r="S649" t="n">
        <v>0.71527778</v>
      </c>
      <c r="T649" t="n">
        <v>0.61309524</v>
      </c>
      <c r="U649" t="n">
        <v>15.327381</v>
      </c>
      <c r="V649" t="b">
        <v>0</v>
      </c>
      <c r="W649" t="n">
        <v>0</v>
      </c>
      <c r="X649" t="inlineStr">
        <is>
          <t>role_subrole_balanced_score = base_support_score * capped sqrt(avg_macro_multiplier * avg_subrole_multiplier); role/subrole quota constraints use inverse weights.</t>
        </is>
      </c>
    </row>
    <row r="650">
      <c r="A650" t="inlineStr">
        <is>
          <t>C0649</t>
        </is>
      </c>
      <c r="B650" t="inlineStr">
        <is>
          <t>x_0649</t>
        </is>
      </c>
      <c r="C650" t="inlineStr">
        <is>
          <t>Pfalzwerke AG</t>
        </is>
      </c>
      <c r="D650" t="inlineStr">
        <is>
          <t>profit_anchor</t>
        </is>
      </c>
      <c r="E650" t="inlineStr">
        <is>
          <t>energy_infrastructure_anchor</t>
        </is>
      </c>
      <c r="F650" t="inlineStr">
        <is>
          <t>Westenergie AG</t>
        </is>
      </c>
      <c r="G650" t="inlineStr">
        <is>
          <t>profit_anchor</t>
        </is>
      </c>
      <c r="H650" t="inlineStr">
        <is>
          <t>energy_infrastructure_anchor</t>
        </is>
      </c>
      <c r="I650" t="n">
        <v>25</v>
      </c>
      <c r="J650" t="n">
        <v>0</v>
      </c>
      <c r="K650" t="n">
        <v>0.02040816</v>
      </c>
      <c r="L650" t="n">
        <v>0.02040816</v>
      </c>
      <c r="M650" t="n">
        <v>0.04081633</v>
      </c>
      <c r="N650" t="n">
        <v>0.5255102</v>
      </c>
      <c r="O650" t="n">
        <v>13.137755</v>
      </c>
      <c r="P650" t="n">
        <v>0.11111111</v>
      </c>
      <c r="Q650" t="n">
        <v>0.11111111</v>
      </c>
      <c r="R650" t="n">
        <v>0.22222222</v>
      </c>
      <c r="S650" t="n">
        <v>0.71527778</v>
      </c>
      <c r="T650" t="n">
        <v>0.61309524</v>
      </c>
      <c r="U650" t="n">
        <v>15.327381</v>
      </c>
      <c r="V650" t="b">
        <v>0</v>
      </c>
      <c r="W650" t="n">
        <v>0</v>
      </c>
      <c r="X650" t="inlineStr">
        <is>
          <t>role_subrole_balanced_score = base_support_score * capped sqrt(avg_macro_multiplier * avg_subrole_multiplier); role/subrole quota constraints use inverse weights.</t>
        </is>
      </c>
    </row>
    <row r="651">
      <c r="A651" t="inlineStr">
        <is>
          <t>C0650</t>
        </is>
      </c>
      <c r="B651" t="inlineStr">
        <is>
          <t>x_0650</t>
        </is>
      </c>
      <c r="C651" t="inlineStr">
        <is>
          <t>Empolis Information Management GmbH</t>
        </is>
      </c>
      <c r="D651" t="inlineStr">
        <is>
          <t>profit_anchor</t>
        </is>
      </c>
      <c r="E651" t="inlineStr">
        <is>
          <t>technology_digital_anchor</t>
        </is>
      </c>
      <c r="F651" t="inlineStr">
        <is>
          <t>Ministerium für Wirtschaft, Verkehr, Landwirtschaft und Weinbau</t>
        </is>
      </c>
      <c r="G651" t="inlineStr">
        <is>
          <t>profit_anchor</t>
        </is>
      </c>
      <c r="H651" t="inlineStr">
        <is>
          <t>public_policy_anchor</t>
        </is>
      </c>
      <c r="I651" t="n">
        <v>25</v>
      </c>
      <c r="J651" t="n">
        <v>0</v>
      </c>
      <c r="K651" t="n">
        <v>0.02040816</v>
      </c>
      <c r="L651" t="n">
        <v>0.02040816</v>
      </c>
      <c r="M651" t="n">
        <v>0.04081633</v>
      </c>
      <c r="N651" t="n">
        <v>0.5255102</v>
      </c>
      <c r="O651" t="n">
        <v>13.137755</v>
      </c>
      <c r="P651" t="n">
        <v>0.11111111</v>
      </c>
      <c r="Q651" t="n">
        <v>0.16666667</v>
      </c>
      <c r="R651" t="n">
        <v>0.27777778</v>
      </c>
      <c r="S651" t="n">
        <v>0.89409722</v>
      </c>
      <c r="T651" t="n">
        <v>0.68546131</v>
      </c>
      <c r="U651" t="n">
        <v>17.136533</v>
      </c>
      <c r="V651" t="b">
        <v>0</v>
      </c>
      <c r="W651" t="n">
        <v>0</v>
      </c>
      <c r="X651" t="inlineStr">
        <is>
          <t>role_subrole_balanced_score = base_support_score * capped sqrt(avg_macro_multiplier * avg_subrole_multiplier); role/subrole quota constraints use inverse weights.</t>
        </is>
      </c>
    </row>
    <row r="652">
      <c r="A652" t="inlineStr">
        <is>
          <t>C0651</t>
        </is>
      </c>
      <c r="B652" t="inlineStr">
        <is>
          <t>x_0651</t>
        </is>
      </c>
      <c r="C652" t="inlineStr">
        <is>
          <t>KSB AG</t>
        </is>
      </c>
      <c r="D652" t="inlineStr">
        <is>
          <t>profit_anchor</t>
        </is>
      </c>
      <c r="E652" t="inlineStr">
        <is>
          <t>industry_anchor</t>
        </is>
      </c>
      <c r="F652" t="inlineStr">
        <is>
          <t>Zahnen Technik GmbH</t>
        </is>
      </c>
      <c r="G652" t="inlineStr">
        <is>
          <t>profit_anchor</t>
        </is>
      </c>
      <c r="H652" t="inlineStr">
        <is>
          <t>energy_infrastructure_anchor</t>
        </is>
      </c>
      <c r="I652" t="n">
        <v>25</v>
      </c>
      <c r="J652" t="n">
        <v>0</v>
      </c>
      <c r="K652" t="n">
        <v>0.02040816</v>
      </c>
      <c r="L652" t="n">
        <v>0.02040816</v>
      </c>
      <c r="M652" t="n">
        <v>0.04081633</v>
      </c>
      <c r="N652" t="n">
        <v>0.5255102</v>
      </c>
      <c r="O652" t="n">
        <v>13.137755</v>
      </c>
      <c r="P652" t="n">
        <v>0.09090909</v>
      </c>
      <c r="Q652" t="n">
        <v>0.11111111</v>
      </c>
      <c r="R652" t="n">
        <v>0.2020202</v>
      </c>
      <c r="S652" t="n">
        <v>0.6502525300000001</v>
      </c>
      <c r="T652" t="n">
        <v>0.58456337</v>
      </c>
      <c r="U652" t="n">
        <v>14.614084</v>
      </c>
      <c r="V652" t="b">
        <v>0</v>
      </c>
      <c r="W652" t="n">
        <v>0</v>
      </c>
      <c r="X652" t="inlineStr">
        <is>
          <t>role_subrole_balanced_score = base_support_score * capped sqrt(avg_macro_multiplier * avg_subrole_multiplier); role/subrole quota constraints use inverse weights.</t>
        </is>
      </c>
    </row>
    <row r="653">
      <c r="A653" t="inlineStr">
        <is>
          <t>C0652</t>
        </is>
      </c>
      <c r="B653" t="inlineStr">
        <is>
          <t>x_0652</t>
        </is>
      </c>
      <c r="C653" t="inlineStr">
        <is>
          <t>BASF SE</t>
        </is>
      </c>
      <c r="D653" t="inlineStr">
        <is>
          <t>profit_anchor</t>
        </is>
      </c>
      <c r="E653" t="inlineStr">
        <is>
          <t>industry_anchor</t>
        </is>
      </c>
      <c r="F653" t="inlineStr">
        <is>
          <t>ENTEGA Plus GmbH</t>
        </is>
      </c>
      <c r="G653" t="inlineStr">
        <is>
          <t>profit_anchor</t>
        </is>
      </c>
      <c r="H653" t="inlineStr">
        <is>
          <t>energy_infrastructure_anchor</t>
        </is>
      </c>
      <c r="I653" t="n">
        <v>24</v>
      </c>
      <c r="J653" t="n">
        <v>0</v>
      </c>
      <c r="K653" t="n">
        <v>0.02040816</v>
      </c>
      <c r="L653" t="n">
        <v>0.02040816</v>
      </c>
      <c r="M653" t="n">
        <v>0.04081633</v>
      </c>
      <c r="N653" t="n">
        <v>0.5255102</v>
      </c>
      <c r="O653" t="n">
        <v>12.612245</v>
      </c>
      <c r="P653" t="n">
        <v>0.09090909</v>
      </c>
      <c r="Q653" t="n">
        <v>0.11111111</v>
      </c>
      <c r="R653" t="n">
        <v>0.2020202</v>
      </c>
      <c r="S653" t="n">
        <v>0.6502525300000001</v>
      </c>
      <c r="T653" t="n">
        <v>0.58456337</v>
      </c>
      <c r="U653" t="n">
        <v>14.029521</v>
      </c>
      <c r="V653" t="b">
        <v>0</v>
      </c>
      <c r="W653" t="n">
        <v>0</v>
      </c>
      <c r="X653" t="inlineStr">
        <is>
          <t>role_subrole_balanced_score = base_support_score * capped sqrt(avg_macro_multiplier * avg_subrole_multiplier); role/subrole quota constraints use inverse weights.</t>
        </is>
      </c>
    </row>
    <row r="654">
      <c r="A654" t="inlineStr">
        <is>
          <t>C0653</t>
        </is>
      </c>
      <c r="B654" t="inlineStr">
        <is>
          <t>x_0653</t>
        </is>
      </c>
      <c r="C654" t="inlineStr">
        <is>
          <t>BASF SE</t>
        </is>
      </c>
      <c r="D654" t="inlineStr">
        <is>
          <t>profit_anchor</t>
        </is>
      </c>
      <c r="E654" t="inlineStr">
        <is>
          <t>industry_anchor</t>
        </is>
      </c>
      <c r="F654" t="inlineStr">
        <is>
          <t>JUWI GmbH</t>
        </is>
      </c>
      <c r="G654" t="inlineStr">
        <is>
          <t>profit_anchor</t>
        </is>
      </c>
      <c r="H654" t="inlineStr">
        <is>
          <t>energy_infrastructure_anchor</t>
        </is>
      </c>
      <c r="I654" t="n">
        <v>24</v>
      </c>
      <c r="J654" t="n">
        <v>0</v>
      </c>
      <c r="K654" t="n">
        <v>0.02040816</v>
      </c>
      <c r="L654" t="n">
        <v>0.02040816</v>
      </c>
      <c r="M654" t="n">
        <v>0.04081633</v>
      </c>
      <c r="N654" t="n">
        <v>0.5255102</v>
      </c>
      <c r="O654" t="n">
        <v>12.612245</v>
      </c>
      <c r="P654" t="n">
        <v>0.09090909</v>
      </c>
      <c r="Q654" t="n">
        <v>0.11111111</v>
      </c>
      <c r="R654" t="n">
        <v>0.2020202</v>
      </c>
      <c r="S654" t="n">
        <v>0.6502525300000001</v>
      </c>
      <c r="T654" t="n">
        <v>0.58456337</v>
      </c>
      <c r="U654" t="n">
        <v>14.029521</v>
      </c>
      <c r="V654" t="b">
        <v>0</v>
      </c>
      <c r="W654" t="n">
        <v>0</v>
      </c>
      <c r="X654" t="inlineStr">
        <is>
          <t>role_subrole_balanced_score = base_support_score * capped sqrt(avg_macro_multiplier * avg_subrole_multiplier); role/subrole quota constraints use inverse weights.</t>
        </is>
      </c>
    </row>
    <row r="655">
      <c r="A655" t="inlineStr">
        <is>
          <t>C0654</t>
        </is>
      </c>
      <c r="B655" t="inlineStr">
        <is>
          <t>x_0654</t>
        </is>
      </c>
      <c r="C655" t="inlineStr">
        <is>
          <t>BASF SE</t>
        </is>
      </c>
      <c r="D655" t="inlineStr">
        <is>
          <t>profit_anchor</t>
        </is>
      </c>
      <c r="E655" t="inlineStr">
        <is>
          <t>industry_anchor</t>
        </is>
      </c>
      <c r="F655" t="inlineStr">
        <is>
          <t>Mainzer Stadtwerke AG</t>
        </is>
      </c>
      <c r="G655" t="inlineStr">
        <is>
          <t>profit_anchor</t>
        </is>
      </c>
      <c r="H655" t="inlineStr">
        <is>
          <t>energy_infrastructure_anchor</t>
        </is>
      </c>
      <c r="I655" t="n">
        <v>24</v>
      </c>
      <c r="J655" t="n">
        <v>0</v>
      </c>
      <c r="K655" t="n">
        <v>0.02040816</v>
      </c>
      <c r="L655" t="n">
        <v>0.02040816</v>
      </c>
      <c r="M655" t="n">
        <v>0.04081633</v>
      </c>
      <c r="N655" t="n">
        <v>0.5255102</v>
      </c>
      <c r="O655" t="n">
        <v>12.612245</v>
      </c>
      <c r="P655" t="n">
        <v>0.09090909</v>
      </c>
      <c r="Q655" t="n">
        <v>0.11111111</v>
      </c>
      <c r="R655" t="n">
        <v>0.2020202</v>
      </c>
      <c r="S655" t="n">
        <v>0.6502525300000001</v>
      </c>
      <c r="T655" t="n">
        <v>0.58456337</v>
      </c>
      <c r="U655" t="n">
        <v>14.029521</v>
      </c>
      <c r="V655" t="b">
        <v>0</v>
      </c>
      <c r="W655" t="n">
        <v>0</v>
      </c>
      <c r="X655" t="inlineStr">
        <is>
          <t>role_subrole_balanced_score = base_support_score * capped sqrt(avg_macro_multiplier * avg_subrole_multiplier); role/subrole quota constraints use inverse weights.</t>
        </is>
      </c>
    </row>
    <row r="656">
      <c r="A656" t="inlineStr">
        <is>
          <t>C0655</t>
        </is>
      </c>
      <c r="B656" t="inlineStr">
        <is>
          <t>x_0655</t>
        </is>
      </c>
      <c r="C656" t="inlineStr">
        <is>
          <t>BASF SE</t>
        </is>
      </c>
      <c r="D656" t="inlineStr">
        <is>
          <t>profit_anchor</t>
        </is>
      </c>
      <c r="E656" t="inlineStr">
        <is>
          <t>industry_anchor</t>
        </is>
      </c>
      <c r="F656" t="inlineStr">
        <is>
          <t>Pfalzwerke AG</t>
        </is>
      </c>
      <c r="G656" t="inlineStr">
        <is>
          <t>profit_anchor</t>
        </is>
      </c>
      <c r="H656" t="inlineStr">
        <is>
          <t>energy_infrastructure_anchor</t>
        </is>
      </c>
      <c r="I656" t="n">
        <v>24</v>
      </c>
      <c r="J656" t="n">
        <v>0</v>
      </c>
      <c r="K656" t="n">
        <v>0.02040816</v>
      </c>
      <c r="L656" t="n">
        <v>0.02040816</v>
      </c>
      <c r="M656" t="n">
        <v>0.04081633</v>
      </c>
      <c r="N656" t="n">
        <v>0.5255102</v>
      </c>
      <c r="O656" t="n">
        <v>12.612245</v>
      </c>
      <c r="P656" t="n">
        <v>0.09090909</v>
      </c>
      <c r="Q656" t="n">
        <v>0.11111111</v>
      </c>
      <c r="R656" t="n">
        <v>0.2020202</v>
      </c>
      <c r="S656" t="n">
        <v>0.6502525300000001</v>
      </c>
      <c r="T656" t="n">
        <v>0.58456337</v>
      </c>
      <c r="U656" t="n">
        <v>14.029521</v>
      </c>
      <c r="V656" t="b">
        <v>0</v>
      </c>
      <c r="W656" t="n">
        <v>0</v>
      </c>
      <c r="X656" t="inlineStr">
        <is>
          <t>role_subrole_balanced_score = base_support_score * capped sqrt(avg_macro_multiplier * avg_subrole_multiplier); role/subrole quota constraints use inverse weights.</t>
        </is>
      </c>
    </row>
    <row r="657">
      <c r="A657" t="inlineStr">
        <is>
          <t>C0656</t>
        </is>
      </c>
      <c r="B657" t="inlineStr">
        <is>
          <t>x_0656</t>
        </is>
      </c>
      <c r="C657" t="inlineStr">
        <is>
          <t>BASF SE</t>
        </is>
      </c>
      <c r="D657" t="inlineStr">
        <is>
          <t>profit_anchor</t>
        </is>
      </c>
      <c r="E657" t="inlineStr">
        <is>
          <t>industry_anchor</t>
        </is>
      </c>
      <c r="F657" t="inlineStr">
        <is>
          <t>Westenergie AG</t>
        </is>
      </c>
      <c r="G657" t="inlineStr">
        <is>
          <t>profit_anchor</t>
        </is>
      </c>
      <c r="H657" t="inlineStr">
        <is>
          <t>energy_infrastructure_anchor</t>
        </is>
      </c>
      <c r="I657" t="n">
        <v>24</v>
      </c>
      <c r="J657" t="n">
        <v>0</v>
      </c>
      <c r="K657" t="n">
        <v>0.02040816</v>
      </c>
      <c r="L657" t="n">
        <v>0.02040816</v>
      </c>
      <c r="M657" t="n">
        <v>0.04081633</v>
      </c>
      <c r="N657" t="n">
        <v>0.5255102</v>
      </c>
      <c r="O657" t="n">
        <v>12.612245</v>
      </c>
      <c r="P657" t="n">
        <v>0.09090909</v>
      </c>
      <c r="Q657" t="n">
        <v>0.11111111</v>
      </c>
      <c r="R657" t="n">
        <v>0.2020202</v>
      </c>
      <c r="S657" t="n">
        <v>0.6502525300000001</v>
      </c>
      <c r="T657" t="n">
        <v>0.58456337</v>
      </c>
      <c r="U657" t="n">
        <v>14.029521</v>
      </c>
      <c r="V657" t="b">
        <v>0</v>
      </c>
      <c r="W657" t="n">
        <v>0</v>
      </c>
      <c r="X657" t="inlineStr">
        <is>
          <t>role_subrole_balanced_score = base_support_score * capped sqrt(avg_macro_multiplier * avg_subrole_multiplier); role/subrole quota constraints use inverse weights.</t>
        </is>
      </c>
    </row>
    <row r="658">
      <c r="A658" t="inlineStr">
        <is>
          <t>C0657</t>
        </is>
      </c>
      <c r="B658" t="inlineStr">
        <is>
          <t>x_0657</t>
        </is>
      </c>
      <c r="C658" t="inlineStr">
        <is>
          <t>ENTEGA Plus GmbH</t>
        </is>
      </c>
      <c r="D658" t="inlineStr">
        <is>
          <t>profit_anchor</t>
        </is>
      </c>
      <c r="E658" t="inlineStr">
        <is>
          <t>energy_infrastructure_anchor</t>
        </is>
      </c>
      <c r="F658" t="inlineStr">
        <is>
          <t>KÜBLER GmbH</t>
        </is>
      </c>
      <c r="G658" t="inlineStr">
        <is>
          <t>profit_anchor</t>
        </is>
      </c>
      <c r="H658" t="inlineStr">
        <is>
          <t>energy_infrastructure_anchor</t>
        </is>
      </c>
      <c r="I658" t="n">
        <v>24</v>
      </c>
      <c r="J658" t="n">
        <v>0</v>
      </c>
      <c r="K658" t="n">
        <v>0.02040816</v>
      </c>
      <c r="L658" t="n">
        <v>0.02040816</v>
      </c>
      <c r="M658" t="n">
        <v>0.04081633</v>
      </c>
      <c r="N658" t="n">
        <v>0.5255102</v>
      </c>
      <c r="O658" t="n">
        <v>12.612245</v>
      </c>
      <c r="P658" t="n">
        <v>0.11111111</v>
      </c>
      <c r="Q658" t="n">
        <v>0.11111111</v>
      </c>
      <c r="R658" t="n">
        <v>0.22222222</v>
      </c>
      <c r="S658" t="n">
        <v>0.71527778</v>
      </c>
      <c r="T658" t="n">
        <v>0.61309524</v>
      </c>
      <c r="U658" t="n">
        <v>14.714286</v>
      </c>
      <c r="V658" t="b">
        <v>0</v>
      </c>
      <c r="W658" t="n">
        <v>0</v>
      </c>
      <c r="X658" t="inlineStr">
        <is>
          <t>role_subrole_balanced_score = base_support_score * capped sqrt(avg_macro_multiplier * avg_subrole_multiplier); role/subrole quota constraints use inverse weights.</t>
        </is>
      </c>
    </row>
    <row r="659">
      <c r="A659" t="inlineStr">
        <is>
          <t>C0658</t>
        </is>
      </c>
      <c r="B659" t="inlineStr">
        <is>
          <t>x_0658</t>
        </is>
      </c>
      <c r="C659" t="inlineStr">
        <is>
          <t>ENTEGA Plus GmbH</t>
        </is>
      </c>
      <c r="D659" t="inlineStr">
        <is>
          <t>profit_anchor</t>
        </is>
      </c>
      <c r="E659" t="inlineStr">
        <is>
          <t>energy_infrastructure_anchor</t>
        </is>
      </c>
      <c r="F659" t="inlineStr">
        <is>
          <t>SCHOTT AG</t>
        </is>
      </c>
      <c r="G659" t="inlineStr">
        <is>
          <t>profit_anchor</t>
        </is>
      </c>
      <c r="H659" t="inlineStr">
        <is>
          <t>industry_anchor</t>
        </is>
      </c>
      <c r="I659" t="n">
        <v>24</v>
      </c>
      <c r="J659" t="n">
        <v>0</v>
      </c>
      <c r="K659" t="n">
        <v>0.02040816</v>
      </c>
      <c r="L659" t="n">
        <v>0.02040816</v>
      </c>
      <c r="M659" t="n">
        <v>0.04081633</v>
      </c>
      <c r="N659" t="n">
        <v>0.5255102</v>
      </c>
      <c r="O659" t="n">
        <v>12.612245</v>
      </c>
      <c r="P659" t="n">
        <v>0.11111111</v>
      </c>
      <c r="Q659" t="n">
        <v>0.09090909</v>
      </c>
      <c r="R659" t="n">
        <v>0.2020202</v>
      </c>
      <c r="S659" t="n">
        <v>0.6502525300000001</v>
      </c>
      <c r="T659" t="n">
        <v>0.58456337</v>
      </c>
      <c r="U659" t="n">
        <v>14.029521</v>
      </c>
      <c r="V659" t="b">
        <v>0</v>
      </c>
      <c r="W659" t="n">
        <v>0</v>
      </c>
      <c r="X659" t="inlineStr">
        <is>
          <t>role_subrole_balanced_score = base_support_score * capped sqrt(avg_macro_multiplier * avg_subrole_multiplier); role/subrole quota constraints use inverse weights.</t>
        </is>
      </c>
    </row>
    <row r="660">
      <c r="A660" t="inlineStr">
        <is>
          <t>C0659</t>
        </is>
      </c>
      <c r="B660" t="inlineStr">
        <is>
          <t>x_0659</t>
        </is>
      </c>
      <c r="C660" t="inlineStr">
        <is>
          <t>Erster FC Kaiserslautern GmbH &amp; Co. KGaA</t>
        </is>
      </c>
      <c r="D660" t="inlineStr">
        <is>
          <t>profit_anchor</t>
        </is>
      </c>
      <c r="E660" t="inlineStr">
        <is>
          <t>sports_regional_identity_anchor</t>
        </is>
      </c>
      <c r="F660" t="inlineStr">
        <is>
          <t>LOTTO Rheinland-Pfalz GmbH</t>
        </is>
      </c>
      <c r="G660" t="inlineStr">
        <is>
          <t>profit_anchor</t>
        </is>
      </c>
      <c r="H660" t="inlineStr">
        <is>
          <t>culture_foundation_anchor</t>
        </is>
      </c>
      <c r="I660" t="n">
        <v>24</v>
      </c>
      <c r="J660" t="n">
        <v>0</v>
      </c>
      <c r="K660" t="n">
        <v>0.02040816</v>
      </c>
      <c r="L660" t="n">
        <v>0.02040816</v>
      </c>
      <c r="M660" t="n">
        <v>0.04081633</v>
      </c>
      <c r="N660" t="n">
        <v>0.5255102</v>
      </c>
      <c r="O660" t="n">
        <v>12.612245</v>
      </c>
      <c r="P660" t="n">
        <v>0.5</v>
      </c>
      <c r="Q660" t="n">
        <v>0.33333333</v>
      </c>
      <c r="R660" t="n">
        <v>0.83333333</v>
      </c>
      <c r="S660" t="n">
        <v>2.68229167</v>
      </c>
      <c r="T660" t="n">
        <v>1.18725382</v>
      </c>
      <c r="U660" t="n">
        <v>28.494092</v>
      </c>
      <c r="V660" t="b">
        <v>0</v>
      </c>
      <c r="W660" t="n">
        <v>0</v>
      </c>
      <c r="X660" t="inlineStr">
        <is>
          <t>role_subrole_balanced_score = base_support_score * capped sqrt(avg_macro_multiplier * avg_subrole_multiplier); role/subrole quota constraints use inverse weights.</t>
        </is>
      </c>
    </row>
    <row r="661">
      <c r="A661" t="inlineStr">
        <is>
          <t>C0660</t>
        </is>
      </c>
      <c r="B661" t="inlineStr">
        <is>
          <t>x_0660</t>
        </is>
      </c>
      <c r="C661" t="inlineStr">
        <is>
          <t>Aturas GmbH</t>
        </is>
      </c>
      <c r="D661" t="inlineStr">
        <is>
          <t>profit_anchor</t>
        </is>
      </c>
      <c r="E661" t="inlineStr">
        <is>
          <t>technology_digital_anchor</t>
        </is>
      </c>
      <c r="F661" t="inlineStr">
        <is>
          <t>Empolis Information Management GmbH</t>
        </is>
      </c>
      <c r="G661" t="inlineStr">
        <is>
          <t>profit_anchor</t>
        </is>
      </c>
      <c r="H661" t="inlineStr">
        <is>
          <t>technology_digital_anchor</t>
        </is>
      </c>
      <c r="I661" t="n">
        <v>24</v>
      </c>
      <c r="J661" t="n">
        <v>0</v>
      </c>
      <c r="K661" t="n">
        <v>0.02040816</v>
      </c>
      <c r="L661" t="n">
        <v>0.02040816</v>
      </c>
      <c r="M661" t="n">
        <v>0.04081633</v>
      </c>
      <c r="N661" t="n">
        <v>0.5255102</v>
      </c>
      <c r="O661" t="n">
        <v>12.612245</v>
      </c>
      <c r="P661" t="n">
        <v>0.11111111</v>
      </c>
      <c r="Q661" t="n">
        <v>0.11111111</v>
      </c>
      <c r="R661" t="n">
        <v>0.22222222</v>
      </c>
      <c r="S661" t="n">
        <v>0.71527778</v>
      </c>
      <c r="T661" t="n">
        <v>0.61309524</v>
      </c>
      <c r="U661" t="n">
        <v>14.714286</v>
      </c>
      <c r="V661" t="b">
        <v>0</v>
      </c>
      <c r="W661" t="n">
        <v>0</v>
      </c>
      <c r="X661" t="inlineStr">
        <is>
          <t>role_subrole_balanced_score = base_support_score * capped sqrt(avg_macro_multiplier * avg_subrole_multiplier); role/subrole quota constraints use inverse weights.</t>
        </is>
      </c>
    </row>
    <row r="662">
      <c r="A662" t="inlineStr">
        <is>
          <t>C0661</t>
        </is>
      </c>
      <c r="B662" t="inlineStr">
        <is>
          <t>x_0661</t>
        </is>
      </c>
      <c r="C662" t="inlineStr">
        <is>
          <t>Aturas GmbH</t>
        </is>
      </c>
      <c r="D662" t="inlineStr">
        <is>
          <t>profit_anchor</t>
        </is>
      </c>
      <c r="E662" t="inlineStr">
        <is>
          <t>technology_digital_anchor</t>
        </is>
      </c>
      <c r="F662" t="inlineStr">
        <is>
          <t>Ministerium für Wirtschaft, Verkehr, Landwirtschaft und Weinbau</t>
        </is>
      </c>
      <c r="G662" t="inlineStr">
        <is>
          <t>profit_anchor</t>
        </is>
      </c>
      <c r="H662" t="inlineStr">
        <is>
          <t>public_policy_anchor</t>
        </is>
      </c>
      <c r="I662" t="n">
        <v>24</v>
      </c>
      <c r="J662" t="n">
        <v>0</v>
      </c>
      <c r="K662" t="n">
        <v>0.02040816</v>
      </c>
      <c r="L662" t="n">
        <v>0.02040816</v>
      </c>
      <c r="M662" t="n">
        <v>0.04081633</v>
      </c>
      <c r="N662" t="n">
        <v>0.5255102</v>
      </c>
      <c r="O662" t="n">
        <v>12.612245</v>
      </c>
      <c r="P662" t="n">
        <v>0.11111111</v>
      </c>
      <c r="Q662" t="n">
        <v>0.16666667</v>
      </c>
      <c r="R662" t="n">
        <v>0.27777778</v>
      </c>
      <c r="S662" t="n">
        <v>0.89409722</v>
      </c>
      <c r="T662" t="n">
        <v>0.68546131</v>
      </c>
      <c r="U662" t="n">
        <v>16.451072</v>
      </c>
      <c r="V662" t="b">
        <v>0</v>
      </c>
      <c r="W662" t="n">
        <v>0</v>
      </c>
      <c r="X662" t="inlineStr">
        <is>
          <t>role_subrole_balanced_score = base_support_score * capped sqrt(avg_macro_multiplier * avg_subrole_multiplier); role/subrole quota constraints use inverse weights.</t>
        </is>
      </c>
    </row>
    <row r="663">
      <c r="A663" t="inlineStr">
        <is>
          <t>C0662</t>
        </is>
      </c>
      <c r="B663" t="inlineStr">
        <is>
          <t>x_0662</t>
        </is>
      </c>
      <c r="C663" t="inlineStr">
        <is>
          <t>KSB AG</t>
        </is>
      </c>
      <c r="D663" t="inlineStr">
        <is>
          <t>profit_anchor</t>
        </is>
      </c>
      <c r="E663" t="inlineStr">
        <is>
          <t>industry_anchor</t>
        </is>
      </c>
      <c r="F663" t="inlineStr">
        <is>
          <t>Mainzer Stadtwerke AG</t>
        </is>
      </c>
      <c r="G663" t="inlineStr">
        <is>
          <t>profit_anchor</t>
        </is>
      </c>
      <c r="H663" t="inlineStr">
        <is>
          <t>energy_infrastructure_anchor</t>
        </is>
      </c>
      <c r="I663" t="n">
        <v>24</v>
      </c>
      <c r="J663" t="n">
        <v>0</v>
      </c>
      <c r="K663" t="n">
        <v>0.02040816</v>
      </c>
      <c r="L663" t="n">
        <v>0.02040816</v>
      </c>
      <c r="M663" t="n">
        <v>0.04081633</v>
      </c>
      <c r="N663" t="n">
        <v>0.5255102</v>
      </c>
      <c r="O663" t="n">
        <v>12.612245</v>
      </c>
      <c r="P663" t="n">
        <v>0.09090909</v>
      </c>
      <c r="Q663" t="n">
        <v>0.11111111</v>
      </c>
      <c r="R663" t="n">
        <v>0.2020202</v>
      </c>
      <c r="S663" t="n">
        <v>0.6502525300000001</v>
      </c>
      <c r="T663" t="n">
        <v>0.58456337</v>
      </c>
      <c r="U663" t="n">
        <v>14.029521</v>
      </c>
      <c r="V663" t="b">
        <v>0</v>
      </c>
      <c r="W663" t="n">
        <v>0</v>
      </c>
      <c r="X663" t="inlineStr">
        <is>
          <t>role_subrole_balanced_score = base_support_score * capped sqrt(avg_macro_multiplier * avg_subrole_multiplier); role/subrole quota constraints use inverse weights.</t>
        </is>
      </c>
    </row>
    <row r="664">
      <c r="A664" t="inlineStr">
        <is>
          <t>C0663</t>
        </is>
      </c>
      <c r="B664" t="inlineStr">
        <is>
          <t>x_0663</t>
        </is>
      </c>
      <c r="C664" t="inlineStr">
        <is>
          <t>Mainzer Stadtwerke AG</t>
        </is>
      </c>
      <c r="D664" t="inlineStr">
        <is>
          <t>profit_anchor</t>
        </is>
      </c>
      <c r="E664" t="inlineStr">
        <is>
          <t>energy_infrastructure_anchor</t>
        </is>
      </c>
      <c r="F664" t="inlineStr">
        <is>
          <t>Zahnen Technik GmbH</t>
        </is>
      </c>
      <c r="G664" t="inlineStr">
        <is>
          <t>profit_anchor</t>
        </is>
      </c>
      <c r="H664" t="inlineStr">
        <is>
          <t>energy_infrastructure_anchor</t>
        </is>
      </c>
      <c r="I664" t="n">
        <v>24</v>
      </c>
      <c r="J664" t="n">
        <v>0</v>
      </c>
      <c r="K664" t="n">
        <v>0.02040816</v>
      </c>
      <c r="L664" t="n">
        <v>0.02040816</v>
      </c>
      <c r="M664" t="n">
        <v>0.04081633</v>
      </c>
      <c r="N664" t="n">
        <v>0.5255102</v>
      </c>
      <c r="O664" t="n">
        <v>12.612245</v>
      </c>
      <c r="P664" t="n">
        <v>0.11111111</v>
      </c>
      <c r="Q664" t="n">
        <v>0.11111111</v>
      </c>
      <c r="R664" t="n">
        <v>0.22222222</v>
      </c>
      <c r="S664" t="n">
        <v>0.71527778</v>
      </c>
      <c r="T664" t="n">
        <v>0.61309524</v>
      </c>
      <c r="U664" t="n">
        <v>14.714286</v>
      </c>
      <c r="V664" t="b">
        <v>0</v>
      </c>
      <c r="W664" t="n">
        <v>0</v>
      </c>
      <c r="X664" t="inlineStr">
        <is>
          <t>role_subrole_balanced_score = base_support_score * capped sqrt(avg_macro_multiplier * avg_subrole_multiplier); role/subrole quota constraints use inverse weights.</t>
        </is>
      </c>
    </row>
    <row r="665">
      <c r="A665" t="inlineStr">
        <is>
          <t>C0664</t>
        </is>
      </c>
      <c r="B665" t="inlineStr">
        <is>
          <t>x_0664</t>
        </is>
      </c>
      <c r="C665" t="inlineStr">
        <is>
          <t>Erster FC Kaiserslautern GmbH &amp; Co. KGaA</t>
        </is>
      </c>
      <c r="D665" t="inlineStr">
        <is>
          <t>profit_anchor</t>
        </is>
      </c>
      <c r="E665" t="inlineStr">
        <is>
          <t>sports_regional_identity_anchor</t>
        </is>
      </c>
      <c r="F665" t="inlineStr">
        <is>
          <t>GLOBUS Markthallen Holding GmbH &amp; Co. KG</t>
        </is>
      </c>
      <c r="G665" t="inlineStr">
        <is>
          <t>profit_anchor</t>
        </is>
      </c>
      <c r="H665" t="inlineStr">
        <is>
          <t>food_beverage_consumer_anchor</t>
        </is>
      </c>
      <c r="I665" t="n">
        <v>23</v>
      </c>
      <c r="J665" t="n">
        <v>0</v>
      </c>
      <c r="K665" t="n">
        <v>0.02040816</v>
      </c>
      <c r="L665" t="n">
        <v>0.02040816</v>
      </c>
      <c r="M665" t="n">
        <v>0.04081633</v>
      </c>
      <c r="N665" t="n">
        <v>0.5255102</v>
      </c>
      <c r="O665" t="n">
        <v>12.086735</v>
      </c>
      <c r="P665" t="n">
        <v>0.5</v>
      </c>
      <c r="Q665" t="n">
        <v>0.2</v>
      </c>
      <c r="R665" t="n">
        <v>0.7</v>
      </c>
      <c r="S665" t="n">
        <v>2.253125</v>
      </c>
      <c r="T665" t="n">
        <v>1.0881361</v>
      </c>
      <c r="U665" t="n">
        <v>25.02713</v>
      </c>
      <c r="V665" t="b">
        <v>0</v>
      </c>
      <c r="W665" t="n">
        <v>0</v>
      </c>
      <c r="X665" t="inlineStr">
        <is>
          <t>role_subrole_balanced_score = base_support_score * capped sqrt(avg_macro_multiplier * avg_subrole_multiplier); role/subrole quota constraints use inverse weights.</t>
        </is>
      </c>
    </row>
    <row r="666">
      <c r="A666" t="inlineStr">
        <is>
          <t>C0665</t>
        </is>
      </c>
      <c r="B666" t="inlineStr">
        <is>
          <t>x_0665</t>
        </is>
      </c>
      <c r="C666" t="inlineStr">
        <is>
          <t>Empolis Information Management GmbH</t>
        </is>
      </c>
      <c r="D666" t="inlineStr">
        <is>
          <t>profit_anchor</t>
        </is>
      </c>
      <c r="E666" t="inlineStr">
        <is>
          <t>technology_digital_anchor</t>
        </is>
      </c>
      <c r="F666" t="inlineStr">
        <is>
          <t>Sparkassenverband Rheinland-Pfalz</t>
        </is>
      </c>
      <c r="G666" t="inlineStr">
        <is>
          <t>profit_anchor</t>
        </is>
      </c>
      <c r="H666" t="inlineStr">
        <is>
          <t>bank_finance_anchor</t>
        </is>
      </c>
      <c r="I666" t="n">
        <v>23</v>
      </c>
      <c r="J666" t="n">
        <v>0</v>
      </c>
      <c r="K666" t="n">
        <v>0.02040816</v>
      </c>
      <c r="L666" t="n">
        <v>0.02040816</v>
      </c>
      <c r="M666" t="n">
        <v>0.04081633</v>
      </c>
      <c r="N666" t="n">
        <v>0.5255102</v>
      </c>
      <c r="O666" t="n">
        <v>12.086735</v>
      </c>
      <c r="P666" t="n">
        <v>0.11111111</v>
      </c>
      <c r="Q666" t="n">
        <v>0.14285714</v>
      </c>
      <c r="R666" t="n">
        <v>0.25396825</v>
      </c>
      <c r="S666" t="n">
        <v>0.81746032</v>
      </c>
      <c r="T666" t="n">
        <v>0.65542638</v>
      </c>
      <c r="U666" t="n">
        <v>15.074807</v>
      </c>
      <c r="V666" t="b">
        <v>0</v>
      </c>
      <c r="W666" t="n">
        <v>0</v>
      </c>
      <c r="X666" t="inlineStr">
        <is>
          <t>role_subrole_balanced_score = base_support_score * capped sqrt(avg_macro_multiplier * avg_subrole_multiplier); role/subrole quota constraints use inverse weights.</t>
        </is>
      </c>
    </row>
    <row r="667">
      <c r="A667" t="inlineStr">
        <is>
          <t>C0666</t>
        </is>
      </c>
      <c r="B667" t="inlineStr">
        <is>
          <t>x_0666</t>
        </is>
      </c>
      <c r="C667" t="inlineStr">
        <is>
          <t>ENTEGA Plus GmbH</t>
        </is>
      </c>
      <c r="D667" t="inlineStr">
        <is>
          <t>profit_anchor</t>
        </is>
      </c>
      <c r="E667" t="inlineStr">
        <is>
          <t>energy_infrastructure_anchor</t>
        </is>
      </c>
      <c r="F667" t="inlineStr">
        <is>
          <t>KSB AG</t>
        </is>
      </c>
      <c r="G667" t="inlineStr">
        <is>
          <t>profit_anchor</t>
        </is>
      </c>
      <c r="H667" t="inlineStr">
        <is>
          <t>industry_anchor</t>
        </is>
      </c>
      <c r="I667" t="n">
        <v>23</v>
      </c>
      <c r="J667" t="n">
        <v>0</v>
      </c>
      <c r="K667" t="n">
        <v>0.02040816</v>
      </c>
      <c r="L667" t="n">
        <v>0.02040816</v>
      </c>
      <c r="M667" t="n">
        <v>0.04081633</v>
      </c>
      <c r="N667" t="n">
        <v>0.5255102</v>
      </c>
      <c r="O667" t="n">
        <v>12.086735</v>
      </c>
      <c r="P667" t="n">
        <v>0.11111111</v>
      </c>
      <c r="Q667" t="n">
        <v>0.09090909</v>
      </c>
      <c r="R667" t="n">
        <v>0.2020202</v>
      </c>
      <c r="S667" t="n">
        <v>0.6502525300000001</v>
      </c>
      <c r="T667" t="n">
        <v>0.58456337</v>
      </c>
      <c r="U667" t="n">
        <v>13.444958</v>
      </c>
      <c r="V667" t="b">
        <v>0</v>
      </c>
      <c r="W667" t="n">
        <v>0</v>
      </c>
      <c r="X667" t="inlineStr">
        <is>
          <t>role_subrole_balanced_score = base_support_score * capped sqrt(avg_macro_multiplier * avg_subrole_multiplier); role/subrole quota constraints use inverse weights.</t>
        </is>
      </c>
    </row>
    <row r="668">
      <c r="A668" t="inlineStr">
        <is>
          <t>C0667</t>
        </is>
      </c>
      <c r="B668" t="inlineStr">
        <is>
          <t>x_0667</t>
        </is>
      </c>
      <c r="C668" t="inlineStr">
        <is>
          <t>ENTEGA Plus GmbH</t>
        </is>
      </c>
      <c r="D668" t="inlineStr">
        <is>
          <t>profit_anchor</t>
        </is>
      </c>
      <c r="E668" t="inlineStr">
        <is>
          <t>energy_infrastructure_anchor</t>
        </is>
      </c>
      <c r="F668" t="inlineStr">
        <is>
          <t>Zahnen Technik GmbH</t>
        </is>
      </c>
      <c r="G668" t="inlineStr">
        <is>
          <t>profit_anchor</t>
        </is>
      </c>
      <c r="H668" t="inlineStr">
        <is>
          <t>energy_infrastructure_anchor</t>
        </is>
      </c>
      <c r="I668" t="n">
        <v>23</v>
      </c>
      <c r="J668" t="n">
        <v>0</v>
      </c>
      <c r="K668" t="n">
        <v>0.02040816</v>
      </c>
      <c r="L668" t="n">
        <v>0.02040816</v>
      </c>
      <c r="M668" t="n">
        <v>0.04081633</v>
      </c>
      <c r="N668" t="n">
        <v>0.5255102</v>
      </c>
      <c r="O668" t="n">
        <v>12.086735</v>
      </c>
      <c r="P668" t="n">
        <v>0.11111111</v>
      </c>
      <c r="Q668" t="n">
        <v>0.11111111</v>
      </c>
      <c r="R668" t="n">
        <v>0.22222222</v>
      </c>
      <c r="S668" t="n">
        <v>0.71527778</v>
      </c>
      <c r="T668" t="n">
        <v>0.61309524</v>
      </c>
      <c r="U668" t="n">
        <v>14.10119</v>
      </c>
      <c r="V668" t="b">
        <v>0</v>
      </c>
      <c r="W668" t="n">
        <v>0</v>
      </c>
      <c r="X668" t="inlineStr">
        <is>
          <t>role_subrole_balanced_score = base_support_score * capped sqrt(avg_macro_multiplier * avg_subrole_multiplier); role/subrole quota constraints use inverse weights.</t>
        </is>
      </c>
    </row>
    <row r="669">
      <c r="A669" t="inlineStr">
        <is>
          <t>C0668</t>
        </is>
      </c>
      <c r="B669" t="inlineStr">
        <is>
          <t>x_0668</t>
        </is>
      </c>
      <c r="C669" t="inlineStr">
        <is>
          <t>KSB AG</t>
        </is>
      </c>
      <c r="D669" t="inlineStr">
        <is>
          <t>profit_anchor</t>
        </is>
      </c>
      <c r="E669" t="inlineStr">
        <is>
          <t>industry_anchor</t>
        </is>
      </c>
      <c r="F669" t="inlineStr">
        <is>
          <t>Pfalzwerke AG</t>
        </is>
      </c>
      <c r="G669" t="inlineStr">
        <is>
          <t>profit_anchor</t>
        </is>
      </c>
      <c r="H669" t="inlineStr">
        <is>
          <t>energy_infrastructure_anchor</t>
        </is>
      </c>
      <c r="I669" t="n">
        <v>23</v>
      </c>
      <c r="J669" t="n">
        <v>0</v>
      </c>
      <c r="K669" t="n">
        <v>0.02040816</v>
      </c>
      <c r="L669" t="n">
        <v>0.02040816</v>
      </c>
      <c r="M669" t="n">
        <v>0.04081633</v>
      </c>
      <c r="N669" t="n">
        <v>0.5255102</v>
      </c>
      <c r="O669" t="n">
        <v>12.086735</v>
      </c>
      <c r="P669" t="n">
        <v>0.09090909</v>
      </c>
      <c r="Q669" t="n">
        <v>0.11111111</v>
      </c>
      <c r="R669" t="n">
        <v>0.2020202</v>
      </c>
      <c r="S669" t="n">
        <v>0.6502525300000001</v>
      </c>
      <c r="T669" t="n">
        <v>0.58456337</v>
      </c>
      <c r="U669" t="n">
        <v>13.444958</v>
      </c>
      <c r="V669" t="b">
        <v>0</v>
      </c>
      <c r="W669" t="n">
        <v>0</v>
      </c>
      <c r="X669" t="inlineStr">
        <is>
          <t>role_subrole_balanced_score = base_support_score * capped sqrt(avg_macro_multiplier * avg_subrole_multiplier); role/subrole quota constraints use inverse weights.</t>
        </is>
      </c>
    </row>
    <row r="670">
      <c r="A670" t="inlineStr">
        <is>
          <t>C0669</t>
        </is>
      </c>
      <c r="B670" t="inlineStr">
        <is>
          <t>x_0669</t>
        </is>
      </c>
      <c r="C670" t="inlineStr">
        <is>
          <t>KSB AG</t>
        </is>
      </c>
      <c r="D670" t="inlineStr">
        <is>
          <t>profit_anchor</t>
        </is>
      </c>
      <c r="E670" t="inlineStr">
        <is>
          <t>industry_anchor</t>
        </is>
      </c>
      <c r="F670" t="inlineStr">
        <is>
          <t>Westenergie AG</t>
        </is>
      </c>
      <c r="G670" t="inlineStr">
        <is>
          <t>profit_anchor</t>
        </is>
      </c>
      <c r="H670" t="inlineStr">
        <is>
          <t>energy_infrastructure_anchor</t>
        </is>
      </c>
      <c r="I670" t="n">
        <v>23</v>
      </c>
      <c r="J670" t="n">
        <v>0</v>
      </c>
      <c r="K670" t="n">
        <v>0.02040816</v>
      </c>
      <c r="L670" t="n">
        <v>0.02040816</v>
      </c>
      <c r="M670" t="n">
        <v>0.04081633</v>
      </c>
      <c r="N670" t="n">
        <v>0.5255102</v>
      </c>
      <c r="O670" t="n">
        <v>12.086735</v>
      </c>
      <c r="P670" t="n">
        <v>0.09090909</v>
      </c>
      <c r="Q670" t="n">
        <v>0.11111111</v>
      </c>
      <c r="R670" t="n">
        <v>0.2020202</v>
      </c>
      <c r="S670" t="n">
        <v>0.6502525300000001</v>
      </c>
      <c r="T670" t="n">
        <v>0.58456337</v>
      </c>
      <c r="U670" t="n">
        <v>13.444958</v>
      </c>
      <c r="V670" t="b">
        <v>0</v>
      </c>
      <c r="W670" t="n">
        <v>0</v>
      </c>
      <c r="X670" t="inlineStr">
        <is>
          <t>role_subrole_balanced_score = base_support_score * capped sqrt(avg_macro_multiplier * avg_subrole_multiplier); role/subrole quota constraints use inverse weights.</t>
        </is>
      </c>
    </row>
    <row r="671">
      <c r="A671" t="inlineStr">
        <is>
          <t>C0670</t>
        </is>
      </c>
      <c r="B671" t="inlineStr">
        <is>
          <t>x_0670</t>
        </is>
      </c>
      <c r="C671" t="inlineStr">
        <is>
          <t>Pfalzwerke AG</t>
        </is>
      </c>
      <c r="D671" t="inlineStr">
        <is>
          <t>profit_anchor</t>
        </is>
      </c>
      <c r="E671" t="inlineStr">
        <is>
          <t>energy_infrastructure_anchor</t>
        </is>
      </c>
      <c r="F671" t="inlineStr">
        <is>
          <t>Zahnen Technik GmbH</t>
        </is>
      </c>
      <c r="G671" t="inlineStr">
        <is>
          <t>profit_anchor</t>
        </is>
      </c>
      <c r="H671" t="inlineStr">
        <is>
          <t>energy_infrastructure_anchor</t>
        </is>
      </c>
      <c r="I671" t="n">
        <v>23</v>
      </c>
      <c r="J671" t="n">
        <v>0</v>
      </c>
      <c r="K671" t="n">
        <v>0.02040816</v>
      </c>
      <c r="L671" t="n">
        <v>0.02040816</v>
      </c>
      <c r="M671" t="n">
        <v>0.04081633</v>
      </c>
      <c r="N671" t="n">
        <v>0.5255102</v>
      </c>
      <c r="O671" t="n">
        <v>12.086735</v>
      </c>
      <c r="P671" t="n">
        <v>0.11111111</v>
      </c>
      <c r="Q671" t="n">
        <v>0.11111111</v>
      </c>
      <c r="R671" t="n">
        <v>0.22222222</v>
      </c>
      <c r="S671" t="n">
        <v>0.71527778</v>
      </c>
      <c r="T671" t="n">
        <v>0.61309524</v>
      </c>
      <c r="U671" t="n">
        <v>14.10119</v>
      </c>
      <c r="V671" t="b">
        <v>0</v>
      </c>
      <c r="W671" t="n">
        <v>0</v>
      </c>
      <c r="X671" t="inlineStr">
        <is>
          <t>role_subrole_balanced_score = base_support_score * capped sqrt(avg_macro_multiplier * avg_subrole_multiplier); role/subrole quota constraints use inverse weights.</t>
        </is>
      </c>
    </row>
    <row r="672">
      <c r="A672" t="inlineStr">
        <is>
          <t>C0671</t>
        </is>
      </c>
      <c r="B672" t="inlineStr">
        <is>
          <t>x_0671</t>
        </is>
      </c>
      <c r="C672" t="inlineStr">
        <is>
          <t>Westenergie AG</t>
        </is>
      </c>
      <c r="D672" t="inlineStr">
        <is>
          <t>profit_anchor</t>
        </is>
      </c>
      <c r="E672" t="inlineStr">
        <is>
          <t>energy_infrastructure_anchor</t>
        </is>
      </c>
      <c r="F672" t="inlineStr">
        <is>
          <t>Zahnen Technik GmbH</t>
        </is>
      </c>
      <c r="G672" t="inlineStr">
        <is>
          <t>profit_anchor</t>
        </is>
      </c>
      <c r="H672" t="inlineStr">
        <is>
          <t>energy_infrastructure_anchor</t>
        </is>
      </c>
      <c r="I672" t="n">
        <v>23</v>
      </c>
      <c r="J672" t="n">
        <v>0</v>
      </c>
      <c r="K672" t="n">
        <v>0.02040816</v>
      </c>
      <c r="L672" t="n">
        <v>0.02040816</v>
      </c>
      <c r="M672" t="n">
        <v>0.04081633</v>
      </c>
      <c r="N672" t="n">
        <v>0.5255102</v>
      </c>
      <c r="O672" t="n">
        <v>12.086735</v>
      </c>
      <c r="P672" t="n">
        <v>0.11111111</v>
      </c>
      <c r="Q672" t="n">
        <v>0.11111111</v>
      </c>
      <c r="R672" t="n">
        <v>0.22222222</v>
      </c>
      <c r="S672" t="n">
        <v>0.71527778</v>
      </c>
      <c r="T672" t="n">
        <v>0.61309524</v>
      </c>
      <c r="U672" t="n">
        <v>14.10119</v>
      </c>
      <c r="V672" t="b">
        <v>0</v>
      </c>
      <c r="W672" t="n">
        <v>0</v>
      </c>
      <c r="X672" t="inlineStr">
        <is>
          <t>role_subrole_balanced_score = base_support_score * capped sqrt(avg_macro_multiplier * avg_subrole_multiplier); role/subrole quota constraints use inverse weights.</t>
        </is>
      </c>
    </row>
    <row r="673">
      <c r="A673" t="inlineStr">
        <is>
          <t>C0672</t>
        </is>
      </c>
      <c r="B673" t="inlineStr">
        <is>
          <t>x_0672</t>
        </is>
      </c>
      <c r="C673" t="inlineStr">
        <is>
          <t>GLOBUS Markthallen Holding GmbH &amp; Co. KG</t>
        </is>
      </c>
      <c r="D673" t="inlineStr">
        <is>
          <t>profit_anchor</t>
        </is>
      </c>
      <c r="E673" t="inlineStr">
        <is>
          <t>food_beverage_consumer_anchor</t>
        </is>
      </c>
      <c r="F673" t="inlineStr">
        <is>
          <t>LOTTO Rheinland-Pfalz GmbH</t>
        </is>
      </c>
      <c r="G673" t="inlineStr">
        <is>
          <t>profit_anchor</t>
        </is>
      </c>
      <c r="H673" t="inlineStr">
        <is>
          <t>culture_foundation_anchor</t>
        </is>
      </c>
      <c r="I673" t="n">
        <v>22</v>
      </c>
      <c r="J673" t="n">
        <v>0</v>
      </c>
      <c r="K673" t="n">
        <v>0.02040816</v>
      </c>
      <c r="L673" t="n">
        <v>0.02040816</v>
      </c>
      <c r="M673" t="n">
        <v>0.04081633</v>
      </c>
      <c r="N673" t="n">
        <v>0.5255102</v>
      </c>
      <c r="O673" t="n">
        <v>11.561224</v>
      </c>
      <c r="P673" t="n">
        <v>0.2</v>
      </c>
      <c r="Q673" t="n">
        <v>0.33333333</v>
      </c>
      <c r="R673" t="n">
        <v>0.53333333</v>
      </c>
      <c r="S673" t="n">
        <v>1.71666667</v>
      </c>
      <c r="T673" t="n">
        <v>0.94980306</v>
      </c>
      <c r="U673" t="n">
        <v>20.895667</v>
      </c>
      <c r="V673" t="b">
        <v>0</v>
      </c>
      <c r="W673" t="n">
        <v>0</v>
      </c>
      <c r="X673" t="inlineStr">
        <is>
          <t>role_subrole_balanced_score = base_support_score * capped sqrt(avg_macro_multiplier * avg_subrole_multiplier); role/subrole quota constraints use inverse weights.</t>
        </is>
      </c>
    </row>
    <row r="674">
      <c r="A674" t="inlineStr">
        <is>
          <t>C0673</t>
        </is>
      </c>
      <c r="B674" t="inlineStr">
        <is>
          <t>x_0673</t>
        </is>
      </c>
      <c r="C674" t="inlineStr">
        <is>
          <t>ENTEGA Plus GmbH</t>
        </is>
      </c>
      <c r="D674" t="inlineStr">
        <is>
          <t>profit_anchor</t>
        </is>
      </c>
      <c r="E674" t="inlineStr">
        <is>
          <t>energy_infrastructure_anchor</t>
        </is>
      </c>
      <c r="F674" t="inlineStr">
        <is>
          <t>Mainzer Stadtwerke AG</t>
        </is>
      </c>
      <c r="G674" t="inlineStr">
        <is>
          <t>profit_anchor</t>
        </is>
      </c>
      <c r="H674" t="inlineStr">
        <is>
          <t>energy_infrastructure_anchor</t>
        </is>
      </c>
      <c r="I674" t="n">
        <v>22</v>
      </c>
      <c r="J674" t="n">
        <v>0</v>
      </c>
      <c r="K674" t="n">
        <v>0.02040816</v>
      </c>
      <c r="L674" t="n">
        <v>0.02040816</v>
      </c>
      <c r="M674" t="n">
        <v>0.04081633</v>
      </c>
      <c r="N674" t="n">
        <v>0.5255102</v>
      </c>
      <c r="O674" t="n">
        <v>11.561224</v>
      </c>
      <c r="P674" t="n">
        <v>0.11111111</v>
      </c>
      <c r="Q674" t="n">
        <v>0.11111111</v>
      </c>
      <c r="R674" t="n">
        <v>0.22222222</v>
      </c>
      <c r="S674" t="n">
        <v>0.71527778</v>
      </c>
      <c r="T674" t="n">
        <v>0.61309524</v>
      </c>
      <c r="U674" t="n">
        <v>13.488095</v>
      </c>
      <c r="V674" t="b">
        <v>0</v>
      </c>
      <c r="W674" t="n">
        <v>0</v>
      </c>
      <c r="X674" t="inlineStr">
        <is>
          <t>role_subrole_balanced_score = base_support_score * capped sqrt(avg_macro_multiplier * avg_subrole_multiplier); role/subrole quota constraints use inverse weights.</t>
        </is>
      </c>
    </row>
    <row r="675">
      <c r="A675" t="inlineStr">
        <is>
          <t>C0674</t>
        </is>
      </c>
      <c r="B675" t="inlineStr">
        <is>
          <t>x_0674</t>
        </is>
      </c>
      <c r="C675" t="inlineStr">
        <is>
          <t>Mainzer Stadtwerke AG</t>
        </is>
      </c>
      <c r="D675" t="inlineStr">
        <is>
          <t>profit_anchor</t>
        </is>
      </c>
      <c r="E675" t="inlineStr">
        <is>
          <t>energy_infrastructure_anchor</t>
        </is>
      </c>
      <c r="F675" t="inlineStr">
        <is>
          <t>Pfalzwerke AG</t>
        </is>
      </c>
      <c r="G675" t="inlineStr">
        <is>
          <t>profit_anchor</t>
        </is>
      </c>
      <c r="H675" t="inlineStr">
        <is>
          <t>energy_infrastructure_anchor</t>
        </is>
      </c>
      <c r="I675" t="n">
        <v>22</v>
      </c>
      <c r="J675" t="n">
        <v>0</v>
      </c>
      <c r="K675" t="n">
        <v>0.02040816</v>
      </c>
      <c r="L675" t="n">
        <v>0.02040816</v>
      </c>
      <c r="M675" t="n">
        <v>0.04081633</v>
      </c>
      <c r="N675" t="n">
        <v>0.5255102</v>
      </c>
      <c r="O675" t="n">
        <v>11.561224</v>
      </c>
      <c r="P675" t="n">
        <v>0.11111111</v>
      </c>
      <c r="Q675" t="n">
        <v>0.11111111</v>
      </c>
      <c r="R675" t="n">
        <v>0.22222222</v>
      </c>
      <c r="S675" t="n">
        <v>0.71527778</v>
      </c>
      <c r="T675" t="n">
        <v>0.61309524</v>
      </c>
      <c r="U675" t="n">
        <v>13.488095</v>
      </c>
      <c r="V675" t="b">
        <v>0</v>
      </c>
      <c r="W675" t="n">
        <v>0</v>
      </c>
      <c r="X675" t="inlineStr">
        <is>
          <t>role_subrole_balanced_score = base_support_score * capped sqrt(avg_macro_multiplier * avg_subrole_multiplier); role/subrole quota constraints use inverse weights.</t>
        </is>
      </c>
    </row>
    <row r="676">
      <c r="A676" t="inlineStr">
        <is>
          <t>C0675</t>
        </is>
      </c>
      <c r="B676" t="inlineStr">
        <is>
          <t>x_0675</t>
        </is>
      </c>
      <c r="C676" t="inlineStr">
        <is>
          <t>Mainzer Stadtwerke AG</t>
        </is>
      </c>
      <c r="D676" t="inlineStr">
        <is>
          <t>profit_anchor</t>
        </is>
      </c>
      <c r="E676" t="inlineStr">
        <is>
          <t>energy_infrastructure_anchor</t>
        </is>
      </c>
      <c r="F676" t="inlineStr">
        <is>
          <t>Westenergie AG</t>
        </is>
      </c>
      <c r="G676" t="inlineStr">
        <is>
          <t>profit_anchor</t>
        </is>
      </c>
      <c r="H676" t="inlineStr">
        <is>
          <t>energy_infrastructure_anchor</t>
        </is>
      </c>
      <c r="I676" t="n">
        <v>22</v>
      </c>
      <c r="J676" t="n">
        <v>0</v>
      </c>
      <c r="K676" t="n">
        <v>0.02040816</v>
      </c>
      <c r="L676" t="n">
        <v>0.02040816</v>
      </c>
      <c r="M676" t="n">
        <v>0.04081633</v>
      </c>
      <c r="N676" t="n">
        <v>0.5255102</v>
      </c>
      <c r="O676" t="n">
        <v>11.561224</v>
      </c>
      <c r="P676" t="n">
        <v>0.11111111</v>
      </c>
      <c r="Q676" t="n">
        <v>0.11111111</v>
      </c>
      <c r="R676" t="n">
        <v>0.22222222</v>
      </c>
      <c r="S676" t="n">
        <v>0.71527778</v>
      </c>
      <c r="T676" t="n">
        <v>0.61309524</v>
      </c>
      <c r="U676" t="n">
        <v>13.488095</v>
      </c>
      <c r="V676" t="b">
        <v>0</v>
      </c>
      <c r="W676" t="n">
        <v>0</v>
      </c>
      <c r="X676" t="inlineStr">
        <is>
          <t>role_subrole_balanced_score = base_support_score * capped sqrt(avg_macro_multiplier * avg_subrole_multiplier); role/subrole quota constraints use inverse weights.</t>
        </is>
      </c>
    </row>
    <row r="677">
      <c r="A677" t="inlineStr">
        <is>
          <t>C0676</t>
        </is>
      </c>
      <c r="B677" t="inlineStr">
        <is>
          <t>x_0676</t>
        </is>
      </c>
      <c r="C677" t="inlineStr">
        <is>
          <t>ENTEGA Plus GmbH</t>
        </is>
      </c>
      <c r="D677" t="inlineStr">
        <is>
          <t>profit_anchor</t>
        </is>
      </c>
      <c r="E677" t="inlineStr">
        <is>
          <t>energy_infrastructure_anchor</t>
        </is>
      </c>
      <c r="F677" t="inlineStr">
        <is>
          <t>Pfalzwerke AG</t>
        </is>
      </c>
      <c r="G677" t="inlineStr">
        <is>
          <t>profit_anchor</t>
        </is>
      </c>
      <c r="H677" t="inlineStr">
        <is>
          <t>energy_infrastructure_anchor</t>
        </is>
      </c>
      <c r="I677" t="n">
        <v>21</v>
      </c>
      <c r="J677" t="n">
        <v>0</v>
      </c>
      <c r="K677" t="n">
        <v>0.02040816</v>
      </c>
      <c r="L677" t="n">
        <v>0.02040816</v>
      </c>
      <c r="M677" t="n">
        <v>0.04081633</v>
      </c>
      <c r="N677" t="n">
        <v>0.5255102</v>
      </c>
      <c r="O677" t="n">
        <v>11.035714</v>
      </c>
      <c r="P677" t="n">
        <v>0.11111111</v>
      </c>
      <c r="Q677" t="n">
        <v>0.11111111</v>
      </c>
      <c r="R677" t="n">
        <v>0.22222222</v>
      </c>
      <c r="S677" t="n">
        <v>0.71527778</v>
      </c>
      <c r="T677" t="n">
        <v>0.61309524</v>
      </c>
      <c r="U677" t="n">
        <v>12.875</v>
      </c>
      <c r="V677" t="b">
        <v>0</v>
      </c>
      <c r="W677" t="n">
        <v>0</v>
      </c>
      <c r="X677" t="inlineStr">
        <is>
          <t>role_subrole_balanced_score = base_support_score * capped sqrt(avg_macro_multiplier * avg_subrole_multiplier); role/subrole quota constraints use inverse weights.</t>
        </is>
      </c>
    </row>
    <row r="678">
      <c r="A678" t="inlineStr">
        <is>
          <t>C0677</t>
        </is>
      </c>
      <c r="B678" t="inlineStr">
        <is>
          <t>x_0677</t>
        </is>
      </c>
      <c r="C678" t="inlineStr">
        <is>
          <t>ENTEGA Plus GmbH</t>
        </is>
      </c>
      <c r="D678" t="inlineStr">
        <is>
          <t>profit_anchor</t>
        </is>
      </c>
      <c r="E678" t="inlineStr">
        <is>
          <t>energy_infrastructure_anchor</t>
        </is>
      </c>
      <c r="F678" t="inlineStr">
        <is>
          <t>Westenergie AG</t>
        </is>
      </c>
      <c r="G678" t="inlineStr">
        <is>
          <t>profit_anchor</t>
        </is>
      </c>
      <c r="H678" t="inlineStr">
        <is>
          <t>energy_infrastructure_anchor</t>
        </is>
      </c>
      <c r="I678" t="n">
        <v>21</v>
      </c>
      <c r="J678" t="n">
        <v>0</v>
      </c>
      <c r="K678" t="n">
        <v>0.02040816</v>
      </c>
      <c r="L678" t="n">
        <v>0.02040816</v>
      </c>
      <c r="M678" t="n">
        <v>0.04081633</v>
      </c>
      <c r="N678" t="n">
        <v>0.5255102</v>
      </c>
      <c r="O678" t="n">
        <v>11.035714</v>
      </c>
      <c r="P678" t="n">
        <v>0.11111111</v>
      </c>
      <c r="Q678" t="n">
        <v>0.11111111</v>
      </c>
      <c r="R678" t="n">
        <v>0.22222222</v>
      </c>
      <c r="S678" t="n">
        <v>0.71527778</v>
      </c>
      <c r="T678" t="n">
        <v>0.61309524</v>
      </c>
      <c r="U678" t="n">
        <v>12.875</v>
      </c>
      <c r="V678" t="b">
        <v>0</v>
      </c>
      <c r="W678" t="n">
        <v>0</v>
      </c>
      <c r="X678" t="inlineStr">
        <is>
          <t>role_subrole_balanced_score = base_support_score * capped sqrt(avg_macro_multiplier * avg_subrole_multiplier); role/subrole quota constraints use inverse weights.</t>
        </is>
      </c>
    </row>
    <row r="679">
      <c r="A679" t="inlineStr">
        <is>
          <t>C0678</t>
        </is>
      </c>
      <c r="B679" t="inlineStr">
        <is>
          <t>x_0678</t>
        </is>
      </c>
      <c r="C679" t="inlineStr">
        <is>
          <t>Pfalzwerke AG</t>
        </is>
      </c>
      <c r="D679" t="inlineStr">
        <is>
          <t>profit_anchor</t>
        </is>
      </c>
      <c r="E679" t="inlineStr">
        <is>
          <t>energy_infrastructure_anchor</t>
        </is>
      </c>
      <c r="F679" t="inlineStr">
        <is>
          <t>Westenergie AG</t>
        </is>
      </c>
      <c r="G679" t="inlineStr">
        <is>
          <t>profit_anchor</t>
        </is>
      </c>
      <c r="H679" t="inlineStr">
        <is>
          <t>energy_infrastructure_anchor</t>
        </is>
      </c>
      <c r="I679" t="n">
        <v>21</v>
      </c>
      <c r="J679" t="n">
        <v>0</v>
      </c>
      <c r="K679" t="n">
        <v>0.02040816</v>
      </c>
      <c r="L679" t="n">
        <v>0.02040816</v>
      </c>
      <c r="M679" t="n">
        <v>0.04081633</v>
      </c>
      <c r="N679" t="n">
        <v>0.5255102</v>
      </c>
      <c r="O679" t="n">
        <v>11.035714</v>
      </c>
      <c r="P679" t="n">
        <v>0.11111111</v>
      </c>
      <c r="Q679" t="n">
        <v>0.11111111</v>
      </c>
      <c r="R679" t="n">
        <v>0.22222222</v>
      </c>
      <c r="S679" t="n">
        <v>0.71527778</v>
      </c>
      <c r="T679" t="n">
        <v>0.61309524</v>
      </c>
      <c r="U679" t="n">
        <v>12.875</v>
      </c>
      <c r="V679" t="b">
        <v>0</v>
      </c>
      <c r="W679" t="n">
        <v>0</v>
      </c>
      <c r="X679" t="inlineStr">
        <is>
          <t>role_subrole_balanced_score = base_support_score * capped sqrt(avg_macro_multiplier * avg_subrole_multiplier); role/subrole quota constraints use inverse weights.</t>
        </is>
      </c>
    </row>
    <row r="680">
      <c r="A680" t="inlineStr">
        <is>
          <t>C0679</t>
        </is>
      </c>
      <c r="B680" t="inlineStr">
        <is>
          <t>x_0679</t>
        </is>
      </c>
      <c r="C680" t="inlineStr">
        <is>
          <t>SWR – Südwestrundfunk</t>
        </is>
      </c>
      <c r="D680" t="inlineStr">
        <is>
          <t>context_actor</t>
        </is>
      </c>
      <c r="E680" t="inlineStr">
        <is>
          <t>media_publicity_anchor</t>
        </is>
      </c>
      <c r="F680" t="inlineStr">
        <is>
          <t>Villa Musica Rheinland-Pfalz</t>
        </is>
      </c>
      <c r="G680" t="inlineStr">
        <is>
          <t>context_actor</t>
        </is>
      </c>
      <c r="H680" t="inlineStr">
        <is>
          <t>culture_foundation_anchor</t>
        </is>
      </c>
      <c r="I680" t="n">
        <v>19</v>
      </c>
      <c r="J680" t="n">
        <v>0</v>
      </c>
      <c r="K680" t="n">
        <v>0.03846154</v>
      </c>
      <c r="L680" t="n">
        <v>0.03846154</v>
      </c>
      <c r="M680" t="n">
        <v>0.07692308</v>
      </c>
      <c r="N680" t="n">
        <v>0.99038462</v>
      </c>
      <c r="O680" t="n">
        <v>18.817308</v>
      </c>
      <c r="P680" t="n">
        <v>0.33333333</v>
      </c>
      <c r="Q680" t="n">
        <v>0.33333333</v>
      </c>
      <c r="R680" t="n">
        <v>0.66666667</v>
      </c>
      <c r="S680" t="n">
        <v>2.14583333</v>
      </c>
      <c r="T680" t="n">
        <v>1.45780668</v>
      </c>
      <c r="U680" t="n">
        <v>27.698327</v>
      </c>
      <c r="V680" t="b">
        <v>0</v>
      </c>
      <c r="W680" t="n">
        <v>0</v>
      </c>
      <c r="X680" t="inlineStr">
        <is>
          <t>role_subrole_balanced_score = base_support_score * capped sqrt(avg_macro_multiplier * avg_subrole_multiplier); role/subrole quota constraints use inverse weights.</t>
        </is>
      </c>
    </row>
    <row r="681">
      <c r="A681" t="inlineStr">
        <is>
          <t>C0680</t>
        </is>
      </c>
      <c r="B681" t="inlineStr">
        <is>
          <t>x_0680</t>
        </is>
      </c>
      <c r="C681" t="inlineStr">
        <is>
          <t>Villa Musica Rheinland-Pfalz</t>
        </is>
      </c>
      <c r="D681" t="inlineStr">
        <is>
          <t>context_actor</t>
        </is>
      </c>
      <c r="E681" t="inlineStr">
        <is>
          <t>culture_foundation_anchor</t>
        </is>
      </c>
      <c r="F681" t="inlineStr">
        <is>
          <t>ZDF – Zweites Deutsches Fernsehen</t>
        </is>
      </c>
      <c r="G681" t="inlineStr">
        <is>
          <t>context_actor</t>
        </is>
      </c>
      <c r="H681" t="inlineStr">
        <is>
          <t>media_publicity_anchor</t>
        </is>
      </c>
      <c r="I681" t="n">
        <v>19</v>
      </c>
      <c r="J681" t="n">
        <v>0</v>
      </c>
      <c r="K681" t="n">
        <v>0.03846154</v>
      </c>
      <c r="L681" t="n">
        <v>0.03846154</v>
      </c>
      <c r="M681" t="n">
        <v>0.07692308</v>
      </c>
      <c r="N681" t="n">
        <v>0.99038462</v>
      </c>
      <c r="O681" t="n">
        <v>18.817308</v>
      </c>
      <c r="P681" t="n">
        <v>0.33333333</v>
      </c>
      <c r="Q681" t="n">
        <v>0.33333333</v>
      </c>
      <c r="R681" t="n">
        <v>0.66666667</v>
      </c>
      <c r="S681" t="n">
        <v>2.14583333</v>
      </c>
      <c r="T681" t="n">
        <v>1.45780668</v>
      </c>
      <c r="U681" t="n">
        <v>27.698327</v>
      </c>
      <c r="V681" t="b">
        <v>0</v>
      </c>
      <c r="W681" t="n">
        <v>0</v>
      </c>
      <c r="X681" t="inlineStr">
        <is>
          <t>role_subrole_balanced_score = base_support_score * capped sqrt(avg_macro_multiplier * avg_subrole_multiplier); role/subrole quota constraints use inverse weights.</t>
        </is>
      </c>
    </row>
    <row r="682">
      <c r="A682" t="inlineStr">
        <is>
          <t>C0681</t>
        </is>
      </c>
      <c r="B682" t="inlineStr">
        <is>
          <t>x_0681</t>
        </is>
      </c>
      <c r="C682" t="inlineStr">
        <is>
          <t>1. FSV Mainz 05 e.V.</t>
        </is>
      </c>
      <c r="D682" t="inlineStr">
        <is>
          <t>context_actor</t>
        </is>
      </c>
      <c r="E682" t="inlineStr">
        <is>
          <t>sports_regional_identity_anchor</t>
        </is>
      </c>
      <c r="F682" t="inlineStr">
        <is>
          <t>AOK Rheinland-Pfalz/Saarland</t>
        </is>
      </c>
      <c r="G682" t="inlineStr">
        <is>
          <t>context_actor</t>
        </is>
      </c>
      <c r="H682" t="inlineStr">
        <is>
          <t>health_social_anchor</t>
        </is>
      </c>
      <c r="I682" t="n">
        <v>19</v>
      </c>
      <c r="J682" t="n">
        <v>0</v>
      </c>
      <c r="K682" t="n">
        <v>0.03846154</v>
      </c>
      <c r="L682" t="n">
        <v>0.03846154</v>
      </c>
      <c r="M682" t="n">
        <v>0.07692308</v>
      </c>
      <c r="N682" t="n">
        <v>0.99038462</v>
      </c>
      <c r="O682" t="n">
        <v>18.817308</v>
      </c>
      <c r="P682" t="n">
        <v>0.5</v>
      </c>
      <c r="Q682" t="n">
        <v>0.08333333</v>
      </c>
      <c r="R682" t="n">
        <v>0.58333333</v>
      </c>
      <c r="S682" t="n">
        <v>1.87760417</v>
      </c>
      <c r="T682" t="n">
        <v>1.36365328</v>
      </c>
      <c r="U682" t="n">
        <v>25.909412</v>
      </c>
      <c r="V682" t="b">
        <v>0</v>
      </c>
      <c r="W682" t="n">
        <v>0</v>
      </c>
      <c r="X682" t="inlineStr">
        <is>
          <t>role_subrole_balanced_score = base_support_score * capped sqrt(avg_macro_multiplier * avg_subrole_multiplier); role/subrole quota constraints use inverse weights.</t>
        </is>
      </c>
    </row>
    <row r="683">
      <c r="A683" t="inlineStr">
        <is>
          <t>C0682</t>
        </is>
      </c>
      <c r="B683" t="inlineStr">
        <is>
          <t>x_0682</t>
        </is>
      </c>
      <c r="C683" t="inlineStr">
        <is>
          <t>1. FSV Mainz 05 e.V.</t>
        </is>
      </c>
      <c r="D683" t="inlineStr">
        <is>
          <t>context_actor</t>
        </is>
      </c>
      <c r="E683" t="inlineStr">
        <is>
          <t>sports_regional_identity_anchor</t>
        </is>
      </c>
      <c r="F683" t="inlineStr">
        <is>
          <t>IKK Südwest</t>
        </is>
      </c>
      <c r="G683" t="inlineStr">
        <is>
          <t>context_actor</t>
        </is>
      </c>
      <c r="H683" t="inlineStr">
        <is>
          <t>health_social_anchor</t>
        </is>
      </c>
      <c r="I683" t="n">
        <v>19</v>
      </c>
      <c r="J683" t="n">
        <v>0</v>
      </c>
      <c r="K683" t="n">
        <v>0.03846154</v>
      </c>
      <c r="L683" t="n">
        <v>0.03846154</v>
      </c>
      <c r="M683" t="n">
        <v>0.07692308</v>
      </c>
      <c r="N683" t="n">
        <v>0.99038462</v>
      </c>
      <c r="O683" t="n">
        <v>18.817308</v>
      </c>
      <c r="P683" t="n">
        <v>0.5</v>
      </c>
      <c r="Q683" t="n">
        <v>0.08333333</v>
      </c>
      <c r="R683" t="n">
        <v>0.58333333</v>
      </c>
      <c r="S683" t="n">
        <v>1.87760417</v>
      </c>
      <c r="T683" t="n">
        <v>1.36365328</v>
      </c>
      <c r="U683" t="n">
        <v>25.909412</v>
      </c>
      <c r="V683" t="b">
        <v>0</v>
      </c>
      <c r="W683" t="n">
        <v>0</v>
      </c>
      <c r="X683" t="inlineStr">
        <is>
          <t>role_subrole_balanced_score = base_support_score * capped sqrt(avg_macro_multiplier * avg_subrole_multiplier); role/subrole quota constraints use inverse weights.</t>
        </is>
      </c>
    </row>
    <row r="684">
      <c r="A684" t="inlineStr">
        <is>
          <t>C0683</t>
        </is>
      </c>
      <c r="B684" t="inlineStr">
        <is>
          <t>x_0683</t>
        </is>
      </c>
      <c r="C684" t="inlineStr">
        <is>
          <t>1. FSV Mainz 05 e.V.</t>
        </is>
      </c>
      <c r="D684" t="inlineStr">
        <is>
          <t>context_actor</t>
        </is>
      </c>
      <c r="E684" t="inlineStr">
        <is>
          <t>sports_regional_identity_anchor</t>
        </is>
      </c>
      <c r="F684" t="inlineStr">
        <is>
          <t>RPR1.</t>
        </is>
      </c>
      <c r="G684" t="inlineStr">
        <is>
          <t>context_actor</t>
        </is>
      </c>
      <c r="H684" t="inlineStr">
        <is>
          <t>media_publicity_anchor</t>
        </is>
      </c>
      <c r="I684" t="n">
        <v>19</v>
      </c>
      <c r="J684" t="n">
        <v>0</v>
      </c>
      <c r="K684" t="n">
        <v>0.03846154</v>
      </c>
      <c r="L684" t="n">
        <v>0.03846154</v>
      </c>
      <c r="M684" t="n">
        <v>0.07692308</v>
      </c>
      <c r="N684" t="n">
        <v>0.99038462</v>
      </c>
      <c r="O684" t="n">
        <v>18.817308</v>
      </c>
      <c r="P684" t="n">
        <v>0.5</v>
      </c>
      <c r="Q684" t="n">
        <v>0.33333333</v>
      </c>
      <c r="R684" t="n">
        <v>0.83333333</v>
      </c>
      <c r="S684" t="n">
        <v>2.68229167</v>
      </c>
      <c r="T684" t="n">
        <v>1.62987742</v>
      </c>
      <c r="U684" t="n">
        <v>30.967671</v>
      </c>
      <c r="V684" t="b">
        <v>0</v>
      </c>
      <c r="W684" t="n">
        <v>0</v>
      </c>
      <c r="X684" t="inlineStr">
        <is>
          <t>role_subrole_balanced_score = base_support_score * capped sqrt(avg_macro_multiplier * avg_subrole_multiplier); role/subrole quota constraints use inverse weights.</t>
        </is>
      </c>
    </row>
    <row r="685">
      <c r="A685" t="inlineStr">
        <is>
          <t>C0684</t>
        </is>
      </c>
      <c r="B685" t="inlineStr">
        <is>
          <t>x_0684</t>
        </is>
      </c>
      <c r="C685" t="inlineStr">
        <is>
          <t>1. FSV Mainz 05 e.V.</t>
        </is>
      </c>
      <c r="D685" t="inlineStr">
        <is>
          <t>context_actor</t>
        </is>
      </c>
      <c r="E685" t="inlineStr">
        <is>
          <t>sports_regional_identity_anchor</t>
        </is>
      </c>
      <c r="F685" t="inlineStr">
        <is>
          <t>Techniker Krankenkasse</t>
        </is>
      </c>
      <c r="G685" t="inlineStr">
        <is>
          <t>context_actor</t>
        </is>
      </c>
      <c r="H685" t="inlineStr">
        <is>
          <t>health_social_anchor</t>
        </is>
      </c>
      <c r="I685" t="n">
        <v>19</v>
      </c>
      <c r="J685" t="n">
        <v>0</v>
      </c>
      <c r="K685" t="n">
        <v>0.03846154</v>
      </c>
      <c r="L685" t="n">
        <v>0.03846154</v>
      </c>
      <c r="M685" t="n">
        <v>0.07692308</v>
      </c>
      <c r="N685" t="n">
        <v>0.99038462</v>
      </c>
      <c r="O685" t="n">
        <v>18.817308</v>
      </c>
      <c r="P685" t="n">
        <v>0.5</v>
      </c>
      <c r="Q685" t="n">
        <v>0.08333333</v>
      </c>
      <c r="R685" t="n">
        <v>0.58333333</v>
      </c>
      <c r="S685" t="n">
        <v>1.87760417</v>
      </c>
      <c r="T685" t="n">
        <v>1.36365328</v>
      </c>
      <c r="U685" t="n">
        <v>25.909412</v>
      </c>
      <c r="V685" t="b">
        <v>0</v>
      </c>
      <c r="W685" t="n">
        <v>0</v>
      </c>
      <c r="X685" t="inlineStr">
        <is>
          <t>role_subrole_balanced_score = base_support_score * capped sqrt(avg_macro_multiplier * avg_subrole_multiplier); role/subrole quota constraints use inverse weights.</t>
        </is>
      </c>
    </row>
    <row r="686">
      <c r="A686" t="inlineStr">
        <is>
          <t>C0685</t>
        </is>
      </c>
      <c r="B686" t="inlineStr">
        <is>
          <t>x_0685</t>
        </is>
      </c>
      <c r="C686" t="inlineStr">
        <is>
          <t>Evangelische Kirche der Pfalz</t>
        </is>
      </c>
      <c r="D686" t="inlineStr">
        <is>
          <t>context_actor</t>
        </is>
      </c>
      <c r="E686" t="inlineStr">
        <is>
          <t>culture_foundation_anchor</t>
        </is>
      </c>
      <c r="F686" t="inlineStr">
        <is>
          <t>Villa Musica Rheinland-Pfalz</t>
        </is>
      </c>
      <c r="G686" t="inlineStr">
        <is>
          <t>context_actor</t>
        </is>
      </c>
      <c r="H686" t="inlineStr">
        <is>
          <t>culture_foundation_anchor</t>
        </is>
      </c>
      <c r="I686" t="n">
        <v>18</v>
      </c>
      <c r="J686" t="n">
        <v>0</v>
      </c>
      <c r="K686" t="n">
        <v>0.03846154</v>
      </c>
      <c r="L686" t="n">
        <v>0.03846154</v>
      </c>
      <c r="M686" t="n">
        <v>0.07692308</v>
      </c>
      <c r="N686" t="n">
        <v>0.99038462</v>
      </c>
      <c r="O686" t="n">
        <v>17.826923</v>
      </c>
      <c r="P686" t="n">
        <v>0.33333333</v>
      </c>
      <c r="Q686" t="n">
        <v>0.33333333</v>
      </c>
      <c r="R686" t="n">
        <v>0.66666667</v>
      </c>
      <c r="S686" t="n">
        <v>2.14583333</v>
      </c>
      <c r="T686" t="n">
        <v>1.45780668</v>
      </c>
      <c r="U686" t="n">
        <v>26.24052</v>
      </c>
      <c r="V686" t="b">
        <v>0</v>
      </c>
      <c r="W686" t="n">
        <v>0</v>
      </c>
      <c r="X686" t="inlineStr">
        <is>
          <t>role_subrole_balanced_score = base_support_score * capped sqrt(avg_macro_multiplier * avg_subrole_multiplier); role/subrole quota constraints use inverse weights.</t>
        </is>
      </c>
    </row>
    <row r="687">
      <c r="A687" t="inlineStr">
        <is>
          <t>C0686</t>
        </is>
      </c>
      <c r="B687" t="inlineStr">
        <is>
          <t>x_0686</t>
        </is>
      </c>
      <c r="C687" t="inlineStr">
        <is>
          <t>SWR – Südwestrundfunk</t>
        </is>
      </c>
      <c r="D687" t="inlineStr">
        <is>
          <t>context_actor</t>
        </is>
      </c>
      <c r="E687" t="inlineStr">
        <is>
          <t>media_publicity_anchor</t>
        </is>
      </c>
      <c r="F687" t="inlineStr">
        <is>
          <t>ZDF – Zweites Deutsches Fernsehen</t>
        </is>
      </c>
      <c r="G687" t="inlineStr">
        <is>
          <t>context_actor</t>
        </is>
      </c>
      <c r="H687" t="inlineStr">
        <is>
          <t>media_publicity_anchor</t>
        </is>
      </c>
      <c r="I687" t="n">
        <v>18</v>
      </c>
      <c r="J687" t="n">
        <v>0</v>
      </c>
      <c r="K687" t="n">
        <v>0.03846154</v>
      </c>
      <c r="L687" t="n">
        <v>0.03846154</v>
      </c>
      <c r="M687" t="n">
        <v>0.07692308</v>
      </c>
      <c r="N687" t="n">
        <v>0.99038462</v>
      </c>
      <c r="O687" t="n">
        <v>17.826923</v>
      </c>
      <c r="P687" t="n">
        <v>0.33333333</v>
      </c>
      <c r="Q687" t="n">
        <v>0.33333333</v>
      </c>
      <c r="R687" t="n">
        <v>0.66666667</v>
      </c>
      <c r="S687" t="n">
        <v>2.14583333</v>
      </c>
      <c r="T687" t="n">
        <v>1.45780668</v>
      </c>
      <c r="U687" t="n">
        <v>26.24052</v>
      </c>
      <c r="V687" t="b">
        <v>0</v>
      </c>
      <c r="W687" t="n">
        <v>0</v>
      </c>
      <c r="X687" t="inlineStr">
        <is>
          <t>role_subrole_balanced_score = base_support_score * capped sqrt(avg_macro_multiplier * avg_subrole_multiplier); role/subrole quota constraints use inverse weights.</t>
        </is>
      </c>
    </row>
    <row r="688">
      <c r="A688" t="inlineStr">
        <is>
          <t>C0687</t>
        </is>
      </c>
      <c r="B688" t="inlineStr">
        <is>
          <t>x_0687</t>
        </is>
      </c>
      <c r="C688" t="inlineStr">
        <is>
          <t>AOK Rheinland-Pfalz/Saarland</t>
        </is>
      </c>
      <c r="D688" t="inlineStr">
        <is>
          <t>context_actor</t>
        </is>
      </c>
      <c r="E688" t="inlineStr">
        <is>
          <t>health_social_anchor</t>
        </is>
      </c>
      <c r="F688" t="inlineStr">
        <is>
          <t>IKK Südwest</t>
        </is>
      </c>
      <c r="G688" t="inlineStr">
        <is>
          <t>context_actor</t>
        </is>
      </c>
      <c r="H688" t="inlineStr">
        <is>
          <t>health_social_anchor</t>
        </is>
      </c>
      <c r="I688" t="n">
        <v>18</v>
      </c>
      <c r="J688" t="n">
        <v>0</v>
      </c>
      <c r="K688" t="n">
        <v>0.03846154</v>
      </c>
      <c r="L688" t="n">
        <v>0.03846154</v>
      </c>
      <c r="M688" t="n">
        <v>0.07692308</v>
      </c>
      <c r="N688" t="n">
        <v>0.99038462</v>
      </c>
      <c r="O688" t="n">
        <v>17.826923</v>
      </c>
      <c r="P688" t="n">
        <v>0.08333333</v>
      </c>
      <c r="Q688" t="n">
        <v>0.08333333</v>
      </c>
      <c r="R688" t="n">
        <v>0.16666667</v>
      </c>
      <c r="S688" t="n">
        <v>0.53645833</v>
      </c>
      <c r="T688" t="n">
        <v>0.72890334</v>
      </c>
      <c r="U688" t="n">
        <v>13.12026</v>
      </c>
      <c r="V688" t="b">
        <v>0</v>
      </c>
      <c r="W688" t="n">
        <v>0</v>
      </c>
      <c r="X688" t="inlineStr">
        <is>
          <t>role_subrole_balanced_score = base_support_score * capped sqrt(avg_macro_multiplier * avg_subrole_multiplier); role/subrole quota constraints use inverse weights.</t>
        </is>
      </c>
    </row>
    <row r="689">
      <c r="A689" t="inlineStr">
        <is>
          <t>C0688</t>
        </is>
      </c>
      <c r="B689" t="inlineStr">
        <is>
          <t>x_0688</t>
        </is>
      </c>
      <c r="C689" t="inlineStr">
        <is>
          <t>AOK Rheinland-Pfalz/Saarland</t>
        </is>
      </c>
      <c r="D689" t="inlineStr">
        <is>
          <t>context_actor</t>
        </is>
      </c>
      <c r="E689" t="inlineStr">
        <is>
          <t>health_social_anchor</t>
        </is>
      </c>
      <c r="F689" t="inlineStr">
        <is>
          <t>RPR1.</t>
        </is>
      </c>
      <c r="G689" t="inlineStr">
        <is>
          <t>context_actor</t>
        </is>
      </c>
      <c r="H689" t="inlineStr">
        <is>
          <t>media_publicity_anchor</t>
        </is>
      </c>
      <c r="I689" t="n">
        <v>18</v>
      </c>
      <c r="J689" t="n">
        <v>0</v>
      </c>
      <c r="K689" t="n">
        <v>0.03846154</v>
      </c>
      <c r="L689" t="n">
        <v>0.03846154</v>
      </c>
      <c r="M689" t="n">
        <v>0.07692308</v>
      </c>
      <c r="N689" t="n">
        <v>0.99038462</v>
      </c>
      <c r="O689" t="n">
        <v>17.826923</v>
      </c>
      <c r="P689" t="n">
        <v>0.08333333</v>
      </c>
      <c r="Q689" t="n">
        <v>0.33333333</v>
      </c>
      <c r="R689" t="n">
        <v>0.41666667</v>
      </c>
      <c r="S689" t="n">
        <v>1.34114583</v>
      </c>
      <c r="T689" t="n">
        <v>1.15249738</v>
      </c>
      <c r="U689" t="n">
        <v>20.744953</v>
      </c>
      <c r="V689" t="b">
        <v>0</v>
      </c>
      <c r="W689" t="n">
        <v>0</v>
      </c>
      <c r="X689" t="inlineStr">
        <is>
          <t>role_subrole_balanced_score = base_support_score * capped sqrt(avg_macro_multiplier * avg_subrole_multiplier); role/subrole quota constraints use inverse weights.</t>
        </is>
      </c>
    </row>
    <row r="690">
      <c r="A690" t="inlineStr">
        <is>
          <t>C0689</t>
        </is>
      </c>
      <c r="B690" t="inlineStr">
        <is>
          <t>x_0689</t>
        </is>
      </c>
      <c r="C690" t="inlineStr">
        <is>
          <t>AOK Rheinland-Pfalz/Saarland</t>
        </is>
      </c>
      <c r="D690" t="inlineStr">
        <is>
          <t>context_actor</t>
        </is>
      </c>
      <c r="E690" t="inlineStr">
        <is>
          <t>health_social_anchor</t>
        </is>
      </c>
      <c r="F690" t="inlineStr">
        <is>
          <t>Techniker Krankenkasse</t>
        </is>
      </c>
      <c r="G690" t="inlineStr">
        <is>
          <t>context_actor</t>
        </is>
      </c>
      <c r="H690" t="inlineStr">
        <is>
          <t>health_social_anchor</t>
        </is>
      </c>
      <c r="I690" t="n">
        <v>18</v>
      </c>
      <c r="J690" t="n">
        <v>0</v>
      </c>
      <c r="K690" t="n">
        <v>0.03846154</v>
      </c>
      <c r="L690" t="n">
        <v>0.03846154</v>
      </c>
      <c r="M690" t="n">
        <v>0.07692308</v>
      </c>
      <c r="N690" t="n">
        <v>0.99038462</v>
      </c>
      <c r="O690" t="n">
        <v>17.826923</v>
      </c>
      <c r="P690" t="n">
        <v>0.08333333</v>
      </c>
      <c r="Q690" t="n">
        <v>0.08333333</v>
      </c>
      <c r="R690" t="n">
        <v>0.16666667</v>
      </c>
      <c r="S690" t="n">
        <v>0.53645833</v>
      </c>
      <c r="T690" t="n">
        <v>0.72890334</v>
      </c>
      <c r="U690" t="n">
        <v>13.12026</v>
      </c>
      <c r="V690" t="b">
        <v>0</v>
      </c>
      <c r="W690" t="n">
        <v>0</v>
      </c>
      <c r="X690" t="inlineStr">
        <is>
          <t>role_subrole_balanced_score = base_support_score * capped sqrt(avg_macro_multiplier * avg_subrole_multiplier); role/subrole quota constraints use inverse weights.</t>
        </is>
      </c>
    </row>
    <row r="691">
      <c r="A691" t="inlineStr">
        <is>
          <t>C0690</t>
        </is>
      </c>
      <c r="B691" t="inlineStr">
        <is>
          <t>x_0690</t>
        </is>
      </c>
      <c r="C691" t="inlineStr">
        <is>
          <t>IKK Südwest</t>
        </is>
      </c>
      <c r="D691" t="inlineStr">
        <is>
          <t>context_actor</t>
        </is>
      </c>
      <c r="E691" t="inlineStr">
        <is>
          <t>health_social_anchor</t>
        </is>
      </c>
      <c r="F691" t="inlineStr">
        <is>
          <t>RPR1.</t>
        </is>
      </c>
      <c r="G691" t="inlineStr">
        <is>
          <t>context_actor</t>
        </is>
      </c>
      <c r="H691" t="inlineStr">
        <is>
          <t>media_publicity_anchor</t>
        </is>
      </c>
      <c r="I691" t="n">
        <v>18</v>
      </c>
      <c r="J691" t="n">
        <v>0</v>
      </c>
      <c r="K691" t="n">
        <v>0.03846154</v>
      </c>
      <c r="L691" t="n">
        <v>0.03846154</v>
      </c>
      <c r="M691" t="n">
        <v>0.07692308</v>
      </c>
      <c r="N691" t="n">
        <v>0.99038462</v>
      </c>
      <c r="O691" t="n">
        <v>17.826923</v>
      </c>
      <c r="P691" t="n">
        <v>0.08333333</v>
      </c>
      <c r="Q691" t="n">
        <v>0.33333333</v>
      </c>
      <c r="R691" t="n">
        <v>0.41666667</v>
      </c>
      <c r="S691" t="n">
        <v>1.34114583</v>
      </c>
      <c r="T691" t="n">
        <v>1.15249738</v>
      </c>
      <c r="U691" t="n">
        <v>20.744953</v>
      </c>
      <c r="V691" t="b">
        <v>0</v>
      </c>
      <c r="W691" t="n">
        <v>0</v>
      </c>
      <c r="X691" t="inlineStr">
        <is>
          <t>role_subrole_balanced_score = base_support_score * capped sqrt(avg_macro_multiplier * avg_subrole_multiplier); role/subrole quota constraints use inverse weights.</t>
        </is>
      </c>
    </row>
    <row r="692">
      <c r="A692" t="inlineStr">
        <is>
          <t>C0691</t>
        </is>
      </c>
      <c r="B692" t="inlineStr">
        <is>
          <t>x_0691</t>
        </is>
      </c>
      <c r="C692" t="inlineStr">
        <is>
          <t>IKK Südwest</t>
        </is>
      </c>
      <c r="D692" t="inlineStr">
        <is>
          <t>context_actor</t>
        </is>
      </c>
      <c r="E692" t="inlineStr">
        <is>
          <t>health_social_anchor</t>
        </is>
      </c>
      <c r="F692" t="inlineStr">
        <is>
          <t>Techniker Krankenkasse</t>
        </is>
      </c>
      <c r="G692" t="inlineStr">
        <is>
          <t>context_actor</t>
        </is>
      </c>
      <c r="H692" t="inlineStr">
        <is>
          <t>health_social_anchor</t>
        </is>
      </c>
      <c r="I692" t="n">
        <v>18</v>
      </c>
      <c r="J692" t="n">
        <v>0</v>
      </c>
      <c r="K692" t="n">
        <v>0.03846154</v>
      </c>
      <c r="L692" t="n">
        <v>0.03846154</v>
      </c>
      <c r="M692" t="n">
        <v>0.07692308</v>
      </c>
      <c r="N692" t="n">
        <v>0.99038462</v>
      </c>
      <c r="O692" t="n">
        <v>17.826923</v>
      </c>
      <c r="P692" t="n">
        <v>0.08333333</v>
      </c>
      <c r="Q692" t="n">
        <v>0.08333333</v>
      </c>
      <c r="R692" t="n">
        <v>0.16666667</v>
      </c>
      <c r="S692" t="n">
        <v>0.53645833</v>
      </c>
      <c r="T692" t="n">
        <v>0.72890334</v>
      </c>
      <c r="U692" t="n">
        <v>13.12026</v>
      </c>
      <c r="V692" t="b">
        <v>0</v>
      </c>
      <c r="W692" t="n">
        <v>0</v>
      </c>
      <c r="X692" t="inlineStr">
        <is>
          <t>role_subrole_balanced_score = base_support_score * capped sqrt(avg_macro_multiplier * avg_subrole_multiplier); role/subrole quota constraints use inverse weights.</t>
        </is>
      </c>
    </row>
    <row r="693">
      <c r="A693" t="inlineStr">
        <is>
          <t>C0692</t>
        </is>
      </c>
      <c r="B693" t="inlineStr">
        <is>
          <t>x_0692</t>
        </is>
      </c>
      <c r="C693" t="inlineStr">
        <is>
          <t>RPR1.</t>
        </is>
      </c>
      <c r="D693" t="inlineStr">
        <is>
          <t>context_actor</t>
        </is>
      </c>
      <c r="E693" t="inlineStr">
        <is>
          <t>media_publicity_anchor</t>
        </is>
      </c>
      <c r="F693" t="inlineStr">
        <is>
          <t>Techniker Krankenkasse</t>
        </is>
      </c>
      <c r="G693" t="inlineStr">
        <is>
          <t>context_actor</t>
        </is>
      </c>
      <c r="H693" t="inlineStr">
        <is>
          <t>health_social_anchor</t>
        </is>
      </c>
      <c r="I693" t="n">
        <v>18</v>
      </c>
      <c r="J693" t="n">
        <v>0</v>
      </c>
      <c r="K693" t="n">
        <v>0.03846154</v>
      </c>
      <c r="L693" t="n">
        <v>0.03846154</v>
      </c>
      <c r="M693" t="n">
        <v>0.07692308</v>
      </c>
      <c r="N693" t="n">
        <v>0.99038462</v>
      </c>
      <c r="O693" t="n">
        <v>17.826923</v>
      </c>
      <c r="P693" t="n">
        <v>0.33333333</v>
      </c>
      <c r="Q693" t="n">
        <v>0.08333333</v>
      </c>
      <c r="R693" t="n">
        <v>0.41666667</v>
      </c>
      <c r="S693" t="n">
        <v>1.34114583</v>
      </c>
      <c r="T693" t="n">
        <v>1.15249738</v>
      </c>
      <c r="U693" t="n">
        <v>20.744953</v>
      </c>
      <c r="V693" t="b">
        <v>0</v>
      </c>
      <c r="W693" t="n">
        <v>0</v>
      </c>
      <c r="X693" t="inlineStr">
        <is>
          <t>role_subrole_balanced_score = base_support_score * capped sqrt(avg_macro_multiplier * avg_subrole_multiplier); role/subrole quota constraints use inverse weights.</t>
        </is>
      </c>
    </row>
    <row r="694">
      <c r="A694" t="inlineStr">
        <is>
          <t>C0693</t>
        </is>
      </c>
      <c r="B694" t="inlineStr">
        <is>
          <t>x_0693</t>
        </is>
      </c>
      <c r="C694" t="inlineStr">
        <is>
          <t>Evangelische Kirche der Pfalz</t>
        </is>
      </c>
      <c r="D694" t="inlineStr">
        <is>
          <t>context_actor</t>
        </is>
      </c>
      <c r="E694" t="inlineStr">
        <is>
          <t>culture_foundation_anchor</t>
        </is>
      </c>
      <c r="F694" t="inlineStr">
        <is>
          <t>SWR – Südwestrundfunk</t>
        </is>
      </c>
      <c r="G694" t="inlineStr">
        <is>
          <t>context_actor</t>
        </is>
      </c>
      <c r="H694" t="inlineStr">
        <is>
          <t>media_publicity_anchor</t>
        </is>
      </c>
      <c r="I694" t="n">
        <v>17</v>
      </c>
      <c r="J694" t="n">
        <v>0</v>
      </c>
      <c r="K694" t="n">
        <v>0.03846154</v>
      </c>
      <c r="L694" t="n">
        <v>0.03846154</v>
      </c>
      <c r="M694" t="n">
        <v>0.07692308</v>
      </c>
      <c r="N694" t="n">
        <v>0.99038462</v>
      </c>
      <c r="O694" t="n">
        <v>16.836538</v>
      </c>
      <c r="P694" t="n">
        <v>0.33333333</v>
      </c>
      <c r="Q694" t="n">
        <v>0.33333333</v>
      </c>
      <c r="R694" t="n">
        <v>0.66666667</v>
      </c>
      <c r="S694" t="n">
        <v>2.14583333</v>
      </c>
      <c r="T694" t="n">
        <v>1.45780668</v>
      </c>
      <c r="U694" t="n">
        <v>24.782714</v>
      </c>
      <c r="V694" t="b">
        <v>0</v>
      </c>
      <c r="W694" t="n">
        <v>0</v>
      </c>
      <c r="X694" t="inlineStr">
        <is>
          <t>role_subrole_balanced_score = base_support_score * capped sqrt(avg_macro_multiplier * avg_subrole_multiplier); role/subrole quota constraints use inverse weights.</t>
        </is>
      </c>
    </row>
    <row r="695">
      <c r="A695" t="inlineStr">
        <is>
          <t>C0694</t>
        </is>
      </c>
      <c r="B695" t="inlineStr">
        <is>
          <t>x_0694</t>
        </is>
      </c>
      <c r="C695" t="inlineStr">
        <is>
          <t>Evangelische Kirche der Pfalz</t>
        </is>
      </c>
      <c r="D695" t="inlineStr">
        <is>
          <t>context_actor</t>
        </is>
      </c>
      <c r="E695" t="inlineStr">
        <is>
          <t>culture_foundation_anchor</t>
        </is>
      </c>
      <c r="F695" t="inlineStr">
        <is>
          <t>ZDF – Zweites Deutsches Fernsehen</t>
        </is>
      </c>
      <c r="G695" t="inlineStr">
        <is>
          <t>context_actor</t>
        </is>
      </c>
      <c r="H695" t="inlineStr">
        <is>
          <t>media_publicity_anchor</t>
        </is>
      </c>
      <c r="I695" t="n">
        <v>17</v>
      </c>
      <c r="J695" t="n">
        <v>0</v>
      </c>
      <c r="K695" t="n">
        <v>0.03846154</v>
      </c>
      <c r="L695" t="n">
        <v>0.03846154</v>
      </c>
      <c r="M695" t="n">
        <v>0.07692308</v>
      </c>
      <c r="N695" t="n">
        <v>0.99038462</v>
      </c>
      <c r="O695" t="n">
        <v>16.836538</v>
      </c>
      <c r="P695" t="n">
        <v>0.33333333</v>
      </c>
      <c r="Q695" t="n">
        <v>0.33333333</v>
      </c>
      <c r="R695" t="n">
        <v>0.66666667</v>
      </c>
      <c r="S695" t="n">
        <v>2.14583333</v>
      </c>
      <c r="T695" t="n">
        <v>1.45780668</v>
      </c>
      <c r="U695" t="n">
        <v>24.782714</v>
      </c>
      <c r="V695" t="b">
        <v>0</v>
      </c>
      <c r="W695" t="n">
        <v>0</v>
      </c>
      <c r="X695" t="inlineStr">
        <is>
          <t>role_subrole_balanced_score = base_support_score * capped sqrt(avg_macro_multiplier * avg_subrole_multiplier); role/subrole quota constraints use inverse weights.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9" customWidth="1" style="46" min="1" max="1"/>
    <col width="60" customWidth="1" style="46" min="2" max="2"/>
  </cols>
  <sheetData>
    <row r="1">
      <c r="A1" s="62" t="inlineStr">
        <is>
          <t>section</t>
        </is>
      </c>
      <c r="B1" s="62" t="inlineStr">
        <is>
          <t>explanation</t>
        </is>
      </c>
    </row>
    <row r="2">
      <c r="A2" t="inlineStr">
        <is>
          <t>Purpose</t>
        </is>
      </c>
      <c r="B2" t="inlineStr">
        <is>
          <t>Adds actor_subrole below actor_role, so SCIP selection balances universities against concrete institutional families.</t>
        </is>
      </c>
    </row>
    <row r="3">
      <c r="A3" t="inlineStr">
        <is>
          <t>Weights</t>
        </is>
      </c>
      <c r="B3" t="inlineStr">
        <is>
          <t>macro_role_weight = 1/count(actor_role); subrole_weight = 1/count(actor_subrole).</t>
        </is>
      </c>
    </row>
    <row r="4">
      <c r="A4" t="inlineStr">
        <is>
          <t>Objective</t>
        </is>
      </c>
      <c r="B4" t="inlineStr">
        <is>
          <t>Optimizer prefers role_subrole_balanced_score when present.</t>
        </is>
      </c>
    </row>
    <row r="5">
      <c r="A5" t="inlineStr">
        <is>
          <t>Constraints</t>
        </is>
      </c>
      <c r="B5" t="inlineStr">
        <is>
          <t>SCIP enforces per-subrole mass limits plus max_academic_matches=2 and max_academic_actor_slots=3.</t>
        </is>
      </c>
    </row>
    <row r="6">
      <c r="A6" t="inlineStr">
        <is>
          <t>Diagnostic target</t>
        </is>
      </c>
      <c r="B6" t="inlineStr">
        <is>
          <t>For six matches, aim for 2-3 academic actor slots, 10-12 unique members and 6-8 represented subroles.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2026-06-13T15:35:10Z</dcterms:created>
  <dcterms:modified xmlns:dcterms="http://purl.org/dc/terms/" xmlns:xsi="http://www.w3.org/2001/XMLSchema-instance" xsi:type="dcterms:W3CDTF">2026-06-14T11:21:50Z</dcterms:modified>
</cp:coreProperties>
</file>